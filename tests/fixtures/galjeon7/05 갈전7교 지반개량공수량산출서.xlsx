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jamon\speckitProject\quantity-aggregator\tests\fixtures\galjeon7\"/>
    </mc:Choice>
  </mc:AlternateContent>
  <bookViews>
    <workbookView xWindow="32760" yWindow="32760" windowWidth="28800" windowHeight="11580" tabRatio="989" activeTab="1"/>
  </bookViews>
  <sheets>
    <sheet name="D.C.M 수량집계표" sheetId="1" r:id="rId1"/>
    <sheet name="D.C.M산출근거(본산)" sheetId="24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E81161">[3]깨기!$E$51161</definedName>
    <definedName name="_H81192">[3]깨기!$H$51192</definedName>
    <definedName name="_H91164">[3]깨기!$H$11164</definedName>
    <definedName name="_hor1">[4]단면가정!$G$36</definedName>
    <definedName name="_IV65999">#REF!</definedName>
    <definedName name="_IV66000">#REF!</definedName>
    <definedName name="_IV69999">#REF!</definedName>
    <definedName name="_IV70000">#REF!</definedName>
    <definedName name="_IV99999">#REF!</definedName>
    <definedName name="_Q1">'[1]1. 설계조건 2.단면가정 3. 하중계산'!$I$89</definedName>
    <definedName name="_Q5">'[1]1. 설계조건 2.단면가정 3. 하중계산'!$I$97</definedName>
    <definedName name="_QL">'[1]1. 설계조건 2.단면가정 3. 하중계산'!$G$99</definedName>
    <definedName name="_SBB1">[2]Sheet1!$H$204</definedName>
    <definedName name="_SBB2">[2]Sheet1!$H$205</definedName>
    <definedName name="_SBB3">[2]Sheet1!$H$223</definedName>
    <definedName name="_SBB4">[2]Sheet1!$H$224</definedName>
    <definedName name="_SBB5">[2]Sheet1!$H$208</definedName>
    <definedName name="_SHH1">[2]Sheet1!$D$205</definedName>
    <definedName name="_SHH2">[2]Sheet1!$D$223</definedName>
    <definedName name="_SHH3">[2]Sheet1!$D$224</definedName>
    <definedName name="_SIN1">#REF!</definedName>
    <definedName name="_ver1">[4]단면가정!$C$16</definedName>
    <definedName name="_ver3">[4]단면가정!$C$30</definedName>
    <definedName name="_Zz10137">#REF!</definedName>
    <definedName name="\p">#REF!</definedName>
    <definedName name="A_1">#REF!</definedName>
    <definedName name="A1_E">#REF!</definedName>
    <definedName name="A1000000000000000">#REF!</definedName>
    <definedName name="AA">#REF!</definedName>
    <definedName name="aaa">#REF!</definedName>
    <definedName name="AAADFFFFFFFFFFFD">#REF!</definedName>
    <definedName name="abc">#REF!</definedName>
    <definedName name="abcdefg">#REF!</definedName>
    <definedName name="abcdefgh">#REF!</definedName>
    <definedName name="an1_ea">#REF!</definedName>
    <definedName name="an21_e">#REF!</definedName>
    <definedName name="an21_ea">#REF!</definedName>
    <definedName name="an22_ea">#REF!</definedName>
    <definedName name="ANGLE1">#REF!</definedName>
    <definedName name="ANGLE21">#REF!</definedName>
    <definedName name="ANGLE22">#REF!</definedName>
    <definedName name="anscount" hidden="1">1</definedName>
    <definedName name="asd" localSheetId="1">[2]Sheet1!#REF!</definedName>
    <definedName name="asd">[2]Sheet1!#REF!</definedName>
    <definedName name="asdf">#REF!</definedName>
    <definedName name="ASDFVBN">#REF!</definedName>
    <definedName name="AWDR">#REF!</definedName>
    <definedName name="AWSXC">#REF!</definedName>
    <definedName name="AXCV">#REF!</definedName>
    <definedName name="B">[2]Sheet1!$J$32</definedName>
    <definedName name="B1B">[2]Sheet1!$J$33</definedName>
    <definedName name="B2B">[2]Sheet1!$J$34</definedName>
    <definedName name="B3B">[2]Sheet1!$J$35</definedName>
    <definedName name="B4B">[2]Sheet1!$J$36</definedName>
    <definedName name="B5B" localSheetId="1">[2]Sheet1!#REF!</definedName>
    <definedName name="B5B">[2]Sheet1!#REF!</definedName>
    <definedName name="B6B" localSheetId="1">[2]Sheet1!#REF!</definedName>
    <definedName name="B6B">[2]Sheet1!#REF!</definedName>
    <definedName name="B7B" localSheetId="1">[2]Sheet1!#REF!</definedName>
    <definedName name="B7B">[2]Sheet1!#REF!</definedName>
    <definedName name="bbb">#REF!</definedName>
    <definedName name="BC">'[1]DATA 입력란'!$D$39</definedName>
    <definedName name="bnm" localSheetId="1">[2]Sheet1!#REF!</definedName>
    <definedName name="bnm">[2]Sheet1!#REF!</definedName>
    <definedName name="BO">'[1]DATA 입력란'!$D$38</definedName>
    <definedName name="BR">#REF!</definedName>
    <definedName name="br_ea">#REF!</definedName>
    <definedName name="BRACING">#REF!</definedName>
    <definedName name="C_1">#REF!</definedName>
    <definedName name="c_1e">#REF!</definedName>
    <definedName name="C_2">#REF!</definedName>
    <definedName name="C_2E">#REF!</definedName>
    <definedName name="ccc">#REF!</definedName>
    <definedName name="ch_e">#REF!</definedName>
    <definedName name="ch_ea">#REF!</definedName>
    <definedName name="CHANNEL">#REF!</definedName>
    <definedName name="d">#REF!</definedName>
    <definedName name="D_1">#REF!</definedName>
    <definedName name="D_2">#REF!</definedName>
    <definedName name="D_3">#REF!</definedName>
    <definedName name="D_4">#REF!</definedName>
    <definedName name="d1_e">#REF!</definedName>
    <definedName name="d1_ea">#REF!</definedName>
    <definedName name="D2_E">#REF!</definedName>
    <definedName name="d3_e">#REF!</definedName>
    <definedName name="d3_ea">#REF!</definedName>
    <definedName name="d4_e">#REF!</definedName>
    <definedName name="d4_ea">#REF!</definedName>
    <definedName name="DAGFHHSD">#REF!</definedName>
    <definedName name="DASGDFHH">#REF!</definedName>
    <definedName name="_xlnm.Database">#REF!</definedName>
    <definedName name="ddd" localSheetId="1">[2]Sheet1!#REF!</definedName>
    <definedName name="ddd">[2]Sheet1!#REF!</definedName>
    <definedName name="DDGHSDFH">#REF!</definedName>
    <definedName name="deck">#REF!</definedName>
    <definedName name="deck_ea">#REF!</definedName>
    <definedName name="dfg" localSheetId="1">[2]Sheet1!#REF!</definedName>
    <definedName name="dfg">[2]Sheet1!#REF!</definedName>
    <definedName name="DIA" localSheetId="1">[2]Sheet1!#REF!</definedName>
    <definedName name="DIA">[2]Sheet1!#REF!</definedName>
    <definedName name="DSA">#REF!</definedName>
    <definedName name="DSAFDDG">#REF!</definedName>
    <definedName name="DSAGAHHHHD">#REF!</definedName>
    <definedName name="DSAGDHH">#REF!</definedName>
    <definedName name="DSAGHHA">#REF!</definedName>
    <definedName name="DSGASFDH">#REF!</definedName>
    <definedName name="DSGHFSD">#REF!</definedName>
    <definedName name="E_1">#REF!</definedName>
    <definedName name="e_2">#REF!</definedName>
    <definedName name="e1_e">#REF!</definedName>
    <definedName name="e1_ea">#REF!</definedName>
    <definedName name="e2_e">#REF!</definedName>
    <definedName name="e2_ea">#REF!</definedName>
    <definedName name="EA">#REF!</definedName>
    <definedName name="edc" localSheetId="1">[2]Sheet1!#REF!</definedName>
    <definedName name="edc">[2]Sheet1!#REF!</definedName>
    <definedName name="ert" localSheetId="1">[2]Sheet1!#REF!</definedName>
    <definedName name="ert">[2]Sheet1!#REF!</definedName>
    <definedName name="F1F" localSheetId="1">[2]Sheet1!#REF!</definedName>
    <definedName name="F1F">[2]Sheet1!#REF!</definedName>
    <definedName name="F2F" localSheetId="1">[2]Sheet1!#REF!</definedName>
    <definedName name="F2F">[2]Sheet1!#REF!</definedName>
    <definedName name="F3F" localSheetId="1">[2]Sheet1!#REF!</definedName>
    <definedName name="F3F">[2]Sheet1!#REF!</definedName>
    <definedName name="FD">#REF!</definedName>
    <definedName name="FDASDFGG">#REF!</definedName>
    <definedName name="FDDGHSDHF">#REF!</definedName>
    <definedName name="fdsafas" localSheetId="1" hidden="1">{"'산출근거'!$B$4:$D$8"}</definedName>
    <definedName name="fdsafas" hidden="1">{"'산출근거'!$B$4:$D$8"}</definedName>
    <definedName name="FFFFFFFFFFSF">#REF!</definedName>
    <definedName name="fgh" localSheetId="1">[2]Sheet1!#REF!</definedName>
    <definedName name="fgh">[2]Sheet1!#REF!</definedName>
    <definedName name="fk" localSheetId="1">#REF!</definedName>
    <definedName name="fk">#REF!</definedName>
    <definedName name="FN" localSheetId="1">[2]Sheet1!#REF!</definedName>
    <definedName name="FN">[2]Sheet1!#REF!</definedName>
    <definedName name="FSHSHHHHHHFDH">#REF!</definedName>
    <definedName name="gammac">[4]설계조건!$L$9</definedName>
    <definedName name="GJDL">#REF!</definedName>
    <definedName name="H">[2]Sheet1!$D$32</definedName>
    <definedName name="H_1">#REF!</definedName>
    <definedName name="H_2" localSheetId="1">#REF!</definedName>
    <definedName name="H_2">#REF!</definedName>
    <definedName name="h_pile">#REF!</definedName>
    <definedName name="h_pile1e">[5]변화치수!$D$46</definedName>
    <definedName name="h_pile2e">[5]변화치수!$D$49</definedName>
    <definedName name="h_pileea">#REF!</definedName>
    <definedName name="H1H">[2]Sheet1!$D$33</definedName>
    <definedName name="H2H">[2]Sheet1!$D$34</definedName>
    <definedName name="H3H">[2]Sheet1!$D$35</definedName>
    <definedName name="H4H">[2]Sheet1!$D$36</definedName>
    <definedName name="HC">'[1]DATA 입력란'!$D$41</definedName>
    <definedName name="HH" localSheetId="1">[2]Sheet1!#REF!</definedName>
    <definedName name="HH">[2]Sheet1!#REF!</definedName>
    <definedName name="HL">'[1]DATA 입력란'!$D$40</definedName>
    <definedName name="HS" localSheetId="1">[2]Sheet1!#REF!</definedName>
    <definedName name="HS">[2]Sheet1!#REF!</definedName>
    <definedName name="HTML_CodePage" hidden="1">949</definedName>
    <definedName name="HTML_Control" localSheetId="1" hidden="1">{"'산출근거'!$B$4:$D$8"}</definedName>
    <definedName name="HTML_Control" hidden="1">{"'산출근거'!$B$4:$D$8"}</definedName>
    <definedName name="HTML_Description" hidden="1">""</definedName>
    <definedName name="HTML_Email" hidden="1">""</definedName>
    <definedName name="HTML_Header" hidden="1">"산출근거"</definedName>
    <definedName name="HTML_LastUpdate" hidden="1">"01-03-02"</definedName>
    <definedName name="HTML_LineAfter" hidden="1">FALSE</definedName>
    <definedName name="HTML_LineBefore" hidden="1">FALSE</definedName>
    <definedName name="HTML_Name" hidden="1">"USER"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"수량산출서"</definedName>
    <definedName name="HU">'[1]DATA 입력란'!$D$42</definedName>
    <definedName name="I_BEAM">#REF!</definedName>
    <definedName name="I_EA">#REF!</definedName>
    <definedName name="J_1">#REF!</definedName>
    <definedName name="j1_e">#REF!</definedName>
    <definedName name="j1_ea">#REF!</definedName>
    <definedName name="JACK">#REF!</definedName>
    <definedName name="jack_ea">#REF!</definedName>
    <definedName name="L" localSheetId="1">[2]Sheet1!#REF!</definedName>
    <definedName name="L">[2]Sheet1!#REF!</definedName>
    <definedName name="L_1">#REF!</definedName>
    <definedName name="l1_ea">#REF!</definedName>
    <definedName name="L1L">[2]Sheet1!$L$204</definedName>
    <definedName name="L2L">[2]Sheet1!$L$205</definedName>
    <definedName name="L3L">[2]Sheet1!$L$223</definedName>
    <definedName name="L4L">[2]Sheet1!$L$224</definedName>
    <definedName name="llll">#REF!</definedName>
    <definedName name="LS">#REF!</definedName>
    <definedName name="ls_ea">#REF!</definedName>
    <definedName name="M">#REF!</definedName>
    <definedName name="MMM">#REF!</definedName>
    <definedName name="nn">#REF!</definedName>
    <definedName name="nnn">#REF!</definedName>
    <definedName name="pi_e">#REF!</definedName>
    <definedName name="pi_ea">#REF!</definedName>
    <definedName name="piece">#REF!</definedName>
    <definedName name="pile길이">#REF!</definedName>
    <definedName name="PL" localSheetId="1">[2]Sheet1!#REF!</definedName>
    <definedName name="PL">[2]Sheet1!#REF!</definedName>
    <definedName name="PN" localSheetId="1">[2]Sheet1!#REF!</definedName>
    <definedName name="PN">[2]Sheet1!#REF!</definedName>
    <definedName name="_xlnm.Print_Area" localSheetId="0">'D.C.M 수량집계표'!$A$1:$F$7</definedName>
    <definedName name="_xlnm.Print_Area" localSheetId="1">'D.C.M산출근거(본산)'!$A$1:$K$54</definedName>
    <definedName name="_xlnm.Print_Titles" localSheetId="1">'D.C.M산출근거(본산)'!$3:$3</definedName>
    <definedName name="PT" localSheetId="1">[2]Sheet1!#REF!</definedName>
    <definedName name="PT">[2]Sheet1!#REF!</definedName>
    <definedName name="qaz" localSheetId="1">[2]Sheet1!#REF!</definedName>
    <definedName name="qaz">[2]Sheet1!#REF!</definedName>
    <definedName name="QAZX">#REF!</definedName>
    <definedName name="qqq" localSheetId="1">[2]Sheet1!#REF!</definedName>
    <definedName name="qqq">[2]Sheet1!#REF!</definedName>
    <definedName name="QWDC">#REF!</definedName>
    <definedName name="qwe" localSheetId="1">[2]Sheet1!#REF!</definedName>
    <definedName name="qwe">[2]Sheet1!#REF!</definedName>
    <definedName name="QWER">#REF!</definedName>
    <definedName name="QWSD">#REF!</definedName>
    <definedName name="QWSDERTY">#REF!</definedName>
    <definedName name="qww">#REF!</definedName>
    <definedName name="_xlnm.Recorder">#REF!</definedName>
    <definedName name="rfv" localSheetId="1">[2]Sheet1!#REF!</definedName>
    <definedName name="rfv">[2]Sheet1!#REF!</definedName>
    <definedName name="ROCK1">#REF!</definedName>
    <definedName name="rock1_e">#REF!</definedName>
    <definedName name="rock1_ea">#REF!</definedName>
    <definedName name="ROCK2">#REF!</definedName>
    <definedName name="rock2_e">#REF!</definedName>
    <definedName name="rock2_ea">#REF!</definedName>
    <definedName name="ROCK3">#REF!</definedName>
    <definedName name="rock3_e">#REF!</definedName>
    <definedName name="rock3_ea">#REF!</definedName>
    <definedName name="ROCK4">#REF!</definedName>
    <definedName name="rock4_e">#REF!</definedName>
    <definedName name="rock4_ea">#REF!</definedName>
    <definedName name="RR">#REF!</definedName>
    <definedName name="rty" localSheetId="1">[2]Sheet1!#REF!</definedName>
    <definedName name="rty">[2]Sheet1!#REF!</definedName>
    <definedName name="S_1">#REF!</definedName>
    <definedName name="S2L">[2]Sheet1!$L$222</definedName>
    <definedName name="SADDDFGH">#REF!</definedName>
    <definedName name="sdf" localSheetId="1">[2]Sheet1!#REF!</definedName>
    <definedName name="sdf">[2]Sheet1!#REF!</definedName>
    <definedName name="SEXCV">#REF!</definedName>
    <definedName name="SF_1">#REF!</definedName>
    <definedName name="SF_2">#REF!</definedName>
    <definedName name="SF_3">#REF!</definedName>
    <definedName name="SF_4">#REF!</definedName>
    <definedName name="SF_5">#REF!</definedName>
    <definedName name="SF_6">#REF!</definedName>
    <definedName name="SHT">[2]Sheet1!$D$204</definedName>
    <definedName name="SIGCK1">[4]설계조건!$H$33</definedName>
    <definedName name="sigy">#REF!</definedName>
    <definedName name="SIGY1">[4]설계조건!$H$35</definedName>
    <definedName name="slabt">#REF!</definedName>
    <definedName name="STRUT">#REF!</definedName>
    <definedName name="STRUT_E">#REF!</definedName>
    <definedName name="STRUT_EA">#REF!</definedName>
    <definedName name="STRUT_EA1">#REF!</definedName>
    <definedName name="T" localSheetId="1">[2]Sheet1!#REF!</definedName>
    <definedName name="T">[2]Sheet1!#REF!</definedName>
    <definedName name="tgb" localSheetId="1">[2]Sheet1!#REF!</definedName>
    <definedName name="tgb">[2]Sheet1!#REF!</definedName>
    <definedName name="ujm" localSheetId="1">[2]Sheet1!#REF!</definedName>
    <definedName name="ujm">[2]Sheet1!#REF!</definedName>
    <definedName name="vbn" localSheetId="1">[2]Sheet1!#REF!</definedName>
    <definedName name="vbn">[2]Sheet1!#REF!</definedName>
    <definedName name="vv">#REF!</definedName>
    <definedName name="WA" localSheetId="1">[2]Sheet1!#REF!</definedName>
    <definedName name="WA">[2]Sheet1!#REF!</definedName>
    <definedName name="WALE">#REF!</definedName>
    <definedName name="wale_e">#REF!</definedName>
    <definedName name="wale_ea">#REF!</definedName>
    <definedName name="wer" localSheetId="1">[2]Sheet1!#REF!</definedName>
    <definedName name="wer">[2]Sheet1!#REF!</definedName>
    <definedName name="WL" localSheetId="1">[2]Sheet1!#REF!</definedName>
    <definedName name="WL">[2]Sheet1!#REF!</definedName>
    <definedName name="WN" localSheetId="1">[2]Sheet1!#REF!</definedName>
    <definedName name="WN">[2]Sheet1!#REF!</definedName>
    <definedName name="wsx" localSheetId="1">[2]Sheet1!#REF!</definedName>
    <definedName name="wsx">[2]Sheet1!#REF!</definedName>
    <definedName name="www" localSheetId="1">[2]Sheet1!#REF!</definedName>
    <definedName name="www">[2]Sheet1!#REF!</definedName>
    <definedName name="xcv" localSheetId="1">[2]Sheet1!#REF!</definedName>
    <definedName name="xcv">[2]Sheet1!#REF!</definedName>
    <definedName name="yhn" localSheetId="1">[2]Sheet1!#REF!</definedName>
    <definedName name="yhn">[2]Sheet1!#REF!</definedName>
    <definedName name="zxc" localSheetId="1">[2]Sheet1!#REF!</definedName>
    <definedName name="zxc">[2]Sheet1!#REF!</definedName>
    <definedName name="가나" localSheetId="1" hidden="1">{"'산출근거'!$B$4:$D$8"}</definedName>
    <definedName name="가나" hidden="1">{"'산출근거'!$B$4:$D$8"}</definedName>
    <definedName name="가드" localSheetId="1" hidden="1">{"'산출근거'!$B$4:$D$8"}</definedName>
    <definedName name="가드" hidden="1">{"'산출근거'!$B$4:$D$8"}</definedName>
    <definedName name="가시나무R4">[6]데이타!$E$2</definedName>
    <definedName name="가시나무R5">[6]데이타!$E$3</definedName>
    <definedName name="가시나무R6">[6]데이타!$E$4</definedName>
    <definedName name="가시나무R8">[6]데이타!$E$5</definedName>
    <definedName name="가이즈까향1204">[6]데이타!$E$6</definedName>
    <definedName name="가이즈까향1505">[6]데이타!$E$7</definedName>
    <definedName name="가이즈까향2006">[6]데이타!$E$8</definedName>
    <definedName name="가이즈까향2008">[6]데이타!$E$9</definedName>
    <definedName name="가이즈까향2510">[6]데이타!$E$10</definedName>
    <definedName name="가중나무B10">[6]데이타!$E$19</definedName>
    <definedName name="가중나무B4">[6]데이타!$E$15</definedName>
    <definedName name="가중나무B5">[6]데이타!$E$16</definedName>
    <definedName name="가중나무B6">[6]데이타!$E$17</definedName>
    <definedName name="가중나무B8">[6]데이타!$E$18</definedName>
    <definedName name="감R10">[6]데이타!$E$24</definedName>
    <definedName name="감R12">[6]데이타!$E$25</definedName>
    <definedName name="감R15">[6]데이타!$E$26</definedName>
    <definedName name="감R5">[6]데이타!$E$20</definedName>
    <definedName name="감R6">[6]데이타!$E$21</definedName>
    <definedName name="감R7">[6]데이타!$E$22</definedName>
    <definedName name="감R8">[6]데이타!$E$23</definedName>
    <definedName name="개나리12">[6]데이타!$E$31</definedName>
    <definedName name="개나리3">[6]데이타!$E$27</definedName>
    <definedName name="개나리5">[6]데이타!$E$28</definedName>
    <definedName name="개나리7">[6]데이타!$E$29</definedName>
    <definedName name="개나리9">[6]데이타!$E$30</definedName>
    <definedName name="개쉬땅1204">[6]데이타!$E$32</definedName>
    <definedName name="개쉬땅1506">[6]데이타!$E$33</definedName>
    <definedName name="겹동백1002">[6]데이타!$E$145</definedName>
    <definedName name="겹동백1204">[6]데이타!$E$146</definedName>
    <definedName name="겹동백1506">[6]데이타!$E$147</definedName>
    <definedName name="겹벗R6">[6]데이타!$E$34</definedName>
    <definedName name="겹벗R8">[6]데이타!$E$35</definedName>
    <definedName name="겹철쭉0304">[6]데이타!$E$36</definedName>
    <definedName name="겹철쭉0506">[6]데이타!$E$37</definedName>
    <definedName name="겹철쭉0608">[6]데이타!$E$38</definedName>
    <definedName name="겹철쭉0810">[6]데이타!$E$39</definedName>
    <definedName name="겹철쭉0812">[6]데이타!$E$40</definedName>
    <definedName name="경암">#REF!</definedName>
    <definedName name="계" localSheetId="1">[2]Sheet1!#REF!</definedName>
    <definedName name="계">[2]Sheet1!#REF!</definedName>
    <definedName name="계수B5">[6]데이타!$E$41</definedName>
    <definedName name="계수B6">[6]데이타!$E$42</definedName>
    <definedName name="계수B8">[6]데이타!$E$43</definedName>
    <definedName name="고광3">[6]데이타!$E$44</definedName>
    <definedName name="고광5">[6]데이타!$E$45</definedName>
    <definedName name="곰솔2508">[7]데이타!$E$46</definedName>
    <definedName name="곰솔3010">[6]데이타!$E$47</definedName>
    <definedName name="곰솔R10">[6]데이타!$E$48</definedName>
    <definedName name="곰솔R12">[6]데이타!$E$49</definedName>
    <definedName name="곰솔R15">[6]데이타!$E$50</definedName>
    <definedName name="광나무1003">[6]데이타!$E$51</definedName>
    <definedName name="광나무1203">[6]데이타!$E$52</definedName>
    <definedName name="광나무1506">[6]데이타!$E$53</definedName>
    <definedName name="광편백0405">[6]데이타!$E$153</definedName>
    <definedName name="광편백0507">[6]데이타!$E$154</definedName>
    <definedName name="광편백0509">[6]데이타!$E$155</definedName>
    <definedName name="구상나무1505">[6]데이타!$E$69</definedName>
    <definedName name="구상나무2008">[6]데이타!$E$70</definedName>
    <definedName name="구상나무2510">[6]데이타!$E$71</definedName>
    <definedName name="구상나무3012">[6]데이타!$E$72</definedName>
    <definedName name="구조수량집계">#REF!</definedName>
    <definedName name="권리내용">#REF!</definedName>
    <definedName name="권리성명">#REF!</definedName>
    <definedName name="권리주소">#REF!</definedName>
    <definedName name="금송1006">[6]데이타!$E$73</definedName>
    <definedName name="금송1208">[6]데이타!$E$74</definedName>
    <definedName name="금송1510">[6]데이타!$E$75</definedName>
    <definedName name="깨기" localSheetId="1" hidden="1">{"'산출근거'!$B$4:$D$8"}</definedName>
    <definedName name="깨기" hidden="1">{"'산출근거'!$B$4:$D$8"}</definedName>
    <definedName name="꽃복숭아R3">[6]데이타!$E$58</definedName>
    <definedName name="꽃복숭아R4">[6]데이타!$E$59</definedName>
    <definedName name="꽃복숭아R5">[6]데이타!$E$60</definedName>
    <definedName name="꽃사과R10">[6]데이타!$E$64</definedName>
    <definedName name="꽃사과R4">[6]데이타!$E$61</definedName>
    <definedName name="꽃사과R6">[6]데이타!$E$62</definedName>
    <definedName name="꽃사과R8">[6]데이타!$E$63</definedName>
    <definedName name="꽃아그배R10">[6]데이타!$E$68</definedName>
    <definedName name="꽃아그배R4">[6]데이타!$E$65</definedName>
    <definedName name="꽃아그배R6">[6]데이타!$E$66</definedName>
    <definedName name="꽃아그배R8">[6]데이타!$E$67</definedName>
    <definedName name="꽝꽝0304">[6]데이타!$E$54</definedName>
    <definedName name="꽝꽝0406">[6]데이타!$E$55</definedName>
    <definedName name="꽝꽝0508">[6]데이타!$E$56</definedName>
    <definedName name="꽝꽝0610">[6]데이타!$E$57</definedName>
    <definedName name="ㄴㄹㅇㄹ">#REF!</definedName>
    <definedName name="나" localSheetId="1" hidden="1">{"'산출근거'!$B$4:$D$8"}</definedName>
    <definedName name="나" hidden="1">{"'산출근거'!$B$4:$D$8"}</definedName>
    <definedName name="낙방" localSheetId="1" hidden="1">{"'산출근거'!$B$4:$D$8"}</definedName>
    <definedName name="낙방" hidden="1">{"'산출근거'!$B$4:$D$8"}</definedName>
    <definedName name="낙상홍1004">[6]데이타!$E$76</definedName>
    <definedName name="낙상홍1506">[6]데이타!$E$77</definedName>
    <definedName name="낙상홍1808">[6]데이타!$E$78</definedName>
    <definedName name="낙상홍2010">[6]데이타!$E$79</definedName>
    <definedName name="낙상홍2515">[6]데이타!$E$80</definedName>
    <definedName name="낙석방지">#REF!</definedName>
    <definedName name="낙석방지책">#REF!</definedName>
    <definedName name="낙석방지책기초">#REF!</definedName>
    <definedName name="낙석방지책단위수량1" localSheetId="1" hidden="1">{"'산출근거'!$B$4:$D$8"}</definedName>
    <definedName name="낙석방지책단위수량1" hidden="1">{"'산출근거'!$B$4:$D$8"}</definedName>
    <definedName name="낙석방지책수량">#REF!</definedName>
    <definedName name="낙우송R10">[6]데이타!$E$84</definedName>
    <definedName name="낙우송R12">[6]데이타!$E$85</definedName>
    <definedName name="낙우송R5">[6]데이타!$E$81</definedName>
    <definedName name="낙우송R6">[6]데이타!$E$82</definedName>
    <definedName name="낙우송R8">[6]데이타!$E$83</definedName>
    <definedName name="난간">#REF!</definedName>
    <definedName name="난간1">#REF!</definedName>
    <definedName name="난간2" localSheetId="1" hidden="1">{"'산출근거'!$B$4:$D$8"}</definedName>
    <definedName name="난간2" hidden="1">{"'산출근거'!$B$4:$D$8"}</definedName>
    <definedName name="노르웨이R12">[6]데이타!$E$90</definedName>
    <definedName name="노르웨이R15">[6]데이타!$E$91</definedName>
    <definedName name="노르웨이R4">[6]데이타!$E$86</definedName>
    <definedName name="노르웨이R5">[6]데이타!$E$87</definedName>
    <definedName name="노르웨이R6">[6]데이타!$E$88</definedName>
    <definedName name="노르웨이R8">[6]데이타!$E$89</definedName>
    <definedName name="노무비" localSheetId="1">[8]코드표!#REF!</definedName>
    <definedName name="노무비">[8]코드표!#REF!</definedName>
    <definedName name="노무비1" localSheetId="1">[9]코드표!#REF!</definedName>
    <definedName name="노무비1">[9]코드표!#REF!</definedName>
    <definedName name="높이">'[1]DATA 입력란'!$G$5</definedName>
    <definedName name="놓노ㅗㄴㄴㄴㄴㄴㄴㄴㄴ">#REF!</definedName>
    <definedName name="눈향L06">[6]데이타!$E$92</definedName>
    <definedName name="눈향L08">[6]데이타!$E$93</definedName>
    <definedName name="눈향L10">[6]데이타!$E$94</definedName>
    <definedName name="눈향L14">[6]데이타!$E$95</definedName>
    <definedName name="눈향L20">[6]데이타!$E$96</definedName>
    <definedName name="느릅R10">[6]데이타!$E$100</definedName>
    <definedName name="느릅R4">[6]데이타!$E$97</definedName>
    <definedName name="느릅R5">[6]데이타!$E$98</definedName>
    <definedName name="느릅R8">[7]데이타!$E$99</definedName>
    <definedName name="느티R10">[7]데이타!$E$104</definedName>
    <definedName name="느티R12">[6]데이타!$E$105</definedName>
    <definedName name="느티R15">[6]데이타!$E$106</definedName>
    <definedName name="느티R18">[6]데이타!$E$107</definedName>
    <definedName name="느티R20">[6]데이타!$E$108</definedName>
    <definedName name="느티R25">[6]데이타!$E$109</definedName>
    <definedName name="느티R30">[6]데이타!$E$110</definedName>
    <definedName name="느티R5">[6]데이타!$E$101</definedName>
    <definedName name="느티R6">[6]데이타!$E$102</definedName>
    <definedName name="느티R8">[6]데이타!$E$103</definedName>
    <definedName name="능소화R2">[6]데이타!$E$111</definedName>
    <definedName name="능소화R4">[6]데이타!$E$112</definedName>
    <definedName name="능소화R6">[6]데이타!$E$113</definedName>
    <definedName name="ㄷㅈㅂㄹㄴㅀㅀㄴ">#REF!</definedName>
    <definedName name="담쟁이L03">[6]데이타!$E$114</definedName>
    <definedName name="대왕참R10">[6]데이타!$E$118</definedName>
    <definedName name="대왕참R4">[6]데이타!$E$115</definedName>
    <definedName name="대왕참R6">[6]데이타!$E$116</definedName>
    <definedName name="대왕참R8">[6]데이타!$E$117</definedName>
    <definedName name="대추R10">[6]데이타!$E$123</definedName>
    <definedName name="대추R4">[6]데이타!$E$119</definedName>
    <definedName name="대추R5">[6]데이타!$E$120</definedName>
    <definedName name="대추R6">[6]데이타!$E$121</definedName>
    <definedName name="대추R8">[6]데이타!$E$122</definedName>
    <definedName name="덩굴장미3">[6]데이타!$E$128</definedName>
    <definedName name="덩굴장미4">[6]데이타!$E$129</definedName>
    <definedName name="덩굴장미5">[6]데이타!$E$130</definedName>
    <definedName name="도급공사비" localSheetId="1">'[10]2공구산출내역'!#REF!</definedName>
    <definedName name="도급공사비">'[10]2공구산출내역'!#REF!</definedName>
    <definedName name="도로표지판" localSheetId="1" hidden="1">{"'산출근거'!$B$4:$D$8"}</definedName>
    <definedName name="도로표지판" hidden="1">{"'산출근거'!$B$4:$D$8"}</definedName>
    <definedName name="독일가문비1206">[6]데이타!$E$131</definedName>
    <definedName name="독일가문비1508">[6]데이타!$E$132</definedName>
    <definedName name="독일가문비2010">[6]데이타!$E$133</definedName>
    <definedName name="독일가문비2512">[6]데이타!$E$134</definedName>
    <definedName name="독일가문비3015">[6]데이타!$E$135</definedName>
    <definedName name="독일가문비3518">[6]데이타!$E$136</definedName>
    <definedName name="돈나무0504">[6]데이타!$E$137</definedName>
    <definedName name="돈나무0805">[6]데이타!$E$138</definedName>
    <definedName name="돈나무1007">[6]데이타!$E$139</definedName>
    <definedName name="돈나무1210">[6]데이타!$E$140</definedName>
    <definedName name="동백1002">[6]데이타!$E$141</definedName>
    <definedName name="동백1204">[6]데이타!$E$142</definedName>
    <definedName name="동백1506">[6]데이타!$E$143</definedName>
    <definedName name="동백1808">[6]데이타!$E$144</definedName>
    <definedName name="등R2">[6]데이타!$E$156</definedName>
    <definedName name="등R4">[6]데이타!$E$157</definedName>
    <definedName name="등R6">[6]데이타!$E$158</definedName>
    <definedName name="등R8">[6]데이타!$E$159</definedName>
    <definedName name="때죽R10">[6]데이타!$E$127</definedName>
    <definedName name="때죽R4">[6]데이타!$E$124</definedName>
    <definedName name="때죽R6">[6]데이타!$E$125</definedName>
    <definedName name="때죽R8">[6]데이타!$E$126</definedName>
    <definedName name="ㄹ노노노">#REF!</definedName>
    <definedName name="ㄹㄹ" localSheetId="1" hidden="1">#REF!</definedName>
    <definedName name="ㄹㄹ" hidden="1">#REF!</definedName>
    <definedName name="ㄹㅇㄴㄹ" localSheetId="1" hidden="1">{"'산출근거'!$B$4:$D$8"}</definedName>
    <definedName name="ㄹㅇㄴㄹ" hidden="1">{"'산출근거'!$B$4:$D$8"}</definedName>
    <definedName name="ㄹㅇㅀㅎ노">#REF!</definedName>
    <definedName name="ㄹ호허오허">#REF!</definedName>
    <definedName name="로ㅗㄴ허ㅓㅓㅓㅓㅗㅗㅘ라">#REF!</definedName>
    <definedName name="ㄻㅇㅎㅁㅎㅎㅎㅎ">#REF!</definedName>
    <definedName name="ㅁ">#REF!</definedName>
    <definedName name="ㅁ1">#REF!</definedName>
    <definedName name="ㅁㄴㄷㄷ">#REF!</definedName>
    <definedName name="ㅁㄴㅇㄹ">#REF!</definedName>
    <definedName name="ㅁㄴㅇㅁㄴㅇ">#REF!</definedName>
    <definedName name="ㅁㄴㅇㅇㄴ">#REF!</definedName>
    <definedName name="ㅁㅁ" localSheetId="1" hidden="1">{"'산출근거'!$B$4:$D$8"}</definedName>
    <definedName name="ㅁㅁ" hidden="1">{"'산출근거'!$B$4:$D$8"}</definedName>
    <definedName name="ㅁㅁㅁ" hidden="1">{"'산출근거'!$B$4:$D$8"}</definedName>
    <definedName name="ㅁㅁㅁㅁ" hidden="1">{"'산출근거'!$B$4:$D$8"}</definedName>
    <definedName name="마가목R3">[6]데이타!$E$160</definedName>
    <definedName name="마가목R5">[6]데이타!$E$161</definedName>
    <definedName name="마가목R7">[6]데이타!$E$162</definedName>
    <definedName name="말발도리1003">[6]데이타!$E$163</definedName>
    <definedName name="말발도리1204">[6]데이타!$E$164</definedName>
    <definedName name="말발도리1506">[6]데이타!$E$165</definedName>
    <definedName name="매자0804">[6]데이타!$E$166</definedName>
    <definedName name="매자1005">[6]데이타!$E$167</definedName>
    <definedName name="매화R10">[6]데이타!$E$174</definedName>
    <definedName name="매화R4">[6]데이타!$E$171</definedName>
    <definedName name="매화R6">[6]데이타!$E$172</definedName>
    <definedName name="매화R8">[6]데이타!$E$173</definedName>
    <definedName name="메1" localSheetId="1">[2]Sheet1!#REF!</definedName>
    <definedName name="메1">[2]Sheet1!#REF!</definedName>
    <definedName name="메2" localSheetId="1">#REF!</definedName>
    <definedName name="메2">#REF!</definedName>
    <definedName name="메3" localSheetId="1">#REF!</definedName>
    <definedName name="메3">#REF!</definedName>
    <definedName name="메4" localSheetId="1">#REF!</definedName>
    <definedName name="메4">#REF!</definedName>
    <definedName name="메타B10">[6]데이타!$E$179</definedName>
    <definedName name="메타B12">[6]데이타!$E$180</definedName>
    <definedName name="메타B15">[6]데이타!$E$181</definedName>
    <definedName name="메타B18">[6]데이타!$E$182</definedName>
    <definedName name="메타B4">[6]데이타!$E$175</definedName>
    <definedName name="메타B5">[6]데이타!$E$176</definedName>
    <definedName name="메타B6">[6]데이타!$E$177</definedName>
    <definedName name="메타B8">[6]데이타!$E$178</definedName>
    <definedName name="명자0604">[6]데이타!$E$183</definedName>
    <definedName name="명자0805">[6]데이타!$E$184</definedName>
    <definedName name="명자1006">[6]데이타!$E$185</definedName>
    <definedName name="명자1208">[6]데이타!$E$186</definedName>
    <definedName name="모감주R10">[6]데이타!$E$190</definedName>
    <definedName name="모감주R4">[6]데이타!$E$187</definedName>
    <definedName name="모감주R6">[6]데이타!$E$188</definedName>
    <definedName name="모감주R8">[6]데이타!$E$189</definedName>
    <definedName name="모과2005">[6]데이타!$E$191</definedName>
    <definedName name="모과2507">[6]데이타!$E$192</definedName>
    <definedName name="모과R10">[6]데이타!$E$195</definedName>
    <definedName name="모과R12">[6]데이타!$E$196</definedName>
    <definedName name="모과R15">[6]데이타!$E$197</definedName>
    <definedName name="모과R20">[6]데이타!$E$198</definedName>
    <definedName name="모과R25">[6]데이타!$E$199</definedName>
    <definedName name="모과R5">[6]데이타!$E$193</definedName>
    <definedName name="모과R8">[6]데이타!$E$194</definedName>
    <definedName name="모란5가지">[6]데이타!$E$200</definedName>
    <definedName name="모란6가지">[6]데이타!$E$201</definedName>
    <definedName name="목련R10">[6]데이타!$E$206</definedName>
    <definedName name="목련R12">[6]데이타!$E$207</definedName>
    <definedName name="목련R15">[6]데이타!$E$208</definedName>
    <definedName name="목련R20">[6]데이타!$E$209</definedName>
    <definedName name="목련R4">[6]데이타!$E$202</definedName>
    <definedName name="목련R5">[6]데이타!$E$203</definedName>
    <definedName name="목련R6">[6]데이타!$E$204</definedName>
    <definedName name="목련R8">[6]데이타!$E$205</definedName>
    <definedName name="목서1506">[6]데이타!$E$213</definedName>
    <definedName name="목서2012">[6]데이타!$E$214</definedName>
    <definedName name="목서2515">[6]데이타!$E$215</definedName>
    <definedName name="목수국1006">[6]데이타!$E$210</definedName>
    <definedName name="목수국1208">[6]데이타!$E$211</definedName>
    <definedName name="목수국1510">[6]데이타!$E$212</definedName>
    <definedName name="무궁화1003">[6]데이타!$E$216</definedName>
    <definedName name="무궁화1203">[6]데이타!$E$217</definedName>
    <definedName name="무궁화1504">[6]데이타!$E$218</definedName>
    <definedName name="무궁화1805">[6]데이타!$E$219</definedName>
    <definedName name="무궁화2006">[6]데이타!$E$220</definedName>
    <definedName name="무무">#REF!</definedName>
    <definedName name="물푸레R5">[6]데이타!$E$221</definedName>
    <definedName name="물푸레R6">[6]데이타!$E$222</definedName>
    <definedName name="물푸레R8">[6]데이타!$E$223</definedName>
    <definedName name="뭐야" localSheetId="1">#REF!</definedName>
    <definedName name="뭐야">#REF!</definedName>
    <definedName name="뭘까" localSheetId="1">#REF!</definedName>
    <definedName name="뭘까">#REF!</definedName>
    <definedName name="미선0804">[6]데이타!$E$224</definedName>
    <definedName name="미선1206">[6]데이타!$E$225</definedName>
    <definedName name="미치것다" localSheetId="1">#REF!</definedName>
    <definedName name="미치것다">#REF!</definedName>
    <definedName name="ㅂㅂ">#REF!</definedName>
    <definedName name="ㅂㅈㄴㄴㅇ" hidden="1">{"'산출근거'!$B$4:$D$8"}</definedName>
    <definedName name="ㅂㅈㄷ">#REF!</definedName>
    <definedName name="반송1012">[6]데이타!$E$148</definedName>
    <definedName name="반송1215">[6]데이타!$E$149</definedName>
    <definedName name="반송1518">[6]데이타!$E$150</definedName>
    <definedName name="반송1520">[6]데이타!$E$151</definedName>
    <definedName name="반송2022">[6]데이타!$E$152</definedName>
    <definedName name="반토압도">'[1]DATA 입력란'!$D$34</definedName>
    <definedName name="반토압콘">'[1]DATA 입력란'!$D$29</definedName>
    <definedName name="배수공수량집계" localSheetId="1" hidden="1">{"'산출근거'!$B$4:$D$8"}</definedName>
    <definedName name="배수공수량집계" hidden="1">{"'산출근거'!$B$4:$D$8"}</definedName>
    <definedName name="버팀목">#REF!</definedName>
    <definedName name="버팀목EA">#REF!</definedName>
    <definedName name="번호" localSheetId="1">[2]Sheet1!#REF!</definedName>
    <definedName name="번호">[2]Sheet1!#REF!</definedName>
    <definedName name="보충" localSheetId="1">#REF!</definedName>
    <definedName name="보충">#REF!</definedName>
    <definedName name="보통인부">[7]데이타!$E$659</definedName>
    <definedName name="보통인부B10">[6]식재인부!$C$24</definedName>
    <definedName name="보통인부B4이하">[6]식재인부!$C$18</definedName>
    <definedName name="보통인부B5">[6]식재인부!$C$19</definedName>
    <definedName name="보통인부B6">[6]식재인부!$C$20</definedName>
    <definedName name="보통인부B8">[6]식재인부!$C$22</definedName>
    <definedName name="보통인부R10">[6]식재인부!$C$54</definedName>
    <definedName name="보통인부R12">[6]식재인부!$C$56</definedName>
    <definedName name="보통인부R15">[6]식재인부!$C$59</definedName>
    <definedName name="보통인부R4이하">[6]식재인부!$C$48</definedName>
    <definedName name="보통인부R5">[6]식재인부!$C$49</definedName>
    <definedName name="보통인부R6">[6]식재인부!$C$50</definedName>
    <definedName name="보통인부R7">[6]식재인부!$C$51</definedName>
    <definedName name="보통인부R8">[6]식재인부!$C$52</definedName>
    <definedName name="부대" localSheetId="1" hidden="1">{"'산출근거'!$B$4:$D$8"}</definedName>
    <definedName name="부대" hidden="1">{"'산출근거'!$B$4:$D$8"}</definedName>
    <definedName name="부대자재수량집계표" localSheetId="1" hidden="1">{"'산출근거'!$B$4:$D$8"}</definedName>
    <definedName name="부대자재수량집계표" hidden="1">{"'산출근거'!$B$4:$D$8"}</definedName>
    <definedName name="비고">#REF!</definedName>
    <definedName name="사하중">'[1]1. 설계조건 2.단면가정 3. 하중계산'!$I$69</definedName>
    <definedName name="사하중도">'[1]DATA 입력란'!$D$31</definedName>
    <definedName name="사하중콘">'[1]DATA 입력란'!$D$26</definedName>
    <definedName name="산출조서2">#REF!</definedName>
    <definedName name="석축" localSheetId="1">#REF!</definedName>
    <definedName name="석축">#REF!</definedName>
    <definedName name="소유자성명">#REF!</definedName>
    <definedName name="소유자주소">#REF!</definedName>
    <definedName name="소재지">#REF!</definedName>
    <definedName name="수량산출" localSheetId="1" hidden="1">{"'산출근거'!$B$4:$D$8"}</definedName>
    <definedName name="수량산출" hidden="1">{"'산출근거'!$B$4:$D$8"}</definedName>
    <definedName name="수로관단위수량" localSheetId="1" hidden="1">{"'산출근거'!$B$4:$D$8"}</definedName>
    <definedName name="수로관단위수량" hidden="1">{"'산출근거'!$B$4:$D$8"}</definedName>
    <definedName name="수리" localSheetId="1" hidden="1">{"'산출근거'!$B$4:$D$8"}</definedName>
    <definedName name="수리" hidden="1">{"'산출근거'!$B$4:$D$8"}</definedName>
    <definedName name="수리1" localSheetId="1" hidden="1">{"'산출근거'!$B$4:$D$8"}</definedName>
    <definedName name="수리1" hidden="1">{"'산출근거'!$B$4:$D$8"}</definedName>
    <definedName name="수림대대">#REF!</definedName>
    <definedName name="순번">#REF!</definedName>
    <definedName name="식재">[11]코드표!$A$1:$F$65536</definedName>
    <definedName name="신" localSheetId="1">[2]Sheet1!#REF!</definedName>
    <definedName name="신">[2]Sheet1!#REF!</definedName>
    <definedName name="ㅇ" localSheetId="1" hidden="1">{"'산출근거'!$B$4:$D$8"}</definedName>
    <definedName name="ㅇ" hidden="1">{"'산출근거'!$B$4:$D$8"}</definedName>
    <definedName name="ㅇㄴㅁ">#REF!</definedName>
    <definedName name="ㅇㄹ">#REF!</definedName>
    <definedName name="ㅇㅀ">#REF!</definedName>
    <definedName name="ㅇㅁㄴㅇ">#REF!</definedName>
    <definedName name="ㅇㅇ" localSheetId="1" hidden="1">[12]구조물터파기수량집계!#REF!</definedName>
    <definedName name="ㅇㅇ" hidden="1">[12]구조물터파기수량집계!#REF!</definedName>
    <definedName name="ㅇㅇㅇ">#REF!</definedName>
    <definedName name="ㅇㅇㅇㅇㅇㅇㅇㅇㅇ">#REF!</definedName>
    <definedName name="ㅇㅎㅎㅀㅎㅎㅎㅎㅎㄶ">#REF!</definedName>
    <definedName name="양매자0403">[6]데이타!$E$168</definedName>
    <definedName name="양매자0505">[6]데이타!$E$169</definedName>
    <definedName name="양매자0606">[6]데이타!$E$170</definedName>
    <definedName name="연번">#REF!</definedName>
    <definedName name="연암">#REF!</definedName>
    <definedName name="와일노" localSheetId="1">#REF!</definedName>
    <definedName name="와일노">#REF!</definedName>
    <definedName name="용지조서">#REF!</definedName>
    <definedName name="위치조서">#REF!</definedName>
    <definedName name="이공구가설비" localSheetId="1">#REF!</definedName>
    <definedName name="이공구가설비">#REF!</definedName>
    <definedName name="이공구간접노무비" localSheetId="1">#REF!</definedName>
    <definedName name="이공구간접노무비">#REF!</definedName>
    <definedName name="이공구공사원가" localSheetId="1">#REF!</definedName>
    <definedName name="이공구공사원가">#REF!</definedName>
    <definedName name="이공구기타경비" localSheetId="1">#REF!</definedName>
    <definedName name="이공구기타경비">#REF!</definedName>
    <definedName name="이공구부가가치세" localSheetId="1">'[10]2공구산출내역'!#REF!</definedName>
    <definedName name="이공구부가가치세">'[10]2공구산출내역'!#REF!</definedName>
    <definedName name="이공구산재보험료" localSheetId="1">#REF!</definedName>
    <definedName name="이공구산재보험료">#REF!</definedName>
    <definedName name="이공구안전관리비" localSheetId="1">#REF!</definedName>
    <definedName name="이공구안전관리비">#REF!</definedName>
    <definedName name="이공구이윤" localSheetId="1">#REF!</definedName>
    <definedName name="이공구이윤">#REF!</definedName>
    <definedName name="이공구일반관리비" localSheetId="1">#REF!</definedName>
    <definedName name="이공구일반관리비">#REF!</definedName>
    <definedName name="이런" localSheetId="1">#REF!</definedName>
    <definedName name="이런">#REF!</definedName>
    <definedName name="일공구직영비" localSheetId="1">#REF!</definedName>
    <definedName name="일공구직영비">#REF!</definedName>
    <definedName name="ㅈㅈ" localSheetId="1" hidden="1">[12]측구터파기공수량집계!#REF!</definedName>
    <definedName name="ㅈㅈ" hidden="1">[12]측구터파기공수량집계!#REF!</definedName>
    <definedName name="장산교" localSheetId="1">[2]Sheet1!#REF!</definedName>
    <definedName name="장산교">[2]Sheet1!#REF!</definedName>
    <definedName name="전토압도">'[1]DATA 입력란'!$D$33</definedName>
    <definedName name="전토압콘">'[1]DATA 입력란'!$D$28</definedName>
    <definedName name="절토">#REF!</definedName>
    <definedName name="접속" localSheetId="1" hidden="1">{"'산출근거'!$B$4:$D$8"}</definedName>
    <definedName name="접속" hidden="1">{"'산출근거'!$B$4:$D$8"}</definedName>
    <definedName name="접속1" localSheetId="1" hidden="1">{"'산출근거'!$B$4:$D$8"}</definedName>
    <definedName name="접속1" hidden="1">{"'산출근거'!$B$4:$D$8"}</definedName>
    <definedName name="접속도로" localSheetId="1" hidden="1">{"'산출근거'!$B$4:$D$8"}</definedName>
    <definedName name="접속도로" hidden="1">{"'산출근거'!$B$4:$D$8"}</definedName>
    <definedName name="제목">'[1]DATA 입력란'!$C$1</definedName>
    <definedName name="조경공">[7]데이타!$E$658</definedName>
    <definedName name="조경공B10">[6]식재인부!$B$24</definedName>
    <definedName name="조경공B4이하">[6]식재인부!$B$18</definedName>
    <definedName name="조경공B5">[6]식재인부!$B$19</definedName>
    <definedName name="조경공B6">[6]식재인부!$B$20</definedName>
    <definedName name="조경공B8">[6]식재인부!$B$22</definedName>
    <definedName name="조경공R10">[6]식재인부!$B$54</definedName>
    <definedName name="조경공R12">[6]식재인부!$B$56</definedName>
    <definedName name="조경공R15">[6]식재인부!$B$59</definedName>
    <definedName name="조경공R4이하">[6]식재인부!$B$48</definedName>
    <definedName name="조경공R5">[6]식재인부!$B$49</definedName>
    <definedName name="조경공R6">[6]식재인부!$B$50</definedName>
    <definedName name="조경공R7">[6]식재인부!$B$51</definedName>
    <definedName name="조경공R8">[6]식재인부!$B$52</definedName>
    <definedName name="조서">#REF!</definedName>
    <definedName name="조원공_1.1_1.5">[6]식재인부!$B$5</definedName>
    <definedName name="조형가이즈까3010">[6]데이타!$E$11</definedName>
    <definedName name="조형가이즈까3012">[6]데이타!$E$12</definedName>
    <definedName name="조형가이즈까3014">[6]데이타!$E$13</definedName>
    <definedName name="조형가이즈까3516">[6]데이타!$E$14</definedName>
    <definedName name="주형받침">#REF!</definedName>
    <definedName name="주형받침EA">#REF!</definedName>
    <definedName name="지목">#REF!</definedName>
    <definedName name="지번">#REF!</definedName>
    <definedName name="지적">#REF!</definedName>
    <definedName name="지적편입면적">#REF!</definedName>
    <definedName name="직영비" localSheetId="1">'[10]2공구산출내역'!#REF!</definedName>
    <definedName name="직영비">'[10]2공구산출내역'!#REF!</definedName>
    <definedName name="집수정위치">#REF!</definedName>
    <definedName name="차선도색" localSheetId="1" hidden="1">{"'산출근거'!$B$4:$D$8"}</definedName>
    <definedName name="차선도색" hidden="1">{"'산출근거'!$B$4:$D$8"}</definedName>
    <definedName name="차선도색위치조서">#REF!</definedName>
    <definedName name="토" localSheetId="1">[2]Sheet1!#REF!</definedName>
    <definedName name="토">[2]Sheet1!#REF!</definedName>
    <definedName name="토사">#REF!</definedName>
    <definedName name="토피고">'[1]DATA 입력란'!$D$6</definedName>
    <definedName name="파일" localSheetId="1" hidden="1">'[12]배수공 시멘트 및 골재량 산출'!#REF!</definedName>
    <definedName name="파일" hidden="1">'[12]배수공 시멘트 및 골재량 산출'!#REF!</definedName>
    <definedName name="포장층_높이">'[1]DATA 입력란'!$D$7</definedName>
    <definedName name="폭">'[1]DATA 입력란'!$E$5</definedName>
    <definedName name="표지판">#REF!</definedName>
    <definedName name="풍화암">#REF!</definedName>
    <definedName name="풍화토">#REF!</definedName>
    <definedName name="픃옿옿ㅎㅎㅎ허">#REF!</definedName>
    <definedName name="플라타너스B8">[6]데이타!$E$552</definedName>
    <definedName name="ㅎ로ㅓㄴ허ㅓ">#REF!</definedName>
    <definedName name="ㅎㄻㅇㅎㅇㅁㅎㅎㅎㅎㅎ">#REF!</definedName>
    <definedName name="하늘이" localSheetId="1" hidden="1">{"'산출근거'!$B$4:$D$8"}</definedName>
    <definedName name="하늘이" hidden="1">{"'산출근거'!$B$4:$D$8"}</definedName>
    <definedName name="허ㅏㅇ아와ㅏㅇ">#REF!</definedName>
    <definedName name="호박돌">#REF!</definedName>
    <definedName name="호옹ㅇㄷㅅㄷㅎ">#REF!</definedName>
    <definedName name="활하중">'[1]1. 설계조건 2.단면가정 3. 하중계산'!$G$73</definedName>
    <definedName name="활하중도">'[1]DATA 입력란'!$D$32</definedName>
    <definedName name="활하중콘">'[1]DATA 입력란'!$D$27</definedName>
    <definedName name="흄관600집계">#REF!</definedName>
    <definedName name="ㅓㅎ겨ㅓㅓㅗㅓ">#REF!</definedName>
    <definedName name="ㅓ하아ㅗㄹㅇㅇㅇㅇㅎ">#REF!</definedName>
    <definedName name="ㅓㅓㅗㅓㅏ">#REF!</definedName>
    <definedName name="ㅓㅗ럴허ㅓㅓㅓㅓㅓㅓㅓ">#REF!</definedName>
    <definedName name="ㅓㅚㅣㅣㅗ">#REF!</definedName>
    <definedName name="ㅗㅎㅇ라ㅓㅡ">#REF!</definedName>
    <definedName name="ㅗ하ㅏㅣㄹㅇ라">#REF!</definedName>
    <definedName name="ㅗ하ㅓㅏㄹ허">#REF!</definedName>
    <definedName name="ㅗ허ㅏㅏㅏ">#REF!</definedName>
    <definedName name="ㅗ허ㅓㅗㅓㅓ">#REF!</definedName>
    <definedName name="ㅗㅓ롱노ㅓㅇ">#REF!</definedName>
    <definedName name="ㅡㅏㅣ">#REF!</definedName>
    <definedName name="ㅡㅡㅡㅡㅡ">#REF!</definedName>
    <definedName name="ㅣㅓㅣㅏㅓㅣ">#REF!</definedName>
  </definedNames>
  <calcPr calcId="162913"/>
</workbook>
</file>

<file path=xl/calcChain.xml><?xml version="1.0" encoding="utf-8"?>
<calcChain xmlns="http://schemas.openxmlformats.org/spreadsheetml/2006/main">
  <c r="F32" i="24" l="1"/>
  <c r="F31" i="24"/>
  <c r="F30" i="24"/>
  <c r="F29" i="24"/>
  <c r="F28" i="24"/>
  <c r="F27" i="24"/>
  <c r="F26" i="24"/>
  <c r="F25" i="24"/>
  <c r="F24" i="24"/>
  <c r="F23" i="24"/>
  <c r="F22" i="24"/>
  <c r="F21" i="24"/>
  <c r="F20" i="24"/>
  <c r="F19" i="24"/>
  <c r="F18" i="24"/>
  <c r="F17" i="24"/>
  <c r="F16" i="24"/>
  <c r="F15" i="24"/>
  <c r="F14" i="24"/>
  <c r="F13" i="24"/>
  <c r="F12" i="24"/>
  <c r="F11" i="24"/>
  <c r="F10" i="24"/>
  <c r="F9" i="24"/>
  <c r="G33" i="24"/>
  <c r="C40" i="24" s="1"/>
  <c r="E40" i="24" s="1"/>
  <c r="E3" i="1" s="1"/>
  <c r="C50" i="24"/>
  <c r="F50" i="24"/>
  <c r="E5" i="1" s="1"/>
  <c r="D5" i="24"/>
  <c r="E5" i="24" s="1"/>
  <c r="F8" i="24"/>
  <c r="F7" i="24"/>
  <c r="F6" i="24"/>
  <c r="F5" i="24"/>
  <c r="D8" i="24"/>
  <c r="E8" i="24" s="1"/>
  <c r="D7" i="24"/>
  <c r="E7" i="24" s="1"/>
  <c r="G3" i="24"/>
  <c r="E4" i="1"/>
  <c r="E38" i="24"/>
  <c r="C36" i="24" l="1"/>
  <c r="F36" i="24" s="1"/>
  <c r="E2" i="1" l="1"/>
  <c r="C42" i="24"/>
  <c r="H42" i="24" s="1"/>
  <c r="E45" i="24" l="1"/>
  <c r="E7" i="1"/>
  <c r="C45" i="24"/>
  <c r="I45" i="24" s="1"/>
  <c r="E6" i="1" l="1"/>
  <c r="D46" i="24"/>
  <c r="F46" i="24" l="1"/>
  <c r="D47" i="24"/>
</calcChain>
</file>

<file path=xl/sharedStrings.xml><?xml version="1.0" encoding="utf-8"?>
<sst xmlns="http://schemas.openxmlformats.org/spreadsheetml/2006/main" count="80" uniqueCount="76">
  <si>
    <t>번호</t>
    <phoneticPr fontId="19" type="noConversion"/>
  </si>
  <si>
    <t>공     종</t>
    <phoneticPr fontId="19" type="noConversion"/>
  </si>
  <si>
    <t>단 위</t>
    <phoneticPr fontId="19" type="noConversion"/>
  </si>
  <si>
    <t>비   고</t>
    <phoneticPr fontId="19" type="noConversion"/>
  </si>
  <si>
    <t>TON</t>
    <phoneticPr fontId="22" type="noConversion"/>
  </si>
  <si>
    <t>심 층 혼 합 공 법 수 량 산 출 근 거</t>
    <phoneticPr fontId="28" type="noConversion"/>
  </si>
  <si>
    <t>계</t>
    <phoneticPr fontId="22" type="noConversion"/>
  </si>
  <si>
    <t>물단위중량:1.0</t>
    <phoneticPr fontId="22" type="noConversion"/>
  </si>
  <si>
    <t>m</t>
    <phoneticPr fontId="22" type="noConversion"/>
  </si>
  <si>
    <t>m3</t>
    <phoneticPr fontId="22" type="noConversion"/>
  </si>
  <si>
    <t xml:space="preserve">      물시멘트비 : 0.8</t>
    <phoneticPr fontId="22" type="noConversion"/>
  </si>
  <si>
    <t>부상토발생율: 70%</t>
    <phoneticPr fontId="22" type="noConversion"/>
  </si>
  <si>
    <t>부상토단위중량: 1.7</t>
    <phoneticPr fontId="22" type="noConversion"/>
  </si>
  <si>
    <t>고로시멘트단위중량: 3.05</t>
    <phoneticPr fontId="22" type="noConversion"/>
  </si>
  <si>
    <t>회</t>
    <phoneticPr fontId="22" type="noConversion"/>
  </si>
  <si>
    <t>Bulk</t>
    <phoneticPr fontId="22" type="noConversion"/>
  </si>
  <si>
    <t>(5)시멘트량 - 심층혼합공법(￠1,000×4rod)</t>
    <phoneticPr fontId="22" type="noConversion"/>
  </si>
  <si>
    <t>규     격</t>
    <phoneticPr fontId="19" type="noConversion"/>
  </si>
  <si>
    <t>할증율 3%포함</t>
    <phoneticPr fontId="22" type="noConversion"/>
  </si>
  <si>
    <t>수        량</t>
    <phoneticPr fontId="22" type="noConversion"/>
  </si>
  <si>
    <t>9)본산 지반개량- 심층혼합공법</t>
    <phoneticPr fontId="22" type="noConversion"/>
  </si>
  <si>
    <t xml:space="preserve">A= </t>
    <phoneticPr fontId="22" type="noConversion"/>
  </si>
  <si>
    <t>1공당 면적 =</t>
    <phoneticPr fontId="22" type="noConversion"/>
  </si>
  <si>
    <t>1열 간격 =</t>
    <phoneticPr fontId="22" type="noConversion"/>
  </si>
  <si>
    <t>=</t>
    <phoneticPr fontId="22" type="noConversion"/>
  </si>
  <si>
    <t>(1)시공본수 - 심층혼합공법(￠1,000×4rod)</t>
    <phoneticPr fontId="22" type="noConversion"/>
  </si>
  <si>
    <t>(6)SLIME 정리비,적재 교반및사토 -심층혼합공법(￠1,000×4rod)</t>
    <phoneticPr fontId="22" type="noConversion"/>
  </si>
  <si>
    <t>(2)개량공 - 심층혼합공법(￠1,000×4rod,N≤5)</t>
    <phoneticPr fontId="22" type="noConversion"/>
  </si>
  <si>
    <t>시 멘 트</t>
    <phoneticPr fontId="22" type="noConversion"/>
  </si>
  <si>
    <t>N&lt;5</t>
    <phoneticPr fontId="22" type="noConversion"/>
  </si>
  <si>
    <t>N≤5/점성토/L=10.0M, 56공</t>
  </si>
  <si>
    <t>(3)개량공 - 심층혼합공법(￠1,000×4rod,N≤5)</t>
    <phoneticPr fontId="22" type="noConversion"/>
  </si>
  <si>
    <t>이토처리</t>
    <phoneticPr fontId="22" type="noConversion"/>
  </si>
  <si>
    <t>B/H0.7㎥+D/T24ton</t>
  </si>
  <si>
    <t>외부반입/반출</t>
    <phoneticPr fontId="22" type="noConversion"/>
  </si>
  <si>
    <t>-&gt; A 구간</t>
    <phoneticPr fontId="22" type="noConversion"/>
  </si>
  <si>
    <t xml:space="preserve">(8)부대공 </t>
    <phoneticPr fontId="22" type="noConversion"/>
  </si>
  <si>
    <t>(7)PETMAT(2열, T=10tf/m)</t>
    <phoneticPr fontId="22" type="noConversion"/>
  </si>
  <si>
    <t>PETMAT</t>
    <phoneticPr fontId="22" type="noConversion"/>
  </si>
  <si>
    <t>2열, T=10tf/m</t>
    <phoneticPr fontId="22" type="noConversion"/>
  </si>
  <si>
    <t>m2</t>
    <phoneticPr fontId="22" type="noConversion"/>
  </si>
  <si>
    <t>￠1,000×4rod, N&lt;5</t>
    <phoneticPr fontId="22" type="noConversion"/>
  </si>
  <si>
    <t>심층혼합처리(개량공)</t>
    <phoneticPr fontId="22" type="noConversion"/>
  </si>
  <si>
    <t>심층혼합처리(공삭공)</t>
    <phoneticPr fontId="22" type="noConversion"/>
  </si>
  <si>
    <t>PILE DRIVER 및 PLANT
조립및해체</t>
    <phoneticPr fontId="22" type="noConversion"/>
  </si>
  <si>
    <t>PILE DRIVER 및 MIXER PLANT 
조립및해체</t>
    <phoneticPr fontId="22" type="noConversion"/>
  </si>
  <si>
    <t>(4)공삭공 - 심층혼합공법(￠1,000×4rod) / 장비 주행성 확보 위한 복토 1.0m 포함</t>
    <phoneticPr fontId="22" type="noConversion"/>
  </si>
  <si>
    <t>※건설오니(SLIME) 건설폐기물 이월 :</t>
    <phoneticPr fontId="22" type="noConversion"/>
  </si>
  <si>
    <t>유등4교 A1 A=</t>
    <phoneticPr fontId="22" type="noConversion"/>
  </si>
  <si>
    <t>유등4교 A2 A=</t>
    <phoneticPr fontId="22" type="noConversion"/>
  </si>
  <si>
    <t>우암교 A1 A=</t>
    <phoneticPr fontId="22" type="noConversion"/>
  </si>
  <si>
    <t>우암교 A2 A=</t>
    <phoneticPr fontId="22" type="noConversion"/>
  </si>
  <si>
    <t>모산1교 A1 A=</t>
    <phoneticPr fontId="22" type="noConversion"/>
  </si>
  <si>
    <t>모산1교 A2 A=</t>
    <phoneticPr fontId="22" type="noConversion"/>
  </si>
  <si>
    <t>모산2교 A1 A=</t>
    <phoneticPr fontId="22" type="noConversion"/>
  </si>
  <si>
    <t>모산2교 A2 A=</t>
    <phoneticPr fontId="22" type="noConversion"/>
  </si>
  <si>
    <t>모산4교 A1 A=</t>
    <phoneticPr fontId="22" type="noConversion"/>
  </si>
  <si>
    <t>모산4교 A2 A=</t>
    <phoneticPr fontId="22" type="noConversion"/>
  </si>
  <si>
    <t>갈전1교 A1 A=</t>
    <phoneticPr fontId="22" type="noConversion"/>
  </si>
  <si>
    <t>갈전1교 A2 A=</t>
    <phoneticPr fontId="22" type="noConversion"/>
  </si>
  <si>
    <t>갈전2교 A1 A=</t>
    <phoneticPr fontId="22" type="noConversion"/>
  </si>
  <si>
    <t>갈전2교 A2 A=</t>
    <phoneticPr fontId="22" type="noConversion"/>
  </si>
  <si>
    <t>갈전3교 A1 A=</t>
    <phoneticPr fontId="22" type="noConversion"/>
  </si>
  <si>
    <t>갈전3교 A2 A=</t>
    <phoneticPr fontId="22" type="noConversion"/>
  </si>
  <si>
    <t>갈전4교 A1 A=</t>
    <phoneticPr fontId="22" type="noConversion"/>
  </si>
  <si>
    <t>갈전4교 A2 A=</t>
    <phoneticPr fontId="22" type="noConversion"/>
  </si>
  <si>
    <t>갈전5교 A1 A=</t>
    <phoneticPr fontId="22" type="noConversion"/>
  </si>
  <si>
    <t>갈전5교 A2 A=</t>
    <phoneticPr fontId="22" type="noConversion"/>
  </si>
  <si>
    <t>송정교 A1 A=</t>
    <phoneticPr fontId="22" type="noConversion"/>
  </si>
  <si>
    <t>송정교 A2 A=</t>
    <phoneticPr fontId="22" type="noConversion"/>
  </si>
  <si>
    <t>갈전6교 A1 A=</t>
    <phoneticPr fontId="22" type="noConversion"/>
  </si>
  <si>
    <t>갈전6교 A2 A=</t>
    <phoneticPr fontId="22" type="noConversion"/>
  </si>
  <si>
    <t>갈전7교 A1 A=</t>
    <phoneticPr fontId="22" type="noConversion"/>
  </si>
  <si>
    <t>갈전7교 A2 A=</t>
    <phoneticPr fontId="22" type="noConversion"/>
  </si>
  <si>
    <t>갈전9교 A1 A=</t>
    <phoneticPr fontId="22" type="noConversion"/>
  </si>
  <si>
    <t>갈전9교 A2 A=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</si>
</sst>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_);\(0\)"/>
    <numFmt numFmtId="177" formatCode="#,##0_ "/>
    <numFmt numFmtId="178" formatCode="#,##0.00_ "/>
    <numFmt numFmtId="179" formatCode="mm&quot;월&quot;\ dd&quot;일&quot;"/>
    <numFmt numFmtId="180" formatCode="0.0"/>
    <numFmt numFmtId="181" formatCode="0_ "/>
    <numFmt numFmtId="182" formatCode="&quot;US$&quot;#,##0.00_);[Red]\(&quot;US$&quot;#,##0.00\)"/>
    <numFmt numFmtId="183" formatCode="_ * #,##0_ ;_ * \-#,##0_ ;_ * &quot;-&quot;_ ;_ @_ "/>
    <numFmt numFmtId="184" formatCode="_ * #,##0.00_ ;_ * \-#,##0.00_ ;_ * &quot;-&quot;??_ ;_ @_ "/>
    <numFmt numFmtId="185" formatCode="\$#.00"/>
    <numFmt numFmtId="186" formatCode="%#.00"/>
    <numFmt numFmtId="187" formatCode="#.00"/>
    <numFmt numFmtId="188" formatCode="#,##0."/>
    <numFmt numFmtId="189" formatCode="\$#."/>
    <numFmt numFmtId="190" formatCode="#."/>
    <numFmt numFmtId="191" formatCode="&quot;RM&quot;#,##0_);[Red]&quot;₩&quot;\!\(&quot;RM&quot;#,##0&quot;₩&quot;\!\)"/>
    <numFmt numFmtId="192" formatCode="mm\/dd"/>
    <numFmt numFmtId="193" formatCode="&quot;₩&quot;#,##0;[Red]&quot;₩&quot;&quot;₩&quot;\-#,##0"/>
    <numFmt numFmtId="194" formatCode="_-[$€-2]* #,##0.00_-;\-[$€-2]* #,##0.00_-;_-[$€-2]* &quot;-&quot;??_-"/>
    <numFmt numFmtId="195" formatCode="0.000_ "/>
    <numFmt numFmtId="196" formatCode="_ &quot;₩&quot;* #,##0_ ;_ &quot;₩&quot;* \-#,##0_ ;_ &quot;₩&quot;* &quot;-&quot;_ ;_ @_ "/>
    <numFmt numFmtId="197" formatCode="_ &quot;₩&quot;* #,##0.00_ ;_ &quot;₩&quot;* \-#,##0.00_ ;_ &quot;₩&quot;* &quot;-&quot;??_ ;_ @_ "/>
    <numFmt numFmtId="198" formatCode="&quot;L.&quot;\ #,##0;&quot;L.&quot;\ \-#,##0"/>
    <numFmt numFmtId="199" formatCode="#,##0&quot; $&quot;;\-#,##0&quot; $&quot;"/>
    <numFmt numFmtId="200" formatCode="_-* #,##0.0_-;\-* #,##0.0_-;_-* &quot;-&quot;??_-;_-@_-"/>
    <numFmt numFmtId="201" formatCode="&quot;$&quot;#,##0_);[Red]\(&quot;$&quot;#,##0\)"/>
    <numFmt numFmtId="202" formatCode="#,##0&quot; &quot;;[Red]&quot;△&quot;#,##0&quot; &quot;"/>
    <numFmt numFmtId="203" formatCode="* #,##0&quot; &quot;;[Red]* &quot;△&quot;#,##0&quot; &quot;;* @"/>
    <numFmt numFmtId="204" formatCode="#,##0.####;[Red]&quot;△&quot;#,##0.####"/>
    <numFmt numFmtId="205" formatCode="#,##0.00##;[Red]&quot;△&quot;#,##0.00##"/>
    <numFmt numFmtId="206" formatCode="0.000\ &quot;²&quot;"/>
    <numFmt numFmtId="207" formatCode="0.00_ "/>
    <numFmt numFmtId="208" formatCode="0\ &quot;EA&quot;"/>
    <numFmt numFmtId="209" formatCode="&quot;(&quot;\ 0.00"/>
    <numFmt numFmtId="210" formatCode="&quot;₩&quot;#,##0;&quot;₩&quot;&quot;₩&quot;\-#,##0"/>
    <numFmt numFmtId="211" formatCode="_-* #,##0_-;\-* #,##0_-;_-* &quot;-&quot;??_-;_-@_-"/>
    <numFmt numFmtId="212" formatCode="0.00\ &quot;)&quot;"/>
    <numFmt numFmtId="213" formatCode="_-* #,##0.000_-;\-* #,##0.000_-;_-* &quot;-&quot;_-;_-@_-"/>
    <numFmt numFmtId="214" formatCode="0.0%"/>
    <numFmt numFmtId="215" formatCode="#,##0.0000_);\(#,##0.0000\)"/>
    <numFmt numFmtId="216" formatCode="_ * #,##0_ ;_ * &quot;₩&quot;&quot;₩&quot;&quot;₩&quot;&quot;₩&quot;\-#,##0_ ;_ * &quot;-&quot;_ ;_ @_ "/>
    <numFmt numFmtId="217" formatCode="0\ &quot;t&quot;"/>
    <numFmt numFmtId="218" formatCode="&quot;[(&quot;\ 0.00"/>
    <numFmt numFmtId="219" formatCode="0.00\ &quot;)]&quot;"/>
    <numFmt numFmtId="220" formatCode="&quot;Fr.&quot;\ #,##0;[Red]&quot;Fr.&quot;\ \-#,##0"/>
    <numFmt numFmtId="221" formatCode="&quot;Fr.&quot;\ #,##0.00;[Red]&quot;Fr.&quot;\ \-#,##0.00"/>
    <numFmt numFmtId="222" formatCode="#,##0;&quot;-&quot;#,##0"/>
    <numFmt numFmtId="223" formatCode="_(&quot;RM&quot;* #,##0.00_);_(&quot;RM&quot;* \(#,##0.00\);_(&quot;RM&quot;* &quot;-&quot;??_);_(@_)"/>
    <numFmt numFmtId="224" formatCode="&quot;US$&quot;#,##0_);\(&quot;US$&quot;#,##0\)"/>
    <numFmt numFmtId="225" formatCode="&quot;US$&quot;#,##0_);[Red]\(&quot;US$&quot;#,##0\)"/>
    <numFmt numFmtId="226" formatCode="@&quot; LINE&quot;"/>
    <numFmt numFmtId="227" formatCode="0.0_ "/>
    <numFmt numFmtId="228" formatCode="0&quot;본&quot;"/>
    <numFmt numFmtId="229" formatCode="0.0&quot;m&quot;"/>
    <numFmt numFmtId="230" formatCode="&quot;L=&quot;0.00&quot;M&quot;"/>
    <numFmt numFmtId="231" formatCode="&quot;● G.C.P 조성시 필요쇄석량 (본당 L=&quot;0.00&quot;M)&quot;"/>
    <numFmt numFmtId="232" formatCode="#,##0.00\ &quot;M3&quot;"/>
    <numFmt numFmtId="233" formatCode="&quot;● G.C.P 잔토량 (본당 L=&quot;0.00&quot;M)&quot;"/>
    <numFmt numFmtId="234" formatCode="0\)"/>
    <numFmt numFmtId="235" formatCode="0.0\}"/>
    <numFmt numFmtId="236" formatCode="#,#00\ &quot;본&quot;"/>
    <numFmt numFmtId="237" formatCode="0.00&quot;   = &quot;\ "/>
    <numFmt numFmtId="238" formatCode="0\ &quot;공    ×&quot;"/>
    <numFmt numFmtId="239" formatCode="0.00&quot;열      =&quot;"/>
    <numFmt numFmtId="240" formatCode="0&quot;공&quot;"/>
    <numFmt numFmtId="241" formatCode="0&quot;공    ×&quot;"/>
    <numFmt numFmtId="242" formatCode="0.00&quot;m     +&quot;"/>
    <numFmt numFmtId="243" formatCode="0.00&quot;m     =&quot;"/>
    <numFmt numFmtId="244" formatCode="0\ &quot;m&quot;"/>
    <numFmt numFmtId="245" formatCode="0&quot;공   ×&quot;"/>
    <numFmt numFmtId="246" formatCode="0&quot;kg/㎥    ×&quot;"/>
    <numFmt numFmtId="247" formatCode="0&quot;    =&quot;"/>
    <numFmt numFmtId="248" formatCode="0.00&quot;ton&quot;"/>
    <numFmt numFmtId="249" formatCode="0.00\ &quot;     /&quot;"/>
    <numFmt numFmtId="250" formatCode="0.0&quot;         =&quot;"/>
    <numFmt numFmtId="251" formatCode="0.0&quot;ton/㎥ )   ×&quot;"/>
    <numFmt numFmtId="252" formatCode="0.00&quot;ton/㎥  =&quot;"/>
    <numFmt numFmtId="253" formatCode="0\ &quot;BULK&quot;"/>
    <numFmt numFmtId="254" formatCode="0.00&quot;ton/㎥   +&quot;"/>
    <numFmt numFmtId="255" formatCode="#,##0.00&quot;ton&quot;"/>
    <numFmt numFmtId="256" formatCode="&quot;(&quot;#,##0.0&quot;ton      /&quot;"/>
    <numFmt numFmtId="257" formatCode="#,##0.0&quot;ton    ×&quot;"/>
    <numFmt numFmtId="258" formatCode="#,##0.00&quot;㎥&quot;"/>
    <numFmt numFmtId="259" formatCode="#,##0.00&quot;㎥  ×&quot;"/>
    <numFmt numFmtId="260" formatCode="#,##0.0&quot;m     ×&quot;"/>
    <numFmt numFmtId="261" formatCode="#,##0.0\ &quot;m&quot;"/>
    <numFmt numFmtId="262" formatCode="0.00&quot;     ÷&quot;"/>
    <numFmt numFmtId="263" formatCode="0.00&quot;㎡     ×&quot;"/>
    <numFmt numFmtId="264" formatCode="&quot;:&quot;\ #&quot;회&quot;"/>
    <numFmt numFmtId="265" formatCode="&quot;(L = &quot;#.#0&quot; m/본)&quot;\ "/>
    <numFmt numFmtId="266" formatCode="#,##0_);[Red]\(#,##0\)"/>
    <numFmt numFmtId="267" formatCode="0.00\ &quot;m2&quot;"/>
    <numFmt numFmtId="268" formatCode="0.00\ &quot;m2   = &quot;\ "/>
    <numFmt numFmtId="269" formatCode="0.00\ &quot;m2      /&quot;"/>
    <numFmt numFmtId="270" formatCode="0.00\ &quot;m&quot;"/>
    <numFmt numFmtId="271" formatCode="0\ &quot;공  /&quot;"/>
    <numFmt numFmtId="272" formatCode="0.00&quot;m      =&quot;"/>
    <numFmt numFmtId="273" formatCode="0.00&quot;m     &quot;"/>
    <numFmt numFmtId="274" formatCode="000.00&quot;m     &quot;"/>
    <numFmt numFmtId="275" formatCode="0.00\ &quot;m2      x&quot;"/>
    <numFmt numFmtId="276" formatCode="0\ &quot;열&quot;"/>
  </numFmts>
  <fonts count="80">
    <font>
      <sz val="11"/>
      <name val="돋움"/>
      <family val="3"/>
      <charset val="129"/>
    </font>
    <font>
      <sz val="10"/>
      <name val="Times New Roman"/>
      <family val="1"/>
    </font>
    <font>
      <sz val="10"/>
      <name val="MS Sans Serif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0"/>
      <color indexed="8"/>
      <name val="Arial"/>
      <family val="2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2"/>
      <name val="Times New Roman"/>
      <family val="1"/>
    </font>
    <font>
      <b/>
      <sz val="1"/>
      <color indexed="8"/>
      <name val="Courier"/>
      <family val="3"/>
    </font>
    <font>
      <sz val="11"/>
      <name val="바탕체"/>
      <family val="1"/>
      <charset val="129"/>
    </font>
    <font>
      <sz val="9"/>
      <name val="Arial"/>
      <family val="2"/>
    </font>
    <font>
      <sz val="10"/>
      <name val="Courier New"/>
      <family val="3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name val="명조"/>
      <family val="3"/>
      <charset val="129"/>
    </font>
    <font>
      <sz val="8"/>
      <name val="굴림체"/>
      <family val="3"/>
      <charset val="129"/>
    </font>
    <font>
      <sz val="11"/>
      <color indexed="20"/>
      <name val="맑은 고딕"/>
      <family val="3"/>
      <charset val="129"/>
    </font>
    <font>
      <b/>
      <sz val="8"/>
      <name val="돋움"/>
      <family val="3"/>
      <charset val="129"/>
    </font>
    <font>
      <sz val="8"/>
      <name val="돋움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뼥?ⓒ"/>
      <family val="3"/>
      <charset val="129"/>
    </font>
    <font>
      <sz val="14"/>
      <name val="뼻뮝"/>
      <family val="1"/>
      <charset val="129"/>
    </font>
    <font>
      <sz val="10"/>
      <color indexed="12"/>
      <name val="돋움"/>
      <family val="3"/>
      <charset val="129"/>
    </font>
    <font>
      <sz val="10"/>
      <name val="굴림체"/>
      <family val="3"/>
      <charset val="129"/>
    </font>
    <font>
      <sz val="10"/>
      <name val="돋움"/>
      <family val="3"/>
      <charset val="129"/>
    </font>
    <font>
      <sz val="10"/>
      <name val="돋움체"/>
      <family val="3"/>
      <charset val="129"/>
    </font>
    <font>
      <sz val="1"/>
      <color indexed="0"/>
      <name val="Courier"/>
      <family val="3"/>
    </font>
    <font>
      <sz val="11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9"/>
      <name val="굴림체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8"/>
      <name val="돋움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9"/>
      <name val="돋움"/>
      <family val="3"/>
      <charset val="129"/>
    </font>
    <font>
      <sz val="10"/>
      <color indexed="12"/>
      <name val="굴림체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돋움체"/>
      <family val="3"/>
      <charset val="129"/>
    </font>
    <font>
      <b/>
      <u/>
      <sz val="16"/>
      <name val="굴림체"/>
      <family val="3"/>
      <charset val="129"/>
    </font>
    <font>
      <sz val="9.5"/>
      <name val="굴림"/>
      <family val="3"/>
      <charset val="129"/>
    </font>
    <font>
      <sz val="10"/>
      <name val="굴림"/>
      <family val="3"/>
      <charset val="129"/>
    </font>
    <font>
      <sz val="12"/>
      <name val="ⓒoUAAA¨u"/>
      <family val="1"/>
      <charset val="129"/>
    </font>
    <font>
      <b/>
      <sz val="11"/>
      <color indexed="10"/>
      <name val="돋움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System"/>
      <family val="2"/>
      <charset val="129"/>
    </font>
    <font>
      <b/>
      <sz val="10"/>
      <name val="Helv"/>
      <family val="2"/>
    </font>
    <font>
      <i/>
      <sz val="1"/>
      <color indexed="8"/>
      <name val="Courier"/>
      <family val="3"/>
    </font>
    <font>
      <sz val="8"/>
      <name val="Arial"/>
      <family val="2"/>
    </font>
    <font>
      <sz val="10"/>
      <name val="바탕체"/>
      <family val="1"/>
      <charset val="129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7"/>
      <name val="Small Fonts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8"/>
      <name val="바탕체"/>
      <family val="1"/>
      <charset val="129"/>
    </font>
    <font>
      <b/>
      <sz val="15"/>
      <name val="굴림체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17"/>
      <name val="가는각진제목체"/>
      <family val="1"/>
      <charset val="129"/>
    </font>
    <font>
      <sz val="9"/>
      <color theme="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644">
    <xf numFmtId="0" fontId="0" fillId="0" borderId="0">
      <alignment vertical="center"/>
    </xf>
    <xf numFmtId="184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40" fontId="2" fillId="0" borderId="0" applyFont="0" applyFill="0" applyBorder="0" applyAlignment="0" applyProtection="0"/>
    <xf numFmtId="180" fontId="3" fillId="0" borderId="0" applyFont="0" applyFill="0" applyBorder="0" applyAlignment="0" applyProtection="0">
      <alignment vertical="center"/>
    </xf>
    <xf numFmtId="40" fontId="2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1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1" fillId="0" borderId="0"/>
    <xf numFmtId="0" fontId="3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1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5" fillId="0" borderId="0"/>
    <xf numFmtId="0" fontId="5" fillId="0" borderId="0"/>
    <xf numFmtId="0" fontId="2" fillId="0" borderId="0"/>
    <xf numFmtId="0" fontId="3" fillId="0" borderId="0"/>
    <xf numFmtId="0" fontId="3" fillId="0" borderId="0"/>
    <xf numFmtId="0" fontId="5" fillId="0" borderId="0"/>
    <xf numFmtId="0" fontId="6" fillId="0" borderId="0"/>
    <xf numFmtId="0" fontId="5" fillId="0" borderId="0"/>
    <xf numFmtId="190" fontId="7" fillId="0" borderId="0">
      <protection locked="0"/>
    </xf>
    <xf numFmtId="0" fontId="8" fillId="0" borderId="0">
      <protection locked="0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9" fillId="0" borderId="0"/>
    <xf numFmtId="179" fontId="3" fillId="0" borderId="0" applyFont="0" applyFill="0" applyBorder="0" applyProtection="0">
      <alignment vertical="center"/>
    </xf>
    <xf numFmtId="200" fontId="3" fillId="0" borderId="0">
      <alignment vertical="center"/>
    </xf>
    <xf numFmtId="211" fontId="3" fillId="0" borderId="0" applyFont="0" applyFill="0" applyBorder="0" applyAlignment="0" applyProtection="0">
      <alignment vertical="center"/>
    </xf>
    <xf numFmtId="190" fontId="7" fillId="0" borderId="0">
      <protection locked="0"/>
    </xf>
    <xf numFmtId="187" fontId="8" fillId="0" borderId="0">
      <protection locked="0"/>
    </xf>
    <xf numFmtId="190" fontId="7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183" fontId="11" fillId="0" borderId="1">
      <alignment vertical="center"/>
    </xf>
    <xf numFmtId="222" fontId="4" fillId="0" borderId="0">
      <alignment vertical="center"/>
    </xf>
    <xf numFmtId="184" fontId="12" fillId="0" borderId="0" applyFont="0" applyFill="0" applyBorder="0" applyAlignment="0" applyProtection="0"/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3" fontId="13" fillId="0" borderId="2">
      <alignment horizontal="right" vertical="center"/>
    </xf>
    <xf numFmtId="184" fontId="12" fillId="0" borderId="0" applyFont="0" applyFill="0" applyBorder="0" applyAlignment="0" applyProtection="0"/>
    <xf numFmtId="0" fontId="4" fillId="0" borderId="3">
      <alignment horizont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2" fontId="13" fillId="0" borderId="2">
      <alignment horizontal="right" vertical="center"/>
    </xf>
    <xf numFmtId="0" fontId="14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184" fontId="12" fillId="0" borderId="0" applyFont="0" applyFill="0" applyBorder="0" applyAlignment="0" applyProtection="0"/>
    <xf numFmtId="190" fontId="7" fillId="0" borderId="0">
      <protection locked="0"/>
    </xf>
    <xf numFmtId="0" fontId="8" fillId="0" borderId="0">
      <protection locked="0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40" fontId="2" fillId="0" borderId="0" applyFont="0" applyFill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184" fontId="1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80" fontId="55" fillId="0" borderId="0" applyNumberFormat="0" applyFont="0">
      <alignment horizontal="centerContinuous"/>
    </xf>
    <xf numFmtId="196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42" fontId="58" fillId="0" borderId="0" applyFont="0" applyFill="0" applyBorder="0" applyAlignment="0" applyProtection="0"/>
    <xf numFmtId="197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44" fontId="58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4" fillId="0" borderId="0" applyFont="0" applyFill="0" applyBorder="0" applyAlignment="0" applyProtection="0"/>
    <xf numFmtId="190" fontId="7" fillId="0" borderId="0">
      <protection locked="0"/>
    </xf>
    <xf numFmtId="186" fontId="8" fillId="0" borderId="0">
      <protection locked="0"/>
    </xf>
    <xf numFmtId="0" fontId="2" fillId="0" borderId="0"/>
    <xf numFmtId="197" fontId="59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41" fontId="58" fillId="0" borderId="0" applyFont="0" applyFill="0" applyBorder="0" applyAlignment="0" applyProtection="0"/>
    <xf numFmtId="184" fontId="5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6" fillId="0" borderId="0" applyFont="0" applyFill="0" applyBorder="0" applyAlignment="0" applyProtection="0"/>
    <xf numFmtId="43" fontId="58" fillId="0" borderId="0" applyFont="0" applyFill="0" applyBorder="0" applyAlignment="0" applyProtection="0"/>
    <xf numFmtId="4" fontId="8" fillId="0" borderId="0">
      <protection locked="0"/>
    </xf>
    <xf numFmtId="188" fontId="8" fillId="0" borderId="0">
      <protection locked="0"/>
    </xf>
    <xf numFmtId="190" fontId="7" fillId="0" borderId="0">
      <protection locked="0"/>
    </xf>
    <xf numFmtId="190" fontId="7" fillId="0" borderId="0">
      <protection locked="0"/>
    </xf>
    <xf numFmtId="184" fontId="5" fillId="0" borderId="0" applyFont="0" applyFill="0" applyBorder="0" applyAlignment="0" applyProtection="0"/>
    <xf numFmtId="0" fontId="60" fillId="0" borderId="0"/>
    <xf numFmtId="0" fontId="56" fillId="0" borderId="0"/>
    <xf numFmtId="0" fontId="57" fillId="0" borderId="0"/>
    <xf numFmtId="0" fontId="60" fillId="0" borderId="0"/>
    <xf numFmtId="0" fontId="58" fillId="0" borderId="0"/>
    <xf numFmtId="0" fontId="3" fillId="0" borderId="0" applyFill="0" applyBorder="0" applyAlignment="0"/>
    <xf numFmtId="0" fontId="61" fillId="0" borderId="0"/>
    <xf numFmtId="0" fontId="8" fillId="0" borderId="4">
      <protection locked="0"/>
    </xf>
    <xf numFmtId="190" fontId="7" fillId="0" borderId="4">
      <protection locked="0"/>
    </xf>
    <xf numFmtId="182" fontId="29" fillId="0" borderId="0">
      <protection locked="0"/>
    </xf>
    <xf numFmtId="38" fontId="5" fillId="0" borderId="0" applyFont="0" applyFill="0" applyBorder="0" applyAlignment="0" applyProtection="0"/>
    <xf numFmtId="192" fontId="3" fillId="0" borderId="0"/>
    <xf numFmtId="0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29" fillId="0" borderId="0">
      <protection locked="0"/>
    </xf>
    <xf numFmtId="201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5" fillId="0" borderId="0" applyFont="0" applyFill="0" applyBorder="0" applyAlignment="0" applyProtection="0"/>
    <xf numFmtId="193" fontId="4" fillId="0" borderId="0" applyFont="0" applyFill="0" applyBorder="0" applyAlignment="0" applyProtection="0"/>
    <xf numFmtId="192" fontId="3" fillId="0" borderId="0"/>
    <xf numFmtId="0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9" fontId="3" fillId="0" borderId="0"/>
    <xf numFmtId="208" fontId="12" fillId="0" borderId="0" applyFill="0" applyBorder="0">
      <alignment horizontal="centerContinuous"/>
    </xf>
    <xf numFmtId="190" fontId="7" fillId="0" borderId="0">
      <protection locked="0"/>
    </xf>
    <xf numFmtId="190" fontId="7" fillId="0" borderId="0">
      <protection locked="0"/>
    </xf>
    <xf numFmtId="185" fontId="8" fillId="0" borderId="0">
      <protection locked="0"/>
    </xf>
    <xf numFmtId="189" fontId="8" fillId="0" borderId="0">
      <protection locked="0"/>
    </xf>
    <xf numFmtId="194" fontId="3" fillId="0" borderId="0" applyFont="0" applyFill="0" applyBorder="0" applyAlignment="0" applyProtection="0"/>
    <xf numFmtId="0" fontId="8" fillId="0" borderId="0">
      <protection locked="0"/>
    </xf>
    <xf numFmtId="0" fontId="8" fillId="0" borderId="0">
      <protection locked="0"/>
    </xf>
    <xf numFmtId="0" fontId="62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62" fillId="0" borderId="0">
      <protection locked="0"/>
    </xf>
    <xf numFmtId="2" fontId="5" fillId="0" borderId="0" applyFont="0" applyFill="0" applyBorder="0" applyAlignment="0" applyProtection="0"/>
    <xf numFmtId="0" fontId="2" fillId="0" borderId="0" applyFont="0" applyFill="0" applyBorder="0" applyAlignment="0" applyProtection="0"/>
    <xf numFmtId="38" fontId="63" fillId="16" borderId="0" applyNumberFormat="0" applyBorder="0" applyAlignment="0" applyProtection="0"/>
    <xf numFmtId="3" fontId="64" fillId="0" borderId="5">
      <alignment horizontal="right" vertical="center"/>
    </xf>
    <xf numFmtId="4" fontId="64" fillId="0" borderId="5">
      <alignment horizontal="right" vertical="center"/>
    </xf>
    <xf numFmtId="0" fontId="65" fillId="0" borderId="0">
      <alignment horizontal="left"/>
    </xf>
    <xf numFmtId="0" fontId="66" fillId="0" borderId="6" applyNumberFormat="0" applyAlignment="0" applyProtection="0">
      <alignment horizontal="left" vertical="center"/>
    </xf>
    <xf numFmtId="0" fontId="66" fillId="0" borderId="7">
      <alignment horizontal="left" vertical="center"/>
    </xf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178" fontId="3" fillId="0" borderId="0">
      <protection locked="0"/>
    </xf>
    <xf numFmtId="178" fontId="3" fillId="0" borderId="0">
      <protection locked="0"/>
    </xf>
    <xf numFmtId="0" fontId="68" fillId="0" borderId="0" applyNumberFormat="0" applyFill="0" applyBorder="0" applyAlignment="0" applyProtection="0"/>
    <xf numFmtId="10" fontId="63" fillId="16" borderId="1" applyNumberFormat="0" applyBorder="0" applyAlignment="0" applyProtection="0"/>
    <xf numFmtId="183" fontId="3" fillId="0" borderId="0">
      <alignment horizontal="left"/>
    </xf>
    <xf numFmtId="38" fontId="2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3" fillId="0" borderId="0">
      <alignment horizontal="centerContinuous"/>
    </xf>
    <xf numFmtId="0" fontId="69" fillId="0" borderId="8"/>
    <xf numFmtId="220" fontId="2" fillId="0" borderId="0" applyFont="0" applyFill="0" applyBorder="0" applyAlignment="0" applyProtection="0"/>
    <xf numFmtId="221" fontId="2" fillId="0" borderId="0" applyFont="0" applyFill="0" applyBorder="0" applyAlignment="0" applyProtection="0"/>
    <xf numFmtId="184" fontId="5" fillId="0" borderId="0" applyFont="0" applyFill="0" applyBorder="0" applyAlignment="0" applyProtection="0"/>
    <xf numFmtId="37" fontId="70" fillId="0" borderId="0"/>
    <xf numFmtId="0" fontId="5" fillId="0" borderId="0" applyNumberFormat="0" applyFill="0" applyBorder="0" applyAlignment="0" applyProtection="0"/>
    <xf numFmtId="41" fontId="3" fillId="0" borderId="0"/>
    <xf numFmtId="0" fontId="4" fillId="0" borderId="0"/>
    <xf numFmtId="0" fontId="5" fillId="0" borderId="0"/>
    <xf numFmtId="0" fontId="5" fillId="0" borderId="0" applyFont="0" applyFill="0" applyBorder="0" applyAlignment="0" applyProtection="0"/>
    <xf numFmtId="40" fontId="2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82" fontId="29" fillId="0" borderId="0">
      <protection locked="0"/>
    </xf>
    <xf numFmtId="10" fontId="5" fillId="0" borderId="0" applyFont="0" applyFill="0" applyBorder="0" applyAlignment="0" applyProtection="0"/>
    <xf numFmtId="215" fontId="4" fillId="0" borderId="0">
      <protection locked="0"/>
    </xf>
    <xf numFmtId="184" fontId="12" fillId="0" borderId="0" applyFont="0" applyFill="0" applyBorder="0" applyAlignment="0" applyProtection="0"/>
    <xf numFmtId="184" fontId="12" fillId="0" borderId="0" applyFont="0" applyFill="0" applyBorder="0" applyAlignment="0" applyProtection="0"/>
    <xf numFmtId="210" fontId="3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" fillId="17" borderId="0"/>
    <xf numFmtId="0" fontId="69" fillId="0" borderId="0"/>
    <xf numFmtId="40" fontId="2" fillId="0" borderId="0" applyFont="0" applyFill="0" applyBorder="0" applyAlignment="0" applyProtection="0"/>
    <xf numFmtId="197" fontId="3" fillId="0" borderId="0">
      <alignment horizontal="center"/>
    </xf>
    <xf numFmtId="49" fontId="71" fillId="0" borderId="0" applyFill="0" applyBorder="0" applyProtection="0">
      <alignment horizontal="centerContinuous" vertical="center"/>
    </xf>
    <xf numFmtId="0" fontId="72" fillId="0" borderId="0" applyFill="0" applyBorder="0" applyProtection="0">
      <alignment horizontal="centerContinuous" vertical="center"/>
    </xf>
    <xf numFmtId="0" fontId="73" fillId="16" borderId="0" applyFill="0" applyBorder="0" applyProtection="0">
      <alignment horizontal="center" vertical="center"/>
    </xf>
    <xf numFmtId="217" fontId="12" fillId="0" borderId="0" applyFill="0" applyBorder="0">
      <alignment horizontal="centerContinuous"/>
    </xf>
    <xf numFmtId="0" fontId="5" fillId="0" borderId="4" applyNumberFormat="0" applyFont="0" applyFill="0" applyAlignment="0" applyProtection="0"/>
    <xf numFmtId="0" fontId="74" fillId="0" borderId="3">
      <alignment horizontal="left"/>
    </xf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187" fontId="8" fillId="0" borderId="0">
      <protection locked="0"/>
    </xf>
    <xf numFmtId="0" fontId="10" fillId="0" borderId="0">
      <protection locked="0"/>
    </xf>
    <xf numFmtId="0" fontId="10" fillId="0" borderId="0">
      <protection locked="0"/>
    </xf>
    <xf numFmtId="0" fontId="18" fillId="0" borderId="0"/>
    <xf numFmtId="0" fontId="19" fillId="0" borderId="0"/>
    <xf numFmtId="0" fontId="20" fillId="3" borderId="0" applyNumberFormat="0" applyBorder="0" applyAlignment="0" applyProtection="0">
      <alignment vertical="center"/>
    </xf>
    <xf numFmtId="0" fontId="8" fillId="0" borderId="0">
      <protection locked="0"/>
    </xf>
    <xf numFmtId="3" fontId="2" fillId="0" borderId="10">
      <alignment horizontal="center"/>
    </xf>
    <xf numFmtId="178" fontId="21" fillId="0" borderId="11">
      <alignment horizontal="center" vertical="center"/>
    </xf>
    <xf numFmtId="3" fontId="22" fillId="0" borderId="12" applyNumberFormat="0" applyFill="0" applyBorder="0" applyProtection="0">
      <alignment horizontal="center" vertical="center"/>
    </xf>
    <xf numFmtId="0" fontId="8" fillId="0" borderId="0"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40" fontId="24" fillId="0" borderId="0" applyFont="0" applyFill="0" applyBorder="0" applyAlignment="0" applyProtection="0"/>
    <xf numFmtId="38" fontId="24" fillId="0" borderId="0" applyFont="0" applyFill="0" applyBorder="0" applyAlignment="0" applyProtection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226" fontId="26" fillId="0" borderId="13">
      <alignment horizontal="center" vertical="center"/>
    </xf>
    <xf numFmtId="0" fontId="3" fillId="0" borderId="0"/>
    <xf numFmtId="183" fontId="27" fillId="0" borderId="5">
      <alignment vertical="center"/>
    </xf>
    <xf numFmtId="0" fontId="28" fillId="23" borderId="14" applyNumberFormat="0" applyFont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9" fillId="0" borderId="0" applyNumberFormat="0" applyFont="0" applyFill="0" applyBorder="0" applyProtection="0">
      <alignment horizontal="distributed" vertical="center" justifyLastLine="1"/>
    </xf>
    <xf numFmtId="190" fontId="30" fillId="0" borderId="0">
      <protection locked="0"/>
    </xf>
    <xf numFmtId="190" fontId="30" fillId="0" borderId="0">
      <protection locked="0"/>
    </xf>
    <xf numFmtId="223" fontId="4" fillId="0" borderId="0" applyFont="0" applyFill="0" applyBorder="0" applyProtection="0">
      <alignment horizontal="center" vertical="center"/>
    </xf>
    <xf numFmtId="224" fontId="4" fillId="0" borderId="0" applyFont="0" applyFill="0" applyBorder="0" applyProtection="0">
      <alignment horizontal="center" vertical="center"/>
    </xf>
    <xf numFmtId="9" fontId="31" fillId="16" borderId="0" applyFill="0" applyBorder="0" applyProtection="0">
      <alignment horizontal="right"/>
    </xf>
    <xf numFmtId="10" fontId="31" fillId="0" borderId="0" applyFill="0" applyBorder="0" applyProtection="0">
      <alignment horizontal="right"/>
    </xf>
    <xf numFmtId="176" fontId="3" fillId="0" borderId="0" applyFont="0" applyFill="0" applyBorder="0" applyAlignment="0" applyProtection="0"/>
    <xf numFmtId="214" fontId="29" fillId="0" borderId="0" applyFont="0" applyFill="0" applyBorder="0" applyAlignment="0" applyProtection="0"/>
    <xf numFmtId="0" fontId="32" fillId="24" borderId="0" applyNumberFormat="0" applyBorder="0" applyAlignment="0" applyProtection="0">
      <alignment vertical="center"/>
    </xf>
    <xf numFmtId="0" fontId="33" fillId="0" borderId="0"/>
    <xf numFmtId="0" fontId="34" fillId="0" borderId="0" applyNumberFormat="0" applyFont="0" applyFill="0" applyBorder="0" applyProtection="0">
      <alignment horizontal="centerContinuous" vertical="center"/>
    </xf>
    <xf numFmtId="0" fontId="29" fillId="0" borderId="0" applyNumberFormat="0" applyFont="0" applyFill="0" applyBorder="0" applyProtection="0">
      <alignment horizontal="centerContinuous" vertical="center"/>
    </xf>
    <xf numFmtId="0" fontId="35" fillId="0" borderId="0" applyNumberFormat="0" applyFill="0" applyBorder="0" applyAlignment="0" applyProtection="0">
      <alignment vertical="center"/>
    </xf>
    <xf numFmtId="0" fontId="36" fillId="25" borderId="15" applyNumberFormat="0" applyAlignment="0" applyProtection="0">
      <alignment vertical="center"/>
    </xf>
    <xf numFmtId="181" fontId="34" fillId="0" borderId="16" applyFont="0" applyFill="0" applyBorder="0" applyAlignment="0" applyProtection="0">
      <alignment vertical="center"/>
    </xf>
    <xf numFmtId="195" fontId="34" fillId="0" borderId="16" applyFont="0" applyFill="0" applyBorder="0" applyAlignment="0" applyProtection="0">
      <alignment vertical="center"/>
    </xf>
    <xf numFmtId="0" fontId="28" fillId="0" borderId="0"/>
    <xf numFmtId="43" fontId="4" fillId="0" borderId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0" fontId="5" fillId="0" borderId="0"/>
    <xf numFmtId="0" fontId="1" fillId="0" borderId="0"/>
    <xf numFmtId="0" fontId="1" fillId="0" borderId="0"/>
    <xf numFmtId="0" fontId="1" fillId="0" borderId="0"/>
    <xf numFmtId="0" fontId="38" fillId="0" borderId="17"/>
    <xf numFmtId="0" fontId="39" fillId="0" borderId="18" applyNumberFormat="0" applyFill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212" fontId="41" fillId="0" borderId="0" applyFill="0" applyBorder="0">
      <alignment horizontal="centerContinuous"/>
    </xf>
    <xf numFmtId="219" fontId="41" fillId="0" borderId="0" applyFill="0" applyBorder="0">
      <alignment horizontal="centerContinuous"/>
    </xf>
    <xf numFmtId="0" fontId="42" fillId="0" borderId="0">
      <alignment vertical="center"/>
    </xf>
    <xf numFmtId="0" fontId="34" fillId="0" borderId="0" applyNumberFormat="0" applyFont="0" applyFill="0" applyBorder="0" applyProtection="0">
      <alignment vertical="center"/>
    </xf>
    <xf numFmtId="0" fontId="43" fillId="7" borderId="9" applyNumberFormat="0" applyAlignment="0" applyProtection="0">
      <alignment vertical="center"/>
    </xf>
    <xf numFmtId="4" fontId="8" fillId="0" borderId="0">
      <protection locked="0"/>
    </xf>
    <xf numFmtId="188" fontId="8" fillId="0" borderId="0">
      <protection locked="0"/>
    </xf>
    <xf numFmtId="206" fontId="12" fillId="0" borderId="0" applyFill="0" applyBorder="0">
      <alignment horizontal="centerContinuous"/>
    </xf>
    <xf numFmtId="0" fontId="44" fillId="0" borderId="0" applyNumberFormat="0" applyFill="0" applyBorder="0" applyAlignment="0" applyProtection="0">
      <alignment vertical="center"/>
    </xf>
    <xf numFmtId="0" fontId="45" fillId="0" borderId="20" applyNumberFormat="0" applyFill="0" applyAlignment="0" applyProtection="0">
      <alignment vertical="center"/>
    </xf>
    <xf numFmtId="0" fontId="46" fillId="0" borderId="21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209" fontId="41" fillId="0" borderId="0" applyFill="0" applyBorder="0">
      <alignment horizontal="centerContinuous"/>
    </xf>
    <xf numFmtId="218" fontId="41" fillId="0" borderId="0" applyFill="0" applyBorder="0">
      <alignment horizontal="centerContinuous"/>
    </xf>
    <xf numFmtId="0" fontId="4" fillId="0" borderId="0"/>
    <xf numFmtId="0" fontId="49" fillId="22" borderId="23" applyNumberFormat="0" applyAlignment="0" applyProtection="0">
      <alignment vertical="center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8" fontId="3" fillId="0" borderId="0">
      <protection locked="0"/>
    </xf>
    <xf numFmtId="190" fontId="30" fillId="0" borderId="0">
      <protection locked="0"/>
    </xf>
    <xf numFmtId="199" fontId="3" fillId="0" borderId="0">
      <protection locked="0"/>
    </xf>
    <xf numFmtId="199" fontId="3" fillId="0" borderId="0">
      <protection locked="0"/>
    </xf>
    <xf numFmtId="199" fontId="3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225" fontId="4" fillId="0" borderId="0" applyFont="0" applyFill="0" applyBorder="0" applyProtection="0">
      <alignment vertical="center"/>
    </xf>
    <xf numFmtId="38" fontId="29" fillId="0" borderId="0" applyFont="0" applyFill="0" applyBorder="0" applyProtection="0">
      <alignment vertical="center"/>
    </xf>
    <xf numFmtId="190" fontId="30" fillId="0" borderId="0">
      <protection locked="0"/>
    </xf>
    <xf numFmtId="0" fontId="4" fillId="0" borderId="0" applyFont="0" applyFill="0" applyBorder="0" applyAlignment="0" applyProtection="0"/>
    <xf numFmtId="183" fontId="27" fillId="0" borderId="24">
      <alignment vertical="center"/>
    </xf>
    <xf numFmtId="216" fontId="5" fillId="0" borderId="1"/>
    <xf numFmtId="191" fontId="4" fillId="16" borderId="0" applyFill="0" applyBorder="0" applyProtection="0">
      <alignment horizontal="right"/>
    </xf>
    <xf numFmtId="38" fontId="2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38" fontId="29" fillId="0" borderId="0" applyFill="0" applyBorder="0" applyAlignment="0" applyProtection="0">
      <alignment vertical="center"/>
    </xf>
    <xf numFmtId="202" fontId="2" fillId="0" borderId="0" applyFont="0" applyFill="0" applyBorder="0" applyAlignment="0" applyProtection="0"/>
    <xf numFmtId="203" fontId="2" fillId="0" borderId="0" applyFont="0" applyFill="0" applyBorder="0" applyAlignment="0" applyProtection="0"/>
    <xf numFmtId="213" fontId="50" fillId="0" borderId="1">
      <alignment vertical="center"/>
    </xf>
    <xf numFmtId="204" fontId="2" fillId="0" borderId="0" applyFont="0" applyFill="0" applyBorder="0" applyAlignment="0" applyProtection="0"/>
    <xf numFmtId="205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51" fillId="0" borderId="0">
      <alignment horizontal="center" vertical="center"/>
    </xf>
    <xf numFmtId="2" fontId="52" fillId="0" borderId="25" applyNumberFormat="0" applyFont="0" applyFill="0" applyAlignment="0" applyProtection="0">
      <alignment vertical="center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8" fontId="3" fillId="0" borderId="0">
      <protection locked="0"/>
    </xf>
    <xf numFmtId="190" fontId="30" fillId="0" borderId="0">
      <protection locked="0"/>
    </xf>
    <xf numFmtId="199" fontId="3" fillId="0" borderId="0">
      <protection locked="0"/>
    </xf>
    <xf numFmtId="199" fontId="3" fillId="0" borderId="0">
      <protection locked="0"/>
    </xf>
    <xf numFmtId="199" fontId="3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0" fontId="4" fillId="0" borderId="0" applyFont="0" applyFill="0" applyBorder="0" applyAlignment="0" applyProtection="0"/>
    <xf numFmtId="186" fontId="8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8" fontId="3" fillId="0" borderId="0">
      <protection locked="0"/>
    </xf>
    <xf numFmtId="190" fontId="30" fillId="0" borderId="0">
      <protection locked="0"/>
    </xf>
    <xf numFmtId="199" fontId="3" fillId="0" borderId="0">
      <protection locked="0"/>
    </xf>
    <xf numFmtId="199" fontId="3" fillId="0" borderId="0">
      <protection locked="0"/>
    </xf>
    <xf numFmtId="199" fontId="3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190" fontId="30" fillId="0" borderId="0">
      <protection locked="0"/>
    </xf>
    <xf numFmtId="0" fontId="3" fillId="0" borderId="0"/>
    <xf numFmtId="0" fontId="14" fillId="0" borderId="0">
      <alignment vertical="center"/>
    </xf>
    <xf numFmtId="0" fontId="5" fillId="0" borderId="0"/>
    <xf numFmtId="0" fontId="3" fillId="0" borderId="0">
      <alignment vertical="center"/>
    </xf>
    <xf numFmtId="0" fontId="3" fillId="0" borderId="0"/>
    <xf numFmtId="0" fontId="3" fillId="0" borderId="0"/>
    <xf numFmtId="0" fontId="34" fillId="0" borderId="0"/>
    <xf numFmtId="0" fontId="53" fillId="0" borderId="0"/>
    <xf numFmtId="0" fontId="3" fillId="0" borderId="0"/>
    <xf numFmtId="0" fontId="3" fillId="0" borderId="0"/>
    <xf numFmtId="0" fontId="34" fillId="0" borderId="0"/>
    <xf numFmtId="0" fontId="27" fillId="0" borderId="0"/>
    <xf numFmtId="0" fontId="27" fillId="0" borderId="0" applyProtection="0"/>
    <xf numFmtId="0" fontId="8" fillId="0" borderId="4">
      <protection locked="0"/>
    </xf>
    <xf numFmtId="185" fontId="8" fillId="0" borderId="0">
      <protection locked="0"/>
    </xf>
    <xf numFmtId="189" fontId="8" fillId="0" borderId="0">
      <protection locked="0"/>
    </xf>
  </cellStyleXfs>
  <cellXfs count="115">
    <xf numFmtId="0" fontId="0" fillId="0" borderId="0" xfId="0">
      <alignment vertical="center"/>
    </xf>
    <xf numFmtId="0" fontId="27" fillId="0" borderId="0" xfId="2638" applyFont="1" applyFill="1" applyBorder="1" applyAlignment="1">
      <alignment horizontal="center" vertical="center"/>
    </xf>
    <xf numFmtId="0" fontId="34" fillId="0" borderId="0" xfId="2638" applyFont="1" applyFill="1" applyBorder="1" applyAlignment="1">
      <alignment horizontal="center" vertical="center"/>
    </xf>
    <xf numFmtId="0" fontId="34" fillId="0" borderId="0" xfId="2637" applyFont="1" applyFill="1" applyBorder="1" applyAlignment="1">
      <alignment horizontal="center" vertical="center"/>
    </xf>
    <xf numFmtId="0" fontId="34" fillId="0" borderId="0" xfId="2637" applyFont="1" applyFill="1" applyBorder="1" applyAlignment="1">
      <alignment horizontal="left" vertical="center"/>
    </xf>
    <xf numFmtId="0" fontId="34" fillId="0" borderId="0" xfId="2637" applyFont="1" applyFill="1" applyAlignment="1">
      <alignment vertical="center"/>
    </xf>
    <xf numFmtId="0" fontId="75" fillId="0" borderId="0" xfId="2637" applyFont="1" applyFill="1" applyAlignment="1">
      <alignment horizontal="center" vertical="center"/>
    </xf>
    <xf numFmtId="0" fontId="34" fillId="0" borderId="0" xfId="2637" applyFont="1" applyFill="1" applyBorder="1" applyAlignment="1">
      <alignment vertical="center"/>
    </xf>
    <xf numFmtId="0" fontId="34" fillId="0" borderId="0" xfId="0" applyFont="1" applyFill="1" applyBorder="1" applyAlignment="1">
      <alignment horizontal="center" vertical="center"/>
    </xf>
    <xf numFmtId="228" fontId="34" fillId="0" borderId="0" xfId="2637" applyNumberFormat="1" applyFont="1" applyFill="1" applyBorder="1" applyAlignment="1">
      <alignment horizontal="center" vertical="center"/>
    </xf>
    <xf numFmtId="229" fontId="34" fillId="0" borderId="0" xfId="2637" applyNumberFormat="1" applyFont="1" applyFill="1" applyBorder="1" applyAlignment="1">
      <alignment horizontal="center" vertical="center"/>
    </xf>
    <xf numFmtId="178" fontId="34" fillId="0" borderId="0" xfId="2637" applyNumberFormat="1" applyFont="1" applyFill="1" applyBorder="1" applyAlignment="1">
      <alignment horizontal="center" vertical="center"/>
    </xf>
    <xf numFmtId="0" fontId="34" fillId="0" borderId="0" xfId="2637" applyFont="1" applyFill="1" applyBorder="1" applyAlignment="1">
      <alignment horizontal="centerContinuous" vertical="center"/>
    </xf>
    <xf numFmtId="234" fontId="34" fillId="0" borderId="0" xfId="2637" applyNumberFormat="1" applyFont="1" applyFill="1" applyBorder="1" applyAlignment="1">
      <alignment horizontal="center" vertical="center"/>
    </xf>
    <xf numFmtId="0" fontId="76" fillId="0" borderId="1" xfId="2638" applyFont="1" applyFill="1" applyBorder="1" applyAlignment="1">
      <alignment horizontal="center" vertical="center"/>
    </xf>
    <xf numFmtId="0" fontId="76" fillId="0" borderId="1" xfId="2638" applyFont="1" applyFill="1" applyBorder="1" applyAlignment="1">
      <alignment horizontal="center" vertical="center" wrapText="1"/>
    </xf>
    <xf numFmtId="0" fontId="76" fillId="0" borderId="1" xfId="2637" applyFont="1" applyFill="1" applyBorder="1" applyAlignment="1">
      <alignment horizontal="center" vertical="center"/>
    </xf>
    <xf numFmtId="0" fontId="76" fillId="0" borderId="1" xfId="2635" applyFont="1" applyFill="1" applyBorder="1" applyAlignment="1">
      <alignment horizontal="center" vertical="center" wrapText="1"/>
    </xf>
    <xf numFmtId="253" fontId="76" fillId="0" borderId="1" xfId="2638" applyNumberFormat="1" applyFont="1" applyFill="1" applyBorder="1" applyAlignment="1">
      <alignment horizontal="center" vertical="center"/>
    </xf>
    <xf numFmtId="0" fontId="76" fillId="0" borderId="0" xfId="2637" applyFont="1" applyFill="1" applyAlignment="1">
      <alignment vertical="center"/>
    </xf>
    <xf numFmtId="0" fontId="76" fillId="0" borderId="26" xfId="2637" applyFont="1" applyFill="1" applyBorder="1" applyAlignment="1">
      <alignment horizontal="left" vertical="center"/>
    </xf>
    <xf numFmtId="0" fontId="76" fillId="0" borderId="27" xfId="2637" applyFont="1" applyFill="1" applyBorder="1" applyAlignment="1">
      <alignment horizontal="left" vertical="center"/>
    </xf>
    <xf numFmtId="0" fontId="76" fillId="0" borderId="28" xfId="2637" applyFont="1" applyFill="1" applyBorder="1" applyAlignment="1">
      <alignment horizontal="center" vertical="center"/>
    </xf>
    <xf numFmtId="207" fontId="76" fillId="0" borderId="28" xfId="2637" applyNumberFormat="1" applyFont="1" applyFill="1" applyBorder="1" applyAlignment="1">
      <alignment horizontal="center" vertical="center"/>
    </xf>
    <xf numFmtId="227" fontId="76" fillId="0" borderId="28" xfId="2637" applyNumberFormat="1" applyFont="1" applyFill="1" applyBorder="1" applyAlignment="1">
      <alignment horizontal="center" vertical="center"/>
    </xf>
    <xf numFmtId="177" fontId="76" fillId="0" borderId="28" xfId="2637" applyNumberFormat="1" applyFont="1" applyFill="1" applyBorder="1" applyAlignment="1">
      <alignment horizontal="center" vertical="center"/>
    </xf>
    <xf numFmtId="0" fontId="76" fillId="0" borderId="29" xfId="2637" applyFont="1" applyFill="1" applyBorder="1" applyAlignment="1">
      <alignment vertical="center"/>
    </xf>
    <xf numFmtId="0" fontId="76" fillId="0" borderId="27" xfId="2637" applyFont="1" applyFill="1" applyBorder="1" applyAlignment="1">
      <alignment horizontal="center" vertical="center"/>
    </xf>
    <xf numFmtId="237" fontId="76" fillId="0" borderId="28" xfId="2637" applyNumberFormat="1" applyFont="1" applyFill="1" applyBorder="1" applyAlignment="1">
      <alignment horizontal="center" vertical="center"/>
    </xf>
    <xf numFmtId="238" fontId="76" fillId="0" borderId="28" xfId="2637" applyNumberFormat="1" applyFont="1" applyFill="1" applyBorder="1" applyAlignment="1">
      <alignment horizontal="center" vertical="center"/>
    </xf>
    <xf numFmtId="239" fontId="76" fillId="0" borderId="28" xfId="2637" applyNumberFormat="1" applyFont="1" applyFill="1" applyBorder="1" applyAlignment="1">
      <alignment horizontal="center" vertical="center"/>
    </xf>
    <xf numFmtId="240" fontId="76" fillId="0" borderId="28" xfId="2637" applyNumberFormat="1" applyFont="1" applyFill="1" applyBorder="1" applyAlignment="1">
      <alignment horizontal="center" vertical="center"/>
    </xf>
    <xf numFmtId="241" fontId="76" fillId="0" borderId="28" xfId="2637" applyNumberFormat="1" applyFont="1" applyFill="1" applyBorder="1" applyAlignment="1">
      <alignment horizontal="center" vertical="center"/>
    </xf>
    <xf numFmtId="243" fontId="76" fillId="0" borderId="28" xfId="2637" applyNumberFormat="1" applyFont="1" applyFill="1" applyBorder="1" applyAlignment="1">
      <alignment horizontal="center" vertical="center"/>
    </xf>
    <xf numFmtId="261" fontId="76" fillId="0" borderId="28" xfId="2637" applyNumberFormat="1" applyFont="1" applyFill="1" applyBorder="1" applyAlignment="1">
      <alignment horizontal="center" vertical="center"/>
    </xf>
    <xf numFmtId="242" fontId="76" fillId="0" borderId="28" xfId="2637" applyNumberFormat="1" applyFont="1" applyFill="1" applyBorder="1" applyAlignment="1">
      <alignment horizontal="center" vertical="center"/>
    </xf>
    <xf numFmtId="245" fontId="76" fillId="0" borderId="28" xfId="2637" applyNumberFormat="1" applyFont="1" applyFill="1" applyBorder="1" applyAlignment="1">
      <alignment horizontal="center" vertical="center"/>
    </xf>
    <xf numFmtId="244" fontId="76" fillId="0" borderId="28" xfId="2637" applyNumberFormat="1" applyFont="1" applyFill="1" applyBorder="1" applyAlignment="1">
      <alignment horizontal="center" vertical="center"/>
    </xf>
    <xf numFmtId="38" fontId="76" fillId="0" borderId="28" xfId="2637" applyNumberFormat="1" applyFont="1" applyFill="1" applyBorder="1" applyAlignment="1">
      <alignment horizontal="center" vertical="center"/>
    </xf>
    <xf numFmtId="38" fontId="77" fillId="0" borderId="28" xfId="2637" applyNumberFormat="1" applyFont="1" applyFill="1" applyBorder="1" applyAlignment="1">
      <alignment horizontal="center" vertical="center"/>
    </xf>
    <xf numFmtId="38" fontId="76" fillId="0" borderId="29" xfId="2637" applyNumberFormat="1" applyFont="1" applyFill="1" applyBorder="1" applyAlignment="1">
      <alignment vertical="center"/>
    </xf>
    <xf numFmtId="0" fontId="76" fillId="0" borderId="28" xfId="2637" applyFont="1" applyFill="1" applyBorder="1" applyAlignment="1">
      <alignment vertical="center"/>
    </xf>
    <xf numFmtId="230" fontId="76" fillId="0" borderId="28" xfId="2637" applyNumberFormat="1" applyFont="1" applyFill="1" applyBorder="1" applyAlignment="1">
      <alignment horizontal="left" vertical="center"/>
    </xf>
    <xf numFmtId="0" fontId="76" fillId="0" borderId="28" xfId="2637" applyFont="1" applyFill="1" applyBorder="1" applyAlignment="1">
      <alignment horizontal="left" vertical="center"/>
    </xf>
    <xf numFmtId="231" fontId="76" fillId="0" borderId="27" xfId="2637" applyNumberFormat="1" applyFont="1" applyFill="1" applyBorder="1" applyAlignment="1">
      <alignment horizontal="left" vertical="center"/>
    </xf>
    <xf numFmtId="260" fontId="76" fillId="0" borderId="28" xfId="2637" applyNumberFormat="1" applyFont="1" applyFill="1" applyBorder="1" applyAlignment="1">
      <alignment horizontal="center" vertical="center"/>
    </xf>
    <xf numFmtId="263" fontId="76" fillId="0" borderId="28" xfId="2637" applyNumberFormat="1" applyFont="1" applyFill="1" applyBorder="1" applyAlignment="1">
      <alignment horizontal="center" vertical="center"/>
    </xf>
    <xf numFmtId="246" fontId="76" fillId="0" borderId="28" xfId="2637" applyNumberFormat="1" applyFont="1" applyFill="1" applyBorder="1" applyAlignment="1">
      <alignment horizontal="center" vertical="center"/>
    </xf>
    <xf numFmtId="262" fontId="76" fillId="0" borderId="28" xfId="2637" applyNumberFormat="1" applyFont="1" applyFill="1" applyBorder="1" applyAlignment="1">
      <alignment horizontal="center" vertical="center"/>
    </xf>
    <xf numFmtId="247" fontId="76" fillId="0" borderId="28" xfId="2637" applyNumberFormat="1" applyFont="1" applyFill="1" applyBorder="1" applyAlignment="1">
      <alignment horizontal="center" vertical="center"/>
    </xf>
    <xf numFmtId="255" fontId="76" fillId="0" borderId="28" xfId="2637" applyNumberFormat="1" applyFont="1" applyFill="1" applyBorder="1" applyAlignment="1">
      <alignment horizontal="center" vertical="center"/>
    </xf>
    <xf numFmtId="253" fontId="76" fillId="0" borderId="28" xfId="2637" applyNumberFormat="1" applyFont="1" applyFill="1" applyBorder="1" applyAlignment="1">
      <alignment horizontal="center" vertical="center"/>
    </xf>
    <xf numFmtId="232" fontId="77" fillId="0" borderId="28" xfId="2637" applyNumberFormat="1" applyFont="1" applyFill="1" applyBorder="1" applyAlignment="1">
      <alignment horizontal="left" vertical="center"/>
    </xf>
    <xf numFmtId="233" fontId="76" fillId="0" borderId="28" xfId="2637" applyNumberFormat="1" applyFont="1" applyFill="1" applyBorder="1" applyAlignment="1">
      <alignment horizontal="left" vertical="center"/>
    </xf>
    <xf numFmtId="0" fontId="76" fillId="0" borderId="28" xfId="2637" applyFont="1" applyFill="1" applyBorder="1" applyAlignment="1">
      <alignment horizontal="right" vertical="center"/>
    </xf>
    <xf numFmtId="256" fontId="76" fillId="0" borderId="28" xfId="2637" applyNumberFormat="1" applyFont="1" applyFill="1" applyBorder="1" applyAlignment="1">
      <alignment horizontal="center" vertical="center"/>
    </xf>
    <xf numFmtId="254" fontId="76" fillId="0" borderId="28" xfId="2637" applyNumberFormat="1" applyFont="1" applyFill="1" applyBorder="1" applyAlignment="1">
      <alignment horizontal="center" vertical="center"/>
    </xf>
    <xf numFmtId="257" fontId="76" fillId="0" borderId="28" xfId="2637" applyNumberFormat="1" applyFont="1" applyFill="1" applyBorder="1" applyAlignment="1">
      <alignment horizontal="center" vertical="center"/>
    </xf>
    <xf numFmtId="249" fontId="76" fillId="0" borderId="28" xfId="2637" applyNumberFormat="1" applyFont="1" applyFill="1" applyBorder="1" applyAlignment="1">
      <alignment horizontal="center" vertical="center"/>
    </xf>
    <xf numFmtId="251" fontId="76" fillId="0" borderId="28" xfId="2637" applyNumberFormat="1" applyFont="1" applyFill="1" applyBorder="1" applyAlignment="1">
      <alignment horizontal="center" vertical="center"/>
    </xf>
    <xf numFmtId="250" fontId="76" fillId="0" borderId="28" xfId="2637" applyNumberFormat="1" applyFont="1" applyFill="1" applyBorder="1" applyAlignment="1">
      <alignment horizontal="left" vertical="center"/>
    </xf>
    <xf numFmtId="258" fontId="76" fillId="0" borderId="28" xfId="2637" applyNumberFormat="1" applyFont="1" applyFill="1" applyBorder="1" applyAlignment="1">
      <alignment vertical="center"/>
    </xf>
    <xf numFmtId="0" fontId="76" fillId="0" borderId="27" xfId="2637" applyFont="1" applyFill="1" applyBorder="1" applyAlignment="1">
      <alignment vertical="center"/>
    </xf>
    <xf numFmtId="259" fontId="76" fillId="0" borderId="28" xfId="2637" applyNumberFormat="1" applyFont="1" applyFill="1" applyBorder="1" applyAlignment="1">
      <alignment vertical="center"/>
    </xf>
    <xf numFmtId="252" fontId="76" fillId="0" borderId="28" xfId="2637" applyNumberFormat="1" applyFont="1" applyFill="1" applyBorder="1" applyAlignment="1">
      <alignment vertical="center"/>
    </xf>
    <xf numFmtId="255" fontId="76" fillId="0" borderId="28" xfId="2637" applyNumberFormat="1" applyFont="1" applyFill="1" applyBorder="1" applyAlignment="1">
      <alignment vertical="center"/>
    </xf>
    <xf numFmtId="248" fontId="76" fillId="0" borderId="29" xfId="2637" applyNumberFormat="1" applyFont="1" applyFill="1" applyBorder="1" applyAlignment="1">
      <alignment horizontal="center" vertical="center"/>
    </xf>
    <xf numFmtId="0" fontId="76" fillId="0" borderId="27" xfId="0" applyFont="1" applyFill="1" applyBorder="1" applyAlignment="1">
      <alignment horizontal="left" vertical="center"/>
    </xf>
    <xf numFmtId="0" fontId="76" fillId="0" borderId="28" xfId="0" applyFont="1" applyFill="1" applyBorder="1" applyAlignment="1">
      <alignment horizontal="left" vertical="center"/>
    </xf>
    <xf numFmtId="264" fontId="76" fillId="0" borderId="28" xfId="2637" applyNumberFormat="1" applyFont="1" applyFill="1" applyBorder="1" applyAlignment="1">
      <alignment horizontal="left" vertical="center"/>
    </xf>
    <xf numFmtId="264" fontId="76" fillId="0" borderId="30" xfId="2637" applyNumberFormat="1" applyFont="1" applyFill="1" applyBorder="1" applyAlignment="1">
      <alignment horizontal="left" vertical="center"/>
    </xf>
    <xf numFmtId="0" fontId="76" fillId="0" borderId="30" xfId="2637" applyFont="1" applyFill="1" applyBorder="1" applyAlignment="1">
      <alignment vertical="center"/>
    </xf>
    <xf numFmtId="0" fontId="76" fillId="0" borderId="31" xfId="2637" applyFont="1" applyFill="1" applyBorder="1" applyAlignment="1">
      <alignment vertical="center"/>
    </xf>
    <xf numFmtId="0" fontId="76" fillId="0" borderId="0" xfId="2637" applyFont="1" applyFill="1" applyBorder="1" applyAlignment="1">
      <alignment vertical="center"/>
    </xf>
    <xf numFmtId="0" fontId="76" fillId="0" borderId="32" xfId="2637" applyFont="1" applyFill="1" applyBorder="1" applyAlignment="1">
      <alignment horizontal="center" vertical="center"/>
    </xf>
    <xf numFmtId="207" fontId="76" fillId="0" borderId="32" xfId="2637" applyNumberFormat="1" applyFont="1" applyFill="1" applyBorder="1" applyAlignment="1">
      <alignment horizontal="center" vertical="center"/>
    </xf>
    <xf numFmtId="265" fontId="76" fillId="0" borderId="32" xfId="2637" applyNumberFormat="1" applyFont="1" applyFill="1" applyBorder="1" applyAlignment="1">
      <alignment horizontal="left" vertical="center"/>
    </xf>
    <xf numFmtId="177" fontId="76" fillId="0" borderId="32" xfId="2637" applyNumberFormat="1" applyFont="1" applyFill="1" applyBorder="1" applyAlignment="1">
      <alignment horizontal="center" vertical="center"/>
    </xf>
    <xf numFmtId="0" fontId="76" fillId="0" borderId="33" xfId="2637" applyFont="1" applyFill="1" applyBorder="1" applyAlignment="1">
      <alignment horizontal="center" vertical="center"/>
    </xf>
    <xf numFmtId="266" fontId="76" fillId="0" borderId="34" xfId="2638" applyNumberFormat="1" applyFont="1" applyFill="1" applyBorder="1" applyAlignment="1">
      <alignment horizontal="center" vertical="center"/>
    </xf>
    <xf numFmtId="269" fontId="76" fillId="0" borderId="28" xfId="2637" applyNumberFormat="1" applyFont="1" applyFill="1" applyBorder="1" applyAlignment="1">
      <alignment horizontal="right" vertical="center"/>
    </xf>
    <xf numFmtId="267" fontId="76" fillId="0" borderId="29" xfId="2637" applyNumberFormat="1" applyFont="1" applyFill="1" applyBorder="1" applyAlignment="1">
      <alignment horizontal="center" vertical="center"/>
    </xf>
    <xf numFmtId="270" fontId="76" fillId="0" borderId="29" xfId="2637" applyNumberFormat="1" applyFont="1" applyFill="1" applyBorder="1" applyAlignment="1">
      <alignment horizontal="center" vertical="center"/>
    </xf>
    <xf numFmtId="272" fontId="76" fillId="0" borderId="28" xfId="2637" applyNumberFormat="1" applyFont="1" applyFill="1" applyBorder="1" applyAlignment="1">
      <alignment horizontal="center" vertical="center"/>
    </xf>
    <xf numFmtId="273" fontId="76" fillId="0" borderId="28" xfId="2637" applyNumberFormat="1" applyFont="1" applyFill="1" applyBorder="1" applyAlignment="1">
      <alignment horizontal="center" vertical="center"/>
    </xf>
    <xf numFmtId="266" fontId="76" fillId="0" borderId="34" xfId="2637" applyNumberFormat="1" applyFont="1" applyFill="1" applyBorder="1" applyAlignment="1">
      <alignment horizontal="center" vertical="center"/>
    </xf>
    <xf numFmtId="38" fontId="76" fillId="0" borderId="34" xfId="2637" applyNumberFormat="1" applyFont="1" applyFill="1" applyBorder="1" applyAlignment="1">
      <alignment horizontal="center" vertical="center"/>
    </xf>
    <xf numFmtId="265" fontId="76" fillId="0" borderId="32" xfId="2637" quotePrefix="1" applyNumberFormat="1" applyFont="1" applyFill="1" applyBorder="1" applyAlignment="1">
      <alignment horizontal="left" vertical="center"/>
    </xf>
    <xf numFmtId="274" fontId="76" fillId="0" borderId="28" xfId="2637" applyNumberFormat="1" applyFont="1" applyFill="1" applyBorder="1" applyAlignment="1">
      <alignment horizontal="center" vertical="center"/>
    </xf>
    <xf numFmtId="0" fontId="76" fillId="0" borderId="1" xfId="0" applyFont="1" applyBorder="1" applyAlignment="1">
      <alignment horizontal="center" vertical="center"/>
    </xf>
    <xf numFmtId="0" fontId="76" fillId="0" borderId="35" xfId="2638" applyFont="1" applyFill="1" applyBorder="1" applyAlignment="1">
      <alignment horizontal="center" vertical="center"/>
    </xf>
    <xf numFmtId="0" fontId="76" fillId="0" borderId="35" xfId="2638" applyFont="1" applyFill="1" applyBorder="1" applyAlignment="1">
      <alignment horizontal="center" vertical="center" wrapText="1"/>
    </xf>
    <xf numFmtId="0" fontId="76" fillId="0" borderId="36" xfId="2638" applyFont="1" applyFill="1" applyBorder="1" applyAlignment="1">
      <alignment horizontal="center" vertical="center"/>
    </xf>
    <xf numFmtId="275" fontId="76" fillId="0" borderId="28" xfId="2637" applyNumberFormat="1" applyFont="1" applyFill="1" applyBorder="1" applyAlignment="1">
      <alignment horizontal="right" vertical="center"/>
    </xf>
    <xf numFmtId="276" fontId="76" fillId="0" borderId="28" xfId="2637" applyNumberFormat="1" applyFont="1" applyFill="1" applyBorder="1" applyAlignment="1">
      <alignment horizontal="center" vertical="center"/>
    </xf>
    <xf numFmtId="252" fontId="76" fillId="0" borderId="28" xfId="2637" applyNumberFormat="1" applyFont="1" applyFill="1" applyBorder="1" applyAlignment="1">
      <alignment horizontal="center" vertical="center"/>
    </xf>
    <xf numFmtId="267" fontId="76" fillId="0" borderId="28" xfId="2637" applyNumberFormat="1" applyFont="1" applyFill="1" applyBorder="1" applyAlignment="1">
      <alignment horizontal="center" vertical="center"/>
    </xf>
    <xf numFmtId="0" fontId="34" fillId="0" borderId="28" xfId="2637" applyFont="1" applyFill="1" applyBorder="1" applyAlignment="1">
      <alignment vertical="center"/>
    </xf>
    <xf numFmtId="258" fontId="76" fillId="0" borderId="28" xfId="2637" applyNumberFormat="1" applyFont="1" applyFill="1" applyBorder="1" applyAlignment="1">
      <alignment horizontal="center" vertical="center"/>
    </xf>
    <xf numFmtId="268" fontId="79" fillId="0" borderId="28" xfId="2637" applyNumberFormat="1" applyFont="1" applyFill="1" applyBorder="1" applyAlignment="1">
      <alignment horizontal="center" vertical="center"/>
    </xf>
    <xf numFmtId="271" fontId="79" fillId="0" borderId="28" xfId="2637" applyNumberFormat="1" applyFont="1" applyFill="1" applyBorder="1" applyAlignment="1">
      <alignment horizontal="center" vertical="center"/>
    </xf>
    <xf numFmtId="0" fontId="76" fillId="0" borderId="27" xfId="2637" applyFont="1" applyFill="1" applyBorder="1" applyAlignment="1">
      <alignment horizontal="right" vertical="center"/>
    </xf>
    <xf numFmtId="0" fontId="76" fillId="0" borderId="28" xfId="2637" applyFont="1" applyFill="1" applyBorder="1" applyAlignment="1">
      <alignment horizontal="right" vertical="center"/>
    </xf>
    <xf numFmtId="228" fontId="34" fillId="0" borderId="0" xfId="2637" applyNumberFormat="1" applyFont="1" applyFill="1" applyBorder="1" applyAlignment="1">
      <alignment horizontal="center" vertical="center"/>
    </xf>
    <xf numFmtId="229" fontId="34" fillId="0" borderId="0" xfId="2637" applyNumberFormat="1" applyFont="1" applyFill="1" applyBorder="1" applyAlignment="1">
      <alignment horizontal="center" vertical="center"/>
    </xf>
    <xf numFmtId="178" fontId="34" fillId="0" borderId="0" xfId="2637" applyNumberFormat="1" applyFont="1" applyFill="1" applyBorder="1" applyAlignment="1">
      <alignment horizontal="center" vertical="center"/>
    </xf>
    <xf numFmtId="235" fontId="34" fillId="0" borderId="0" xfId="2637" applyNumberFormat="1" applyFont="1" applyFill="1" applyBorder="1" applyAlignment="1">
      <alignment horizontal="center" vertical="center"/>
    </xf>
    <xf numFmtId="236" fontId="34" fillId="0" borderId="0" xfId="2637" applyNumberFormat="1" applyFont="1" applyFill="1" applyBorder="1" applyAlignment="1">
      <alignment horizontal="center" vertical="center"/>
    </xf>
    <xf numFmtId="0" fontId="76" fillId="0" borderId="37" xfId="2637" applyFont="1" applyFill="1" applyBorder="1" applyAlignment="1">
      <alignment horizontal="center" vertical="center" wrapText="1"/>
    </xf>
    <xf numFmtId="0" fontId="76" fillId="0" borderId="38" xfId="2637" applyFont="1" applyFill="1" applyBorder="1" applyAlignment="1">
      <alignment horizontal="center" vertical="center" wrapText="1"/>
    </xf>
    <xf numFmtId="0" fontId="76" fillId="0" borderId="39" xfId="2637" applyFont="1" applyFill="1" applyBorder="1" applyAlignment="1">
      <alignment horizontal="center" vertical="center" wrapText="1"/>
    </xf>
    <xf numFmtId="0" fontId="76" fillId="0" borderId="40" xfId="2637" applyFont="1" applyFill="1" applyBorder="1" applyAlignment="1">
      <alignment horizontal="center" vertical="center" wrapText="1"/>
    </xf>
    <xf numFmtId="0" fontId="78" fillId="0" borderId="0" xfId="2637" applyFont="1" applyFill="1" applyAlignment="1">
      <alignment horizontal="center" vertical="center"/>
    </xf>
    <xf numFmtId="0" fontId="34" fillId="0" borderId="0" xfId="2637" applyFont="1" applyFill="1" applyBorder="1" applyAlignment="1">
      <alignment horizontal="center" vertical="center"/>
    </xf>
    <xf numFmtId="0" fontId="34" fillId="0" borderId="0" xfId="2637" applyFont="1" applyFill="1" applyBorder="1" applyAlignment="1">
      <alignment horizontal="right" vertical="center"/>
    </xf>
  </cellXfs>
  <cellStyles count="2644">
    <cellStyle name=" " xfId="1"/>
    <cellStyle name=" _사본 - 04.우수관" xfId="2"/>
    <cellStyle name="&amp;A" xfId="3"/>
    <cellStyle name="(##.00)" xfId="4"/>
    <cellStyle name=")" xfId="5"/>
    <cellStyle name="??&amp;O?&amp;H?_x0008__x000f__x0007_?_x0007__x0001__x0001_" xfId="6"/>
    <cellStyle name="??&amp;O?&amp;H?_x0008_??_x0007__x0001__x0001_" xfId="7"/>
    <cellStyle name="?W?_laroux" xfId="8"/>
    <cellStyle name="_01.재료집계표,골재량,토공" xfId="9"/>
    <cellStyle name="_01.측구공사" xfId="10"/>
    <cellStyle name="_01.측구공사_00.오수공(최종)" xfId="11"/>
    <cellStyle name="_01.측구공사_00.오수공(최종)_01.토공 " xfId="12"/>
    <cellStyle name="_01.측구공사_00.오수공(최종)_01.토공 _01.토공 " xfId="13"/>
    <cellStyle name="_01.측구공사_00.오수공(최종)_07.부대공사" xfId="14"/>
    <cellStyle name="_01.측구공사_00.오수공(최종)_07.부대공사_00.부대공사_01.토공 " xfId="15"/>
    <cellStyle name="_01.측구공사_00.오수공(최종)_07.부대공사_01.토공 " xfId="16"/>
    <cellStyle name="_01.측구공사_00.오수공(최종)_07.부대공사_01.토공 _01.토공 " xfId="17"/>
    <cellStyle name="_01.측구공사_00.오수공(최종)_07.부대공사_07.부대공사" xfId="18"/>
    <cellStyle name="_01.측구공사_00.오수공(최종)_07.부대공사_07.부대공사_01.토공 " xfId="19"/>
    <cellStyle name="_01.측구공사_00.오수공(최종)_07.부대공사_07.부대공사_01.토공 _01.토공 " xfId="20"/>
    <cellStyle name="_01.측구공사_00.오수공(최종)_07.부대공사_07.부대공사_07.부대공사_01.토공 " xfId="21"/>
    <cellStyle name="_01.측구공사_00.오수공(최종)_07.부대공사_07.부대공사_1_01.토공 " xfId="22"/>
    <cellStyle name="_01.측구공사_00.오수공(최종)_07.부대공사_1_01.토공 " xfId="23"/>
    <cellStyle name="_01.측구공사_00.오수공(최종)_07.포장공" xfId="24"/>
    <cellStyle name="_01.측구공사_00.우수공" xfId="25"/>
    <cellStyle name="_01.측구공사_00.우수공_01.토공 " xfId="26"/>
    <cellStyle name="_01.측구공사_00.우수공_01.토공 _01.토공 " xfId="27"/>
    <cellStyle name="_01.측구공사_00.우수공_07.부대공사" xfId="28"/>
    <cellStyle name="_01.측구공사_00.우수공_07.부대공사_00.부대공사_01.토공 " xfId="29"/>
    <cellStyle name="_01.측구공사_00.우수공_07.부대공사_01.토공 " xfId="30"/>
    <cellStyle name="_01.측구공사_00.우수공_07.부대공사_01.토공 _01.토공 " xfId="31"/>
    <cellStyle name="_01.측구공사_00.우수공_07.부대공사_07.부대공사" xfId="32"/>
    <cellStyle name="_01.측구공사_00.우수공_07.부대공사_07.부대공사_01.토공 " xfId="33"/>
    <cellStyle name="_01.측구공사_00.우수공_07.부대공사_07.부대공사_01.토공 _01.토공 " xfId="34"/>
    <cellStyle name="_01.측구공사_00.우수공_07.부대공사_07.부대공사_07.부대공사_01.토공 " xfId="35"/>
    <cellStyle name="_01.측구공사_00.우수공_07.부대공사_07.부대공사_1_01.토공 " xfId="36"/>
    <cellStyle name="_01.측구공사_00.우수공_07.부대공사_1_01.토공 " xfId="37"/>
    <cellStyle name="_01.측구공사_00.우수공_07.포장공" xfId="38"/>
    <cellStyle name="_01.측구공사_01.토공 " xfId="39"/>
    <cellStyle name="_01.측구공사_01.토공 _01.토공 " xfId="40"/>
    <cellStyle name="_01.측구공사_04.우수공(단지부)" xfId="41"/>
    <cellStyle name="_01.측구공사_04.우수공(단지부)_01.토공 " xfId="42"/>
    <cellStyle name="_01.측구공사_04.우수공(단지부)_01.토공 _01.토공 " xfId="43"/>
    <cellStyle name="_01.측구공사_04.우수공(단지부)_07.부대공사" xfId="44"/>
    <cellStyle name="_01.측구공사_04.우수공(단지부)_07.부대공사_00.부대공사_01.토공 " xfId="45"/>
    <cellStyle name="_01.측구공사_04.우수공(단지부)_07.부대공사_01.토공 " xfId="46"/>
    <cellStyle name="_01.측구공사_04.우수공(단지부)_07.부대공사_01.토공 _01.토공 " xfId="47"/>
    <cellStyle name="_01.측구공사_04.우수공(단지부)_07.부대공사_07.부대공사" xfId="48"/>
    <cellStyle name="_01.측구공사_04.우수공(단지부)_07.부대공사_07.부대공사_01.토공 " xfId="49"/>
    <cellStyle name="_01.측구공사_04.우수공(단지부)_07.부대공사_07.부대공사_01.토공 _01.토공 " xfId="50"/>
    <cellStyle name="_01.측구공사_04.우수공(단지부)_07.부대공사_07.부대공사_07.부대공사_01.토공 " xfId="51"/>
    <cellStyle name="_01.측구공사_04.우수공(단지부)_07.부대공사_07.부대공사_1_01.토공 " xfId="52"/>
    <cellStyle name="_01.측구공사_04.우수공(단지부)_07.부대공사_1_01.토공 " xfId="53"/>
    <cellStyle name="_01.측구공사_04.우수공(단지부)_07.포장공" xfId="54"/>
    <cellStyle name="_01.측구공사_05.오수공" xfId="55"/>
    <cellStyle name="_01.측구공사_05.오수공_01.토공 " xfId="56"/>
    <cellStyle name="_01.측구공사_05.오수공_01.토공 _01.토공 " xfId="57"/>
    <cellStyle name="_01.측구공사_05.오수공_07.부대공사" xfId="58"/>
    <cellStyle name="_01.측구공사_05.오수공_07.부대공사_00.부대공사_01.토공 " xfId="59"/>
    <cellStyle name="_01.측구공사_05.오수공_07.부대공사_01.토공 " xfId="60"/>
    <cellStyle name="_01.측구공사_05.오수공_07.부대공사_01.토공 _01.토공 " xfId="61"/>
    <cellStyle name="_01.측구공사_05.오수공_07.부대공사_07.부대공사" xfId="62"/>
    <cellStyle name="_01.측구공사_05.오수공_07.부대공사_07.부대공사_01.토공 " xfId="63"/>
    <cellStyle name="_01.측구공사_05.오수공_07.부대공사_07.부대공사_01.토공 _01.토공 " xfId="64"/>
    <cellStyle name="_01.측구공사_05.오수공_07.부대공사_07.부대공사_07.부대공사_01.토공 " xfId="65"/>
    <cellStyle name="_01.측구공사_05.오수공_07.부대공사_07.부대공사_1_01.토공 " xfId="66"/>
    <cellStyle name="_01.측구공사_05.오수공_07.부대공사_1_01.토공 " xfId="67"/>
    <cellStyle name="_01.측구공사_05.오수공_07.포장공" xfId="68"/>
    <cellStyle name="_01.측구공사_07.부대공사" xfId="69"/>
    <cellStyle name="_01.측구공사_07.부대공사_00.부대공사_01.토공 " xfId="70"/>
    <cellStyle name="_01.측구공사_07.부대공사_01.토공 " xfId="71"/>
    <cellStyle name="_01.측구공사_07.부대공사_01.토공 _01.토공 " xfId="72"/>
    <cellStyle name="_01.측구공사_07.부대공사_07.부대공사" xfId="73"/>
    <cellStyle name="_01.측구공사_07.부대공사_07.부대공사_01.토공 " xfId="74"/>
    <cellStyle name="_01.측구공사_07.부대공사_07.부대공사_01.토공 _01.토공 " xfId="75"/>
    <cellStyle name="_01.측구공사_07.부대공사_07.부대공사_07.부대공사_01.토공 " xfId="76"/>
    <cellStyle name="_01.측구공사_07.부대공사_07.부대공사_1_01.토공 " xfId="77"/>
    <cellStyle name="_01.측구공사_07.부대공사_1_01.토공 " xfId="78"/>
    <cellStyle name="_01.측구공사_07.포장공" xfId="79"/>
    <cellStyle name="_02.기존구조물깨기" xfId="80"/>
    <cellStyle name="_03.측구공사" xfId="81"/>
    <cellStyle name="_03.측구공사_00.오수공(최종)" xfId="82"/>
    <cellStyle name="_03.측구공사_00.오수공(최종)_01.토공 " xfId="83"/>
    <cellStyle name="_03.측구공사_00.오수공(최종)_01.토공 _01.토공 " xfId="84"/>
    <cellStyle name="_03.측구공사_00.오수공(최종)_07.부대공사" xfId="85"/>
    <cellStyle name="_03.측구공사_00.오수공(최종)_07.부대공사_00.부대공사_01.토공 " xfId="86"/>
    <cellStyle name="_03.측구공사_00.오수공(최종)_07.부대공사_01.토공 " xfId="87"/>
    <cellStyle name="_03.측구공사_00.오수공(최종)_07.부대공사_01.토공 _01.토공 " xfId="88"/>
    <cellStyle name="_03.측구공사_00.오수공(최종)_07.부대공사_07.부대공사" xfId="89"/>
    <cellStyle name="_03.측구공사_00.오수공(최종)_07.부대공사_07.부대공사_01.토공 " xfId="90"/>
    <cellStyle name="_03.측구공사_00.오수공(최종)_07.부대공사_07.부대공사_01.토공 _01.토공 " xfId="91"/>
    <cellStyle name="_03.측구공사_00.오수공(최종)_07.부대공사_07.부대공사_07.부대공사_01.토공 " xfId="92"/>
    <cellStyle name="_03.측구공사_00.오수공(최종)_07.부대공사_07.부대공사_1_01.토공 " xfId="93"/>
    <cellStyle name="_03.측구공사_00.오수공(최종)_07.부대공사_1_01.토공 " xfId="94"/>
    <cellStyle name="_03.측구공사_00.오수공(최종)_07.포장공" xfId="95"/>
    <cellStyle name="_03.측구공사_00.우수공" xfId="96"/>
    <cellStyle name="_03.측구공사_00.우수공_01.토공 " xfId="97"/>
    <cellStyle name="_03.측구공사_00.우수공_01.토공 _01.토공 " xfId="98"/>
    <cellStyle name="_03.측구공사_00.우수공_07.부대공사" xfId="99"/>
    <cellStyle name="_03.측구공사_00.우수공_07.부대공사_00.부대공사_01.토공 " xfId="100"/>
    <cellStyle name="_03.측구공사_00.우수공_07.부대공사_01.토공 " xfId="101"/>
    <cellStyle name="_03.측구공사_00.우수공_07.부대공사_01.토공 _01.토공 " xfId="102"/>
    <cellStyle name="_03.측구공사_00.우수공_07.부대공사_07.부대공사" xfId="103"/>
    <cellStyle name="_03.측구공사_00.우수공_07.부대공사_07.부대공사_01.토공 " xfId="104"/>
    <cellStyle name="_03.측구공사_00.우수공_07.부대공사_07.부대공사_01.토공 _01.토공 " xfId="105"/>
    <cellStyle name="_03.측구공사_00.우수공_07.부대공사_07.부대공사_07.부대공사_01.토공 " xfId="106"/>
    <cellStyle name="_03.측구공사_00.우수공_07.부대공사_07.부대공사_1_01.토공 " xfId="107"/>
    <cellStyle name="_03.측구공사_00.우수공_07.부대공사_1_01.토공 " xfId="108"/>
    <cellStyle name="_03.측구공사_00.우수공_07.포장공" xfId="109"/>
    <cellStyle name="_03.측구공사_01.토공 " xfId="110"/>
    <cellStyle name="_03.측구공사_01.토공 _01.토공 " xfId="111"/>
    <cellStyle name="_03.측구공사_04.우수공(단지부)" xfId="112"/>
    <cellStyle name="_03.측구공사_04.우수공(단지부)_01.토공 " xfId="113"/>
    <cellStyle name="_03.측구공사_04.우수공(단지부)_01.토공 _01.토공 " xfId="114"/>
    <cellStyle name="_03.측구공사_04.우수공(단지부)_07.부대공사" xfId="115"/>
    <cellStyle name="_03.측구공사_04.우수공(단지부)_07.부대공사_00.부대공사_01.토공 " xfId="116"/>
    <cellStyle name="_03.측구공사_04.우수공(단지부)_07.부대공사_07.부대공사" xfId="117"/>
    <cellStyle name="_03.측구공사_04.우수공(단지부)_07.부대공사_07.부대공사_07.부대공사_01.토공 " xfId="118"/>
    <cellStyle name="_03.측구공사_04.우수공(단지부)_07.부대공사_07.부대공사_1_01.토공 " xfId="119"/>
    <cellStyle name="_03.측구공사_04.우수공(단지부)_07.부대공사_1_01.토공 " xfId="120"/>
    <cellStyle name="_03.측구공사_04.우수공(단지부)_07.포장공" xfId="121"/>
    <cellStyle name="_03.측구공사_05.오수공" xfId="122"/>
    <cellStyle name="_03.측구공사_05.오수공_07.부대공사" xfId="123"/>
    <cellStyle name="_03.측구공사_05.오수공_07.부대공사_00.부대공사_01.토공 " xfId="124"/>
    <cellStyle name="_03.측구공사_05.오수공_07.부대공사_07.부대공사" xfId="125"/>
    <cellStyle name="_03.측구공사_05.오수공_07.부대공사_07.부대공사_07.부대공사_01.토공 " xfId="126"/>
    <cellStyle name="_03.측구공사_05.오수공_07.부대공사_07.부대공사_1_01.토공 " xfId="127"/>
    <cellStyle name="_03.측구공사_05.오수공_07.부대공사_1_01.토공 " xfId="128"/>
    <cellStyle name="_03.측구공사_05.오수공_07.포장공" xfId="129"/>
    <cellStyle name="_03.측구공사_07.부대공사" xfId="130"/>
    <cellStyle name="_03.측구공사_07.부대공사_00.부대공사_01.토공 " xfId="131"/>
    <cellStyle name="_03.측구공사_07.부대공사_07.부대공사" xfId="132"/>
    <cellStyle name="_03.측구공사_07.부대공사_07.부대공사_07.부대공사_01.토공 " xfId="133"/>
    <cellStyle name="_03.측구공사_07.부대공사_07.부대공사_1_01.토공 " xfId="134"/>
    <cellStyle name="_03.측구공사_07.부대공사_1_01.토공 " xfId="135"/>
    <cellStyle name="_03.측구공사_07.포장공" xfId="136"/>
    <cellStyle name="_03소락교기존구조물깨기수량" xfId="137"/>
    <cellStyle name="_04.우수공" xfId="138"/>
    <cellStyle name="_04소락1교가도공수량" xfId="139"/>
    <cellStyle name="_04-소락1교-가시설수량" xfId="140"/>
    <cellStyle name="_05.수량산출" xfId="141"/>
    <cellStyle name="_06-광재교-부대공수량" xfId="142"/>
    <cellStyle name="_08.부대공" xfId="143"/>
    <cellStyle name="_08.집수정및연결관수량" xfId="144"/>
    <cellStyle name="_08-02-광천교-하부공수량" xfId="145"/>
    <cellStyle name="_08-02-광천교-하부공수량_총괄수량총괄집계" xfId="146"/>
    <cellStyle name="_08-02-광천교-하부공수량_총괄수량총괄집계_총괄수량총괄집계" xfId="147"/>
    <cellStyle name="_08-03-광천교-교각일반수량" xfId="148"/>
    <cellStyle name="_08-03-광천교-교각일반수량_총괄수량총괄집계" xfId="149"/>
    <cellStyle name="_08-03-광천교-교각일반수량_총괄수량총괄집계_총괄수량총괄집계" xfId="150"/>
    <cellStyle name="_08-08-광천교-부대공" xfId="151"/>
    <cellStyle name="_08-08-광천교-부대공_총괄수량총괄집계" xfId="152"/>
    <cellStyle name="_08-08-광천교-부대공_총괄수량총괄집계_총괄수량총괄집계" xfId="153"/>
    <cellStyle name="_1.배수시설" xfId="154"/>
    <cellStyle name="_1.집계표" xfId="155"/>
    <cellStyle name="_1.측구공사" xfId="156"/>
    <cellStyle name="_1.측구공사_00.오수공(최종)" xfId="157"/>
    <cellStyle name="_1.측구공사_00.오수공(최종)_07.부대공사" xfId="158"/>
    <cellStyle name="_1.측구공사_00.오수공(최종)_07.부대공사_00.부대공사_01.토공 " xfId="159"/>
    <cellStyle name="_1.측구공사_00.오수공(최종)_07.부대공사_07.부대공사" xfId="160"/>
    <cellStyle name="_1.측구공사_00.오수공(최종)_07.부대공사_07.부대공사_07.부대공사_01.토공 " xfId="161"/>
    <cellStyle name="_1.측구공사_00.오수공(최종)_07.부대공사_07.부대공사_1_01.토공 " xfId="162"/>
    <cellStyle name="_1.측구공사_00.오수공(최종)_07.부대공사_1_01.토공 " xfId="163"/>
    <cellStyle name="_1.측구공사_00.오수공(최종)_07.포장공" xfId="164"/>
    <cellStyle name="_1.측구공사_00.우수공" xfId="165"/>
    <cellStyle name="_1.측구공사_00.우수공_07.부대공사" xfId="166"/>
    <cellStyle name="_1.측구공사_00.우수공_07.부대공사_00.부대공사_01.토공 " xfId="167"/>
    <cellStyle name="_1.측구공사_00.우수공_07.부대공사_07.부대공사" xfId="168"/>
    <cellStyle name="_1.측구공사_00.우수공_07.부대공사_07.부대공사_07.부대공사_01.토공 " xfId="169"/>
    <cellStyle name="_1.측구공사_00.우수공_07.포장공" xfId="170"/>
    <cellStyle name="_1.측구공사_01.측구공사" xfId="171"/>
    <cellStyle name="_1.측구공사_01.측구공사_00.오수공(최종)" xfId="172"/>
    <cellStyle name="_1.측구공사_01.측구공사_00.오수공(최종)_07.부대공사" xfId="173"/>
    <cellStyle name="_1.측구공사_01.측구공사_00.오수공(최종)_07.부대공사_07.부대공사" xfId="174"/>
    <cellStyle name="_1.측구공사_01.측구공사_00.오수공(최종)_07.포장공" xfId="175"/>
    <cellStyle name="_1.측구공사_01.측구공사_00.우수공" xfId="176"/>
    <cellStyle name="_1.측구공사_01.측구공사_00.우수공_07.부대공사" xfId="177"/>
    <cellStyle name="_1.측구공사_01.측구공사_00.우수공_07.부대공사_07.부대공사" xfId="178"/>
    <cellStyle name="_1.측구공사_01.측구공사_00.우수공_07.포장공" xfId="179"/>
    <cellStyle name="_1.측구공사_01.측구공사_04.우수공(단지부)" xfId="180"/>
    <cellStyle name="_1.측구공사_01.측구공사_04.우수공(단지부)_07.부대공사" xfId="181"/>
    <cellStyle name="_1.측구공사_01.측구공사_04.우수공(단지부)_07.부대공사_07.부대공사" xfId="182"/>
    <cellStyle name="_1.측구공사_01.측구공사_04.우수공(단지부)_07.포장공" xfId="183"/>
    <cellStyle name="_1.측구공사_01.측구공사_05.오수공" xfId="184"/>
    <cellStyle name="_1.측구공사_01.측구공사_05.오수공_07.부대공사" xfId="185"/>
    <cellStyle name="_1.측구공사_01.측구공사_05.오수공_07.부대공사_07.부대공사" xfId="186"/>
    <cellStyle name="_1.측구공사_01.측구공사_05.오수공_07.포장공" xfId="187"/>
    <cellStyle name="_1.측구공사_01.측구공사_07.부대공사" xfId="188"/>
    <cellStyle name="_1.측구공사_01.측구공사_07.부대공사_07.부대공사" xfId="189"/>
    <cellStyle name="_1.측구공사_01.측구공사_07.포장공" xfId="190"/>
    <cellStyle name="_1.측구공사_03.그린 조성공사" xfId="191"/>
    <cellStyle name="_1.측구공사_03.그린 조성공사_00.오수공(최종)" xfId="192"/>
    <cellStyle name="_1.측구공사_03.그린 조성공사_00.오수공(최종)_07.부대공사" xfId="193"/>
    <cellStyle name="_1.측구공사_03.그린 조성공사_00.오수공(최종)_07.부대공사_07.부대공사" xfId="194"/>
    <cellStyle name="_1.측구공사_03.그린 조성공사_00.오수공(최종)_07.포장공" xfId="195"/>
    <cellStyle name="_1.측구공사_03.그린 조성공사_00.우수공" xfId="196"/>
    <cellStyle name="_1.측구공사_03.그린 조성공사_00.우수공_07.부대공사" xfId="197"/>
    <cellStyle name="_1.측구공사_03.그린 조성공사_00.우수공_07.부대공사_07.부대공사" xfId="198"/>
    <cellStyle name="_1.측구공사_03.그린 조성공사_00.우수공_07.포장공" xfId="199"/>
    <cellStyle name="_1.측구공사_03.그린 조성공사_04.우수공(단지부)" xfId="200"/>
    <cellStyle name="_1.측구공사_03.그린 조성공사_04.우수공(단지부)_07.부대공사" xfId="201"/>
    <cellStyle name="_1.측구공사_03.그린 조성공사_04.우수공(단지부)_07.부대공사_07.부대공사" xfId="202"/>
    <cellStyle name="_1.측구공사_03.그린 조성공사_04.우수공(단지부)_07.포장공" xfId="203"/>
    <cellStyle name="_1.측구공사_03.그린 조성공사_05.오수공" xfId="204"/>
    <cellStyle name="_1.측구공사_03.그린 조성공사_05.오수공_07.부대공사" xfId="205"/>
    <cellStyle name="_1.측구공사_03.그린 조성공사_05.오수공_07.부대공사_07.부대공사" xfId="206"/>
    <cellStyle name="_1.측구공사_03.그린 조성공사_05.오수공_07.포장공" xfId="207"/>
    <cellStyle name="_1.측구공사_03.그린 조성공사_07.부대공사" xfId="208"/>
    <cellStyle name="_1.측구공사_03.그린 조성공사_07.부대공사_07.부대공사" xfId="209"/>
    <cellStyle name="_1.측구공사_03.그린 조성공사_07.포장공" xfId="210"/>
    <cellStyle name="_1.측구공사_04.우수공(단지부)" xfId="211"/>
    <cellStyle name="_1.측구공사_04.우수공(단지부)_07.부대공사" xfId="212"/>
    <cellStyle name="_1.측구공사_04.우수공(단지부)_07.부대공사_07.부대공사" xfId="213"/>
    <cellStyle name="_1.측구공사_04.우수공(단지부)_07.포장공" xfId="214"/>
    <cellStyle name="_1.측구공사_04.표면 배수공사" xfId="215"/>
    <cellStyle name="_1.측구공사_04.표면 배수공사_00.오수공(최종)" xfId="216"/>
    <cellStyle name="_1.측구공사_04.표면 배수공사_00.오수공(최종)_07.부대공사" xfId="217"/>
    <cellStyle name="_1.측구공사_04.표면 배수공사_00.오수공(최종)_07.부대공사_07.부대공사" xfId="218"/>
    <cellStyle name="_1.측구공사_04.표면 배수공사_00.오수공(최종)_07.포장공" xfId="219"/>
    <cellStyle name="_1.측구공사_04.표면 배수공사_00.우수공" xfId="220"/>
    <cellStyle name="_1.측구공사_04.표면 배수공사_00.우수공_07.부대공사" xfId="221"/>
    <cellStyle name="_1.측구공사_04.표면 배수공사_00.우수공_07.부대공사_07.부대공사" xfId="222"/>
    <cellStyle name="_1.측구공사_04.표면 배수공사_00.우수공_07.포장공" xfId="223"/>
    <cellStyle name="_1.측구공사_04.표면 배수공사_04.우수공(단지부)" xfId="224"/>
    <cellStyle name="_1.측구공사_04.표면 배수공사_04.우수공(단지부)_07.부대공사" xfId="225"/>
    <cellStyle name="_1.측구공사_04.표면 배수공사_04.우수공(단지부)_07.부대공사_07.부대공사" xfId="226"/>
    <cellStyle name="_1.측구공사_04.표면 배수공사_04.우수공(단지부)_07.포장공" xfId="227"/>
    <cellStyle name="_1.측구공사_04.표면 배수공사_05.오수공" xfId="228"/>
    <cellStyle name="_1.측구공사_04.표면 배수공사_05.오수공_07.부대공사" xfId="229"/>
    <cellStyle name="_1.측구공사_04.표면 배수공사_05.오수공_07.부대공사_07.부대공사" xfId="230"/>
    <cellStyle name="_1.측구공사_04.표면 배수공사_05.오수공_07.포장공" xfId="231"/>
    <cellStyle name="_1.측구공사_04.표면 배수공사_07.부대공사" xfId="232"/>
    <cellStyle name="_1.측구공사_04.표면 배수공사_07.부대공사_07.부대공사" xfId="233"/>
    <cellStyle name="_1.측구공사_04.표면 배수공사_07.포장공" xfId="234"/>
    <cellStyle name="_1.측구공사_05.그린 조성공사" xfId="235"/>
    <cellStyle name="_1.측구공사_05.그린 조성공사_00.오수공(최종)" xfId="236"/>
    <cellStyle name="_1.측구공사_05.그린 조성공사_00.오수공(최종)_07.부대공사" xfId="237"/>
    <cellStyle name="_1.측구공사_05.그린 조성공사_00.오수공(최종)_07.부대공사_07.부대공사" xfId="238"/>
    <cellStyle name="_1.측구공사_05.그린 조성공사_00.오수공(최종)_07.포장공" xfId="239"/>
    <cellStyle name="_1.측구공사_05.그린 조성공사_00.우수공" xfId="240"/>
    <cellStyle name="_1.측구공사_05.그린 조성공사_00.우수공_07.부대공사" xfId="241"/>
    <cellStyle name="_1.측구공사_05.그린 조성공사_00.우수공_07.부대공사_07.부대공사" xfId="242"/>
    <cellStyle name="_1.측구공사_05.그린 조성공사_00.우수공_07.포장공" xfId="243"/>
    <cellStyle name="_1.측구공사_05.그린 조성공사_04.우수공(단지부)" xfId="244"/>
    <cellStyle name="_1.측구공사_05.그린 조성공사_04.우수공(단지부)_07.부대공사" xfId="245"/>
    <cellStyle name="_1.측구공사_05.그린 조성공사_04.우수공(단지부)_07.부대공사_07.부대공사" xfId="246"/>
    <cellStyle name="_1.측구공사_05.그린 조성공사_04.우수공(단지부)_07.포장공" xfId="247"/>
    <cellStyle name="_1.측구공사_05.그린 조성공사_05.오수공" xfId="248"/>
    <cellStyle name="_1.측구공사_05.그린 조성공사_05.오수공_07.부대공사" xfId="249"/>
    <cellStyle name="_1.측구공사_05.그린 조성공사_05.오수공_07.부대공사_07.부대공사" xfId="250"/>
    <cellStyle name="_1.측구공사_05.그린 조성공사_05.오수공_07.포장공" xfId="251"/>
    <cellStyle name="_1.측구공사_05.그린 조성공사_07.부대공사" xfId="252"/>
    <cellStyle name="_1.측구공사_05.그린 조성공사_07.부대공사_07.부대공사" xfId="253"/>
    <cellStyle name="_1.측구공사_05.그린 조성공사_07.포장공" xfId="254"/>
    <cellStyle name="_1.측구공사_05.오수공" xfId="255"/>
    <cellStyle name="_1.측구공사_05.오수공_07.부대공사" xfId="256"/>
    <cellStyle name="_1.측구공사_05.오수공_07.부대공사_07.부대공사" xfId="257"/>
    <cellStyle name="_1.측구공사_05.오수공_07.포장공" xfId="258"/>
    <cellStyle name="_1.측구공사_07.부대공사" xfId="259"/>
    <cellStyle name="_1.측구공사_07.부대공사_07.부대공사" xfId="260"/>
    <cellStyle name="_1.측구공사_07.포장공" xfId="261"/>
    <cellStyle name="_1.측구공사_1" xfId="262"/>
    <cellStyle name="_1.측구공사_1.측구공사" xfId="263"/>
    <cellStyle name="_1.측구공사_1.측구공사_00.오수공(최종)" xfId="264"/>
    <cellStyle name="_1.측구공사_1.측구공사_00.오수공(최종)_07.부대공사" xfId="265"/>
    <cellStyle name="_1.측구공사_1.측구공사_00.오수공(최종)_07.부대공사_07.부대공사" xfId="266"/>
    <cellStyle name="_1.측구공사_1.측구공사_00.오수공(최종)_07.포장공" xfId="267"/>
    <cellStyle name="_1.측구공사_1.측구공사_00.우수공" xfId="268"/>
    <cellStyle name="_1.측구공사_1.측구공사_00.우수공_07.부대공사" xfId="269"/>
    <cellStyle name="_1.측구공사_1.측구공사_00.우수공_07.부대공사_07.부대공사" xfId="270"/>
    <cellStyle name="_1.측구공사_1.측구공사_00.우수공_07.포장공" xfId="271"/>
    <cellStyle name="_1.측구공사_1.측구공사_04.우수공(단지부)" xfId="272"/>
    <cellStyle name="_1.측구공사_1.측구공사_04.우수공(단지부)_07.부대공사" xfId="273"/>
    <cellStyle name="_1.측구공사_1.측구공사_04.우수공(단지부)_07.부대공사_07.부대공사" xfId="274"/>
    <cellStyle name="_1.측구공사_1.측구공사_04.우수공(단지부)_07.포장공" xfId="275"/>
    <cellStyle name="_1.측구공사_1.측구공사_05.오수공" xfId="276"/>
    <cellStyle name="_1.측구공사_1.측구공사_05.오수공_07.부대공사" xfId="277"/>
    <cellStyle name="_1.측구공사_1.측구공사_05.오수공_07.부대공사_07.부대공사" xfId="278"/>
    <cellStyle name="_1.측구공사_1.측구공사_05.오수공_07.포장공" xfId="279"/>
    <cellStyle name="_1.측구공사_1.측구공사_07.부대공사" xfId="280"/>
    <cellStyle name="_1.측구공사_1.측구공사_07.부대공사_07.부대공사" xfId="281"/>
    <cellStyle name="_1.측구공사_1.측구공사_07.포장공" xfId="282"/>
    <cellStyle name="_1.측구공사_1.측구공사-0" xfId="283"/>
    <cellStyle name="_1.측구공사_1.측구공사-0_00.오수공(최종)" xfId="284"/>
    <cellStyle name="_1.측구공사_1.측구공사-0_00.오수공(최종)_07.부대공사" xfId="285"/>
    <cellStyle name="_1.측구공사_1.측구공사-0_00.오수공(최종)_07.부대공사_07.부대공사" xfId="286"/>
    <cellStyle name="_1.측구공사_1.측구공사-0_00.오수공(최종)_07.포장공" xfId="287"/>
    <cellStyle name="_1.측구공사_1.측구공사-0_00.우수공" xfId="288"/>
    <cellStyle name="_1.측구공사_1.측구공사-0_00.우수공_07.부대공사" xfId="289"/>
    <cellStyle name="_1.측구공사_1.측구공사-0_00.우수공_07.부대공사_07.부대공사" xfId="290"/>
    <cellStyle name="_1.측구공사_1.측구공사-0_00.우수공_07.포장공" xfId="291"/>
    <cellStyle name="_1.측구공사_1.측구공사-0_04.우수공(단지부)" xfId="292"/>
    <cellStyle name="_1.측구공사_1.측구공사-0_04.우수공(단지부)_07.부대공사" xfId="293"/>
    <cellStyle name="_1.측구공사_1.측구공사-0_04.우수공(단지부)_07.부대공사_07.부대공사" xfId="294"/>
    <cellStyle name="_1.측구공사_1.측구공사-0_04.우수공(단지부)_07.포장공" xfId="295"/>
    <cellStyle name="_1.측구공사_1.측구공사-0_05.오수공" xfId="296"/>
    <cellStyle name="_1.측구공사_1.측구공사-0_05.오수공_07.부대공사" xfId="297"/>
    <cellStyle name="_1.측구공사_1.측구공사-0_05.오수공_07.부대공사_07.부대공사" xfId="298"/>
    <cellStyle name="_1.측구공사_1.측구공사-0_05.오수공_07.포장공" xfId="299"/>
    <cellStyle name="_1.측구공사_1.측구공사-0_07.부대공사" xfId="300"/>
    <cellStyle name="_1.측구공사_1.측구공사-0_07.부대공사_07.부대공사" xfId="301"/>
    <cellStyle name="_1.측구공사_1.측구공사-0_07.포장공" xfId="302"/>
    <cellStyle name="_1.측구공사_1_00.오수공(최종)" xfId="303"/>
    <cellStyle name="_1.측구공사_1_00.오수공(최종)_07.부대공사" xfId="304"/>
    <cellStyle name="_1.측구공사_1_00.오수공(최종)_07.부대공사_07.부대공사" xfId="305"/>
    <cellStyle name="_1.측구공사_1_00.오수공(최종)_07.포장공" xfId="306"/>
    <cellStyle name="_1.측구공사_1_00.우수공" xfId="307"/>
    <cellStyle name="_1.측구공사_1_00.우수공_07.부대공사" xfId="308"/>
    <cellStyle name="_1.측구공사_1_00.우수공_07.부대공사_07.부대공사" xfId="309"/>
    <cellStyle name="_1.측구공사_1_00.우수공_07.포장공" xfId="310"/>
    <cellStyle name="_1.측구공사_1_04.우수공(단지부)" xfId="311"/>
    <cellStyle name="_1.측구공사_1_04.우수공(단지부)_07.부대공사" xfId="312"/>
    <cellStyle name="_1.측구공사_1_04.우수공(단지부)_07.부대공사_07.부대공사" xfId="313"/>
    <cellStyle name="_1.측구공사_1_04.우수공(단지부)_07.포장공" xfId="314"/>
    <cellStyle name="_1.측구공사_1_05.오수공" xfId="315"/>
    <cellStyle name="_1.측구공사_1_05.오수공_07.부대공사" xfId="316"/>
    <cellStyle name="_1.측구공사_1_05.오수공_07.부대공사_07.부대공사" xfId="317"/>
    <cellStyle name="_1.측구공사_1_05.오수공_07.포장공" xfId="318"/>
    <cellStyle name="_1.측구공사_1_07.부대공사" xfId="319"/>
    <cellStyle name="_1.측구공사_1_07.부대공사_07.부대공사" xfId="320"/>
    <cellStyle name="_1.측구공사_1_07.포장공" xfId="321"/>
    <cellStyle name="_1.측구공사_2.배수시설" xfId="322"/>
    <cellStyle name="_1.측구공사_2.배수시설_00.오수공(최종)" xfId="323"/>
    <cellStyle name="_1.측구공사_2.배수시설_00.오수공(최종)_07.부대공사" xfId="324"/>
    <cellStyle name="_1.측구공사_2.배수시설_00.오수공(최종)_07.부대공사_07.부대공사" xfId="325"/>
    <cellStyle name="_1.측구공사_2.배수시설_00.오수공(최종)_07.포장공" xfId="326"/>
    <cellStyle name="_1.측구공사_2.배수시설_00.우수공" xfId="327"/>
    <cellStyle name="_1.측구공사_2.배수시설_00.우수공_07.부대공사" xfId="328"/>
    <cellStyle name="_1.측구공사_2.배수시설_00.우수공_07.부대공사_07.부대공사" xfId="329"/>
    <cellStyle name="_1.측구공사_2.배수시설_00.우수공_07.포장공" xfId="330"/>
    <cellStyle name="_1.측구공사_2.배수시설_01.측구공사" xfId="331"/>
    <cellStyle name="_1.측구공사_2.배수시설_01.측구공사_00.오수공(최종)" xfId="332"/>
    <cellStyle name="_1.측구공사_2.배수시설_01.측구공사_00.오수공(최종)_07.부대공사" xfId="333"/>
    <cellStyle name="_1.측구공사_2.배수시설_01.측구공사_00.오수공(최종)_07.부대공사_07.부대공사" xfId="334"/>
    <cellStyle name="_1.측구공사_2.배수시설_01.측구공사_00.오수공(최종)_07.포장공" xfId="335"/>
    <cellStyle name="_1.측구공사_2.배수시설_01.측구공사_00.우수공" xfId="336"/>
    <cellStyle name="_1.측구공사_2.배수시설_01.측구공사_00.우수공_07.부대공사" xfId="337"/>
    <cellStyle name="_1.측구공사_2.배수시설_01.측구공사_00.우수공_07.부대공사_07.부대공사" xfId="338"/>
    <cellStyle name="_1.측구공사_2.배수시설_01.측구공사_00.우수공_07.포장공" xfId="339"/>
    <cellStyle name="_1.측구공사_2.배수시설_01.측구공사_04.우수공(단지부)" xfId="340"/>
    <cellStyle name="_1.측구공사_2.배수시설_01.측구공사_04.우수공(단지부)_07.부대공사" xfId="341"/>
    <cellStyle name="_1.측구공사_2.배수시설_01.측구공사_04.우수공(단지부)_07.부대공사_07.부대공사" xfId="342"/>
    <cellStyle name="_1.측구공사_2.배수시설_01.측구공사_04.우수공(단지부)_07.포장공" xfId="343"/>
    <cellStyle name="_1.측구공사_2.배수시설_01.측구공사_05.오수공" xfId="344"/>
    <cellStyle name="_1.측구공사_2.배수시설_01.측구공사_05.오수공_07.부대공사" xfId="345"/>
    <cellStyle name="_1.측구공사_2.배수시설_01.측구공사_05.오수공_07.부대공사_07.부대공사" xfId="346"/>
    <cellStyle name="_1.측구공사_2.배수시설_01.측구공사_05.오수공_07.포장공" xfId="347"/>
    <cellStyle name="_1.측구공사_2.배수시설_01.측구공사_07.부대공사" xfId="348"/>
    <cellStyle name="_1.측구공사_2.배수시설_01.측구공사_07.부대공사_07.부대공사" xfId="349"/>
    <cellStyle name="_1.측구공사_2.배수시설_01.측구공사_07.포장공" xfId="350"/>
    <cellStyle name="_1.측구공사_2.배수시설_04.우수공(단지부)" xfId="351"/>
    <cellStyle name="_1.측구공사_2.배수시설_04.우수공(단지부)_07.부대공사" xfId="352"/>
    <cellStyle name="_1.측구공사_2.배수시설_04.우수공(단지부)_07.부대공사_07.부대공사" xfId="353"/>
    <cellStyle name="_1.측구공사_2.배수시설_04.우수공(단지부)_07.포장공" xfId="354"/>
    <cellStyle name="_1.측구공사_2.배수시설_05.오수공" xfId="355"/>
    <cellStyle name="_1.측구공사_2.배수시설_05.오수공_07.부대공사" xfId="356"/>
    <cellStyle name="_1.측구공사_2.배수시설_05.오수공_07.부대공사_07.부대공사" xfId="357"/>
    <cellStyle name="_1.측구공사_2.배수시설_05.오수공_07.포장공" xfId="358"/>
    <cellStyle name="_1.측구공사_2.배수시설_07.부대공사" xfId="359"/>
    <cellStyle name="_1.측구공사_2.배수시설_07.부대공사_07.부대공사" xfId="360"/>
    <cellStyle name="_1.측구공사_2.배수시설_07.포장공" xfId="361"/>
    <cellStyle name="_1.측구공사_2.배수시설_1.측구공사" xfId="362"/>
    <cellStyle name="_1.측구공사_2.배수시설_1.측구공사_00.오수공(최종)" xfId="363"/>
    <cellStyle name="_1.측구공사_2.배수시설_1.측구공사_00.오수공(최종)_07.부대공사" xfId="364"/>
    <cellStyle name="_1.측구공사_2.배수시설_1.측구공사_00.오수공(최종)_07.부대공사_07.부대공사" xfId="365"/>
    <cellStyle name="_1.측구공사_2.배수시설_1.측구공사_00.오수공(최종)_07.포장공" xfId="366"/>
    <cellStyle name="_1.측구공사_2.배수시설_1.측구공사_00.우수공" xfId="367"/>
    <cellStyle name="_1.측구공사_2.배수시설_1.측구공사_00.우수공_07.부대공사" xfId="368"/>
    <cellStyle name="_1.측구공사_2.배수시설_1.측구공사_00.우수공_07.부대공사_07.부대공사" xfId="369"/>
    <cellStyle name="_1.측구공사_2.배수시설_1.측구공사_00.우수공_07.포장공" xfId="370"/>
    <cellStyle name="_1.측구공사_2.배수시설_1.측구공사_04.우수공(단지부)" xfId="371"/>
    <cellStyle name="_1.측구공사_2.배수시설_1.측구공사_04.우수공(단지부)_07.부대공사" xfId="372"/>
    <cellStyle name="_1.측구공사_2.배수시설_1.측구공사_04.우수공(단지부)_07.부대공사_07.부대공사" xfId="373"/>
    <cellStyle name="_1.측구공사_2.배수시설_1.측구공사_04.우수공(단지부)_07.포장공" xfId="374"/>
    <cellStyle name="_1.측구공사_2.배수시설_1.측구공사_05.오수공" xfId="375"/>
    <cellStyle name="_1.측구공사_2.배수시설_1.측구공사_05.오수공_07.부대공사" xfId="376"/>
    <cellStyle name="_1.측구공사_2.배수시설_1.측구공사_05.오수공_07.부대공사_07.부대공사" xfId="377"/>
    <cellStyle name="_1.측구공사_2.배수시설_1.측구공사_05.오수공_07.포장공" xfId="378"/>
    <cellStyle name="_1.측구공사_2.배수시설_1.측구공사_07.부대공사" xfId="379"/>
    <cellStyle name="_1.측구공사_2.배수시설_1.측구공사_07.부대공사_07.부대공사" xfId="380"/>
    <cellStyle name="_1.측구공사_2.배수시설_1.측구공사_07.포장공" xfId="381"/>
    <cellStyle name="_1.측구공사_2.배수시설_1.측구공사-0" xfId="382"/>
    <cellStyle name="_1.측구공사_2.배수시설_1.측구공사-0_00.오수공(최종)" xfId="383"/>
    <cellStyle name="_1.측구공사_2.배수시설_1.측구공사-0_00.오수공(최종)_07.부대공사" xfId="384"/>
    <cellStyle name="_1.측구공사_2.배수시설_1.측구공사-0_00.오수공(최종)_07.부대공사_07.부대공사" xfId="385"/>
    <cellStyle name="_1.측구공사_2.배수시설_1.측구공사-0_00.오수공(최종)_07.포장공" xfId="386"/>
    <cellStyle name="_1.측구공사_2.배수시설_1.측구공사-0_00.우수공" xfId="387"/>
    <cellStyle name="_1.측구공사_2.배수시설_1.측구공사-0_00.우수공_07.부대공사" xfId="388"/>
    <cellStyle name="_1.측구공사_2.배수시설_1.측구공사-0_00.우수공_07.부대공사_07.부대공사" xfId="389"/>
    <cellStyle name="_1.측구공사_2.배수시설_1.측구공사-0_00.우수공_07.포장공" xfId="390"/>
    <cellStyle name="_1.측구공사_2.배수시설_1.측구공사-0_04.우수공(단지부)" xfId="391"/>
    <cellStyle name="_1.측구공사_2.배수시설_1.측구공사-0_04.우수공(단지부)_07.부대공사" xfId="392"/>
    <cellStyle name="_1.측구공사_2.배수시설_1.측구공사-0_04.우수공(단지부)_07.부대공사_07.부대공사" xfId="393"/>
    <cellStyle name="_1.측구공사_2.배수시설_1.측구공사-0_04.우수공(단지부)_07.포장공" xfId="394"/>
    <cellStyle name="_1.측구공사_2.배수시설_1.측구공사-0_05.오수공" xfId="395"/>
    <cellStyle name="_1.측구공사_2.배수시설_1.측구공사-0_05.오수공_07.부대공사" xfId="396"/>
    <cellStyle name="_1.측구공사_2.배수시설_1.측구공사-0_05.오수공_07.부대공사_07.부대공사" xfId="397"/>
    <cellStyle name="_1.측구공사_2.배수시설_1.측구공사-0_05.오수공_07.포장공" xfId="398"/>
    <cellStyle name="_1.측구공사_2.배수시설_1.측구공사-0_07.부대공사" xfId="399"/>
    <cellStyle name="_1.측구공사_2.배수시설_1.측구공사-0_07.부대공사_07.부대공사" xfId="400"/>
    <cellStyle name="_1.측구공사_2.배수시설_1.측구공사-0_07.포장공" xfId="401"/>
    <cellStyle name="_1.측구공사_3.그린 조성공사" xfId="402"/>
    <cellStyle name="_1.측구공사_3.그린 조성공사_00.오수공(최종)" xfId="403"/>
    <cellStyle name="_1.측구공사_3.그린 조성공사_00.오수공(최종)_07.부대공사" xfId="404"/>
    <cellStyle name="_1.측구공사_3.그린 조성공사_00.오수공(최종)_07.부대공사_07.부대공사" xfId="405"/>
    <cellStyle name="_1.측구공사_3.그린 조성공사_00.오수공(최종)_07.포장공" xfId="406"/>
    <cellStyle name="_1.측구공사_3.그린 조성공사_00.우수공" xfId="407"/>
    <cellStyle name="_1.측구공사_3.그린 조성공사_00.우수공_07.부대공사" xfId="408"/>
    <cellStyle name="_1.측구공사_3.그린 조성공사_00.우수공_07.부대공사_07.부대공사" xfId="409"/>
    <cellStyle name="_1.측구공사_3.그린 조성공사_00.우수공_07.포장공" xfId="410"/>
    <cellStyle name="_1.측구공사_3.그린 조성공사_04.우수공(단지부)" xfId="411"/>
    <cellStyle name="_1.측구공사_3.그린 조성공사_04.우수공(단지부)_07.부대공사" xfId="412"/>
    <cellStyle name="_1.측구공사_3.그린 조성공사_04.우수공(단지부)_07.부대공사_07.부대공사" xfId="413"/>
    <cellStyle name="_1.측구공사_3.그린 조성공사_04.우수공(단지부)_07.포장공" xfId="414"/>
    <cellStyle name="_1.측구공사_3.그린 조성공사_05.오수공" xfId="415"/>
    <cellStyle name="_1.측구공사_3.그린 조성공사_05.오수공_07.부대공사" xfId="416"/>
    <cellStyle name="_1.측구공사_3.그린 조성공사_05.오수공_07.부대공사_07.부대공사" xfId="417"/>
    <cellStyle name="_1.측구공사_3.그린 조성공사_05.오수공_07.포장공" xfId="418"/>
    <cellStyle name="_1.측구공사_3.그린 조성공사_07.부대공사" xfId="419"/>
    <cellStyle name="_1.측구공사_3.그린 조성공사_07.부대공사_07.부대공사" xfId="420"/>
    <cellStyle name="_1.측구공사_3.그린 조성공사_07.포장공" xfId="421"/>
    <cellStyle name="_1.측구공사_3.그린 조성공사-0" xfId="422"/>
    <cellStyle name="_1.측구공사_3.그린 조성공사-0_00.오수공(최종)" xfId="423"/>
    <cellStyle name="_1.측구공사_3.그린 조성공사-0_00.오수공(최종)_07.부대공사" xfId="424"/>
    <cellStyle name="_1.측구공사_3.그린 조성공사-0_00.오수공(최종)_07.부대공사_07.부대공사" xfId="425"/>
    <cellStyle name="_1.측구공사_3.그린 조성공사-0_00.오수공(최종)_07.포장공" xfId="426"/>
    <cellStyle name="_1.측구공사_3.그린 조성공사-0_00.우수공" xfId="427"/>
    <cellStyle name="_1.측구공사_3.그린 조성공사-0_00.우수공_07.부대공사" xfId="428"/>
    <cellStyle name="_1.측구공사_3.그린 조성공사-0_00.우수공_07.부대공사_07.부대공사" xfId="429"/>
    <cellStyle name="_1.측구공사_3.그린 조성공사-0_00.우수공_07.포장공" xfId="430"/>
    <cellStyle name="_1.측구공사_3.그린 조성공사-0_04.우수공(단지부)" xfId="431"/>
    <cellStyle name="_1.측구공사_3.그린 조성공사-0_04.우수공(단지부)_07.부대공사" xfId="432"/>
    <cellStyle name="_1.측구공사_3.그린 조성공사-0_04.우수공(단지부)_07.부대공사_07.부대공사" xfId="433"/>
    <cellStyle name="_1.측구공사_3.그린 조성공사-0_04.우수공(단지부)_07.포장공" xfId="434"/>
    <cellStyle name="_1.측구공사_3.그린 조성공사-0_05.오수공" xfId="435"/>
    <cellStyle name="_1.측구공사_3.그린 조성공사-0_05.오수공_07.부대공사" xfId="436"/>
    <cellStyle name="_1.측구공사_3.그린 조성공사-0_05.오수공_07.부대공사_07.부대공사" xfId="437"/>
    <cellStyle name="_1.측구공사_3.그린 조성공사-0_05.오수공_07.포장공" xfId="438"/>
    <cellStyle name="_1.측구공사_3.그린 조성공사-0_07.부대공사" xfId="439"/>
    <cellStyle name="_1.측구공사_3.그린 조성공사-0_07.부대공사_07.부대공사" xfId="440"/>
    <cellStyle name="_1.측구공사_3.그린 조성공사-0_07.포장공" xfId="441"/>
    <cellStyle name="_1.측구공사_3.그린조성공사" xfId="442"/>
    <cellStyle name="_1.측구공사_3.그린조성공사_00.오수공(최종)" xfId="443"/>
    <cellStyle name="_1.측구공사_3.그린조성공사_00.오수공(최종)_07.부대공사" xfId="444"/>
    <cellStyle name="_1.측구공사_3.그린조성공사_00.오수공(최종)_07.부대공사_07.부대공사" xfId="445"/>
    <cellStyle name="_1.측구공사_3.그린조성공사_00.오수공(최종)_07.포장공" xfId="446"/>
    <cellStyle name="_1.측구공사_3.그린조성공사_00.우수공" xfId="447"/>
    <cellStyle name="_1.측구공사_3.그린조성공사_00.우수공_07.부대공사" xfId="448"/>
    <cellStyle name="_1.측구공사_3.그린조성공사_00.우수공_07.부대공사_07.부대공사" xfId="449"/>
    <cellStyle name="_1.측구공사_3.그린조성공사_00.우수공_07.포장공" xfId="450"/>
    <cellStyle name="_1.측구공사_3.그린조성공사_04.우수공(단지부)" xfId="451"/>
    <cellStyle name="_1.측구공사_3.그린조성공사_04.우수공(단지부)_07.부대공사" xfId="452"/>
    <cellStyle name="_1.측구공사_3.그린조성공사_04.우수공(단지부)_07.부대공사_07.부대공사" xfId="453"/>
    <cellStyle name="_1.측구공사_3.그린조성공사_04.우수공(단지부)_07.포장공" xfId="454"/>
    <cellStyle name="_1.측구공사_3.그린조성공사_05.오수공" xfId="455"/>
    <cellStyle name="_1.측구공사_3.그린조성공사_05.오수공_07.부대공사" xfId="456"/>
    <cellStyle name="_1.측구공사_3.그린조성공사_05.오수공_07.부대공사_07.부대공사" xfId="457"/>
    <cellStyle name="_1.측구공사_3.그린조성공사_05.오수공_07.포장공" xfId="458"/>
    <cellStyle name="_1.측구공사_3.그린조성공사_07.부대공사" xfId="459"/>
    <cellStyle name="_1.측구공사_3.그린조성공사_07.부대공사_07.부대공사" xfId="460"/>
    <cellStyle name="_1.측구공사_3.그린조성공사_07.포장공" xfId="461"/>
    <cellStyle name="_1.측구공사_4.TEE조성" xfId="462"/>
    <cellStyle name="_1.측구공사_4.TEE조성_00.오수공(최종)" xfId="463"/>
    <cellStyle name="_1.측구공사_4.TEE조성_00.오수공(최종)_07.부대공사" xfId="464"/>
    <cellStyle name="_1.측구공사_4.TEE조성_00.오수공(최종)_07.부대공사_07.부대공사" xfId="465"/>
    <cellStyle name="_1.측구공사_4.TEE조성_00.오수공(최종)_07.포장공" xfId="466"/>
    <cellStyle name="_1.측구공사_4.TEE조성_00.우수공" xfId="467"/>
    <cellStyle name="_1.측구공사_4.TEE조성_00.우수공_07.부대공사" xfId="468"/>
    <cellStyle name="_1.측구공사_4.TEE조성_00.우수공_07.부대공사_07.부대공사" xfId="469"/>
    <cellStyle name="_1.측구공사_4.TEE조성_00.우수공_07.포장공" xfId="470"/>
    <cellStyle name="_1.측구공사_4.TEE조성_04.우수공(단지부)" xfId="471"/>
    <cellStyle name="_1.측구공사_4.TEE조성_04.우수공(단지부)_07.부대공사" xfId="472"/>
    <cellStyle name="_1.측구공사_4.TEE조성_04.우수공(단지부)_07.부대공사_07.부대공사" xfId="473"/>
    <cellStyle name="_1.측구공사_4.TEE조성_04.우수공(단지부)_07.포장공" xfId="474"/>
    <cellStyle name="_1.측구공사_4.TEE조성_05.오수공" xfId="475"/>
    <cellStyle name="_1.측구공사_4.TEE조성_05.오수공_07.부대공사" xfId="476"/>
    <cellStyle name="_1.측구공사_4.TEE조성_05.오수공_07.부대공사_07.부대공사" xfId="477"/>
    <cellStyle name="_1.측구공사_4.TEE조성_05.오수공_07.포장공" xfId="478"/>
    <cellStyle name="_1.측구공사_4.TEE조성_07.부대공사" xfId="479"/>
    <cellStyle name="_1.측구공사_4.TEE조성_07.부대공사_07.부대공사" xfId="480"/>
    <cellStyle name="_1.측구공사_4.TEE조성_07.포장공" xfId="481"/>
    <cellStyle name="_1.측구공사_Book2" xfId="482"/>
    <cellStyle name="_1.측구공사_Book2_00.오수공(최종)" xfId="483"/>
    <cellStyle name="_1.측구공사_Book2_00.오수공(최종)_07.부대공사" xfId="484"/>
    <cellStyle name="_1.측구공사_Book2_00.오수공(최종)_07.부대공사_07.부대공사" xfId="485"/>
    <cellStyle name="_1.측구공사_Book2_00.오수공(최종)_07.포장공" xfId="486"/>
    <cellStyle name="_1.측구공사_Book2_00.우수공" xfId="487"/>
    <cellStyle name="_1.측구공사_Book2_00.우수공_07.부대공사" xfId="488"/>
    <cellStyle name="_1.측구공사_Book2_00.우수공_07.부대공사_07.부대공사" xfId="489"/>
    <cellStyle name="_1.측구공사_Book2_00.우수공_07.포장공" xfId="490"/>
    <cellStyle name="_1.측구공사_Book2_04.우수공(단지부)" xfId="491"/>
    <cellStyle name="_1.측구공사_Book2_04.우수공(단지부)_07.부대공사" xfId="492"/>
    <cellStyle name="_1.측구공사_Book2_04.우수공(단지부)_07.부대공사_07.부대공사" xfId="493"/>
    <cellStyle name="_1.측구공사_Book2_04.우수공(단지부)_07.포장공" xfId="494"/>
    <cellStyle name="_1.측구공사_Book2_05.오수공" xfId="495"/>
    <cellStyle name="_1.측구공사_Book2_05.오수공_07.부대공사" xfId="496"/>
    <cellStyle name="_1.측구공사_Book2_05.오수공_07.부대공사_07.부대공사" xfId="497"/>
    <cellStyle name="_1.측구공사_Book2_05.오수공_07.포장공" xfId="498"/>
    <cellStyle name="_1.측구공사_Book2_07.부대공사" xfId="499"/>
    <cellStyle name="_1.측구공사_Book2_07.부대공사_07.부대공사" xfId="500"/>
    <cellStyle name="_1.측구공사_Book2_07.포장공" xfId="501"/>
    <cellStyle name="_1.측구공사-0" xfId="502"/>
    <cellStyle name="_1.측구공사-0_00.오수공(최종)" xfId="503"/>
    <cellStyle name="_1.측구공사-0_00.오수공(최종)_07.부대공사" xfId="504"/>
    <cellStyle name="_1.측구공사-0_00.오수공(최종)_07.부대공사_07.부대공사" xfId="505"/>
    <cellStyle name="_1.측구공사-0_00.오수공(최종)_07.포장공" xfId="506"/>
    <cellStyle name="_1.측구공사-0_00.우수공" xfId="507"/>
    <cellStyle name="_1.측구공사-0_00.우수공_07.부대공사" xfId="508"/>
    <cellStyle name="_1.측구공사-0_00.우수공_07.부대공사_07.부대공사" xfId="509"/>
    <cellStyle name="_1.측구공사-0_00.우수공_07.포장공" xfId="510"/>
    <cellStyle name="_1.측구공사-0_04.우수공(단지부)" xfId="511"/>
    <cellStyle name="_1.측구공사-0_04.우수공(단지부)_07.부대공사" xfId="512"/>
    <cellStyle name="_1.측구공사-0_04.우수공(단지부)_07.부대공사_07.부대공사" xfId="513"/>
    <cellStyle name="_1.측구공사-0_04.우수공(단지부)_07.포장공" xfId="514"/>
    <cellStyle name="_1.측구공사-0_05.오수공" xfId="515"/>
    <cellStyle name="_1.측구공사-0_05.오수공_07.부대공사" xfId="516"/>
    <cellStyle name="_1.측구공사-0_05.오수공_07.부대공사_07.부대공사" xfId="517"/>
    <cellStyle name="_1.측구공사-0_05.오수공_07.포장공" xfId="518"/>
    <cellStyle name="_1.측구공사-0_07.부대공사" xfId="519"/>
    <cellStyle name="_1.측구공사-0_07.부대공사_07.부대공사" xfId="520"/>
    <cellStyle name="_1.측구공사-0_07.포장공" xfId="521"/>
    <cellStyle name="_10.부대공_진입도로-2" xfId="522"/>
    <cellStyle name="_10-02-구산교-교대일반수량" xfId="523"/>
    <cellStyle name="_10-02-구산교-교대일반수량_10-03-구산교-하부공일반수량" xfId="524"/>
    <cellStyle name="_10-02-구산교-교대일반수량_10-03-구산교-하부공일반수량_총괄수량총괄집계" xfId="525"/>
    <cellStyle name="_10-02-구산교-교대일반수량_10-03-구산교-하부공일반수량_총괄수량총괄집계_총괄수량총괄집계" xfId="526"/>
    <cellStyle name="_10-02-구산교-교대일반수량_총괄수량총괄집계" xfId="527"/>
    <cellStyle name="_10-02-구산교-교대일반수량_총괄수량총괄집계_총괄수량총괄집계" xfId="528"/>
    <cellStyle name="_10-05-구산교-부대공수량" xfId="529"/>
    <cellStyle name="_10-05-구산교-부대공수량_총괄수량총괄집계" xfId="530"/>
    <cellStyle name="_10-05-구산교-부대공수량_총괄수량총괄집계_총괄수량총괄집계" xfId="531"/>
    <cellStyle name="_2.배수시설" xfId="532"/>
    <cellStyle name="_2-4.상반기실적부문별요약" xfId="533"/>
    <cellStyle name="_2-4.상반기실적부문별요약(표지및목차포함)" xfId="534"/>
    <cellStyle name="_2-4.상반기실적부문별요약(표지및목차포함)_1" xfId="535"/>
    <cellStyle name="_2-4.상반기실적부문별요약_1" xfId="536"/>
    <cellStyle name="_3.옹벽공" xfId="537"/>
    <cellStyle name="_5_세륜세차시설" xfId="538"/>
    <cellStyle name="_601수량" xfId="539"/>
    <cellStyle name="_'99상반기경영개선활동결과(게시용)" xfId="540"/>
    <cellStyle name="_Book1" xfId="541"/>
    <cellStyle name="_Book1_01.재료집계표,골재량,토공" xfId="542"/>
    <cellStyle name="_Book1_02.기존구조물깨기" xfId="543"/>
    <cellStyle name="_Book1_1" xfId="544"/>
    <cellStyle name="_Book1_내역서적용수량(참고)" xfId="545"/>
    <cellStyle name="_Book1_복사본 03.연약지반처리공사(다짐말뚝)" xfId="546"/>
    <cellStyle name="_Book1_수목폐기물" xfId="547"/>
    <cellStyle name="_Book1_포장수량" xfId="548"/>
    <cellStyle name="_경영개선활동상반기실적(990708)" xfId="549"/>
    <cellStyle name="_경영개선활동상반기실적(990708)_1" xfId="550"/>
    <cellStyle name="_경영개선활동상반기실적(990708)_2" xfId="551"/>
    <cellStyle name="_경영개선활성화방안(990802)" xfId="552"/>
    <cellStyle name="_경영개선활성화방안(990802)_1" xfId="553"/>
    <cellStyle name="_국수교수량" xfId="554"/>
    <cellStyle name="_국수교수량_(12)PC암거수량산출(성남시)" xfId="555"/>
    <cellStyle name="_국수교수량_03소락교기존구조물깨기수량" xfId="556"/>
    <cellStyle name="_국수교수량_04소락1교가도공수량" xfId="557"/>
    <cellStyle name="_국수교수량_05-소락1교-부대공수량" xfId="558"/>
    <cellStyle name="_국수교수량_06-광재교-부대공수량" xfId="559"/>
    <cellStyle name="_국수교수량_08-02-광천교-하부공수량" xfId="560"/>
    <cellStyle name="_국수교수량_08-02-광천교-하부공수량_총괄수량총괄집계" xfId="561"/>
    <cellStyle name="_국수교수량_08-02-광천교-하부공수량_총괄수량총괄집계_총괄수량총괄집계" xfId="562"/>
    <cellStyle name="_국수교수량_08-03-광천교-교각일반수량" xfId="563"/>
    <cellStyle name="_국수교수량_08-03-광천교-교각일반수량_총괄수량총괄집계" xfId="564"/>
    <cellStyle name="_국수교수량_08-03-광천교-교각일반수량_총괄수량총괄집계_총괄수량총괄집계" xfId="565"/>
    <cellStyle name="_국수교수량_08-08-광천교-부대공" xfId="566"/>
    <cellStyle name="_국수교수량_08-08-광천교-부대공_총괄수량총괄집계" xfId="567"/>
    <cellStyle name="_국수교수량_08-08-광천교-부대공_총괄수량총괄집계_총괄수량총괄집계" xfId="568"/>
    <cellStyle name="_국수교수량_10-02-구산교-교대일반수량" xfId="569"/>
    <cellStyle name="_국수교수량_10-02-구산교-교대일반수량_10-03-구산교-하부공일반수량" xfId="570"/>
    <cellStyle name="_국수교수량_10-02-구산교-교대일반수량_10-03-구산교-하부공일반수량_총괄수량총괄집계" xfId="571"/>
    <cellStyle name="_국수교수량_10-02-구산교-교대일반수량_10-03-구산교-하부공일반수량_총괄수량총괄집계_총괄수량총괄집계" xfId="572"/>
    <cellStyle name="_국수교수량_10-02-구산교-교대일반수량_총괄수량총괄집계" xfId="573"/>
    <cellStyle name="_국수교수량_10-02-구산교-교대일반수량_총괄수량총괄집계_총괄수량총괄집계" xfId="574"/>
    <cellStyle name="_국수교수량_10-05-구산교-부대공수량" xfId="575"/>
    <cellStyle name="_국수교수량_10-05-구산교-부대공수량_총괄수량총괄집계" xfId="576"/>
    <cellStyle name="_국수교수량_10-05-구산교-부대공수량_총괄수량총괄집계_총괄수량총괄집계" xfId="577"/>
    <cellStyle name="_국수교수량_총괄수량총괄집계" xfId="578"/>
    <cellStyle name="_국수교수량_총괄수량총괄집계_총괄수량총괄집계" xfId="579"/>
    <cellStyle name="_기안용지,인사기록형식" xfId="580"/>
    <cellStyle name="_기안용지,인사기록형식_00.오수공(최종)" xfId="581"/>
    <cellStyle name="_기안용지,인사기록형식_00.오수공(최종)_07.부대공사" xfId="582"/>
    <cellStyle name="_기안용지,인사기록형식_00.오수공(최종)_07.부대공사_07.부대공사" xfId="583"/>
    <cellStyle name="_기안용지,인사기록형식_00.오수공(최종)_07.포장공" xfId="584"/>
    <cellStyle name="_기안용지,인사기록형식_00.우수공" xfId="585"/>
    <cellStyle name="_기안용지,인사기록형식_00.우수공_07.부대공사" xfId="586"/>
    <cellStyle name="_기안용지,인사기록형식_00.우수공_07.부대공사_07.부대공사" xfId="587"/>
    <cellStyle name="_기안용지,인사기록형식_00.우수공_07.포장공" xfId="588"/>
    <cellStyle name="_기안용지,인사기록형식_01.측구공사" xfId="589"/>
    <cellStyle name="_기안용지,인사기록형식_01.측구공사_00.오수공(최종)" xfId="590"/>
    <cellStyle name="_기안용지,인사기록형식_01.측구공사_00.오수공(최종)_07.부대공사" xfId="591"/>
    <cellStyle name="_기안용지,인사기록형식_01.측구공사_00.오수공(최종)_07.부대공사_07.부대공사" xfId="592"/>
    <cellStyle name="_기안용지,인사기록형식_01.측구공사_00.오수공(최종)_07.포장공" xfId="593"/>
    <cellStyle name="_기안용지,인사기록형식_01.측구공사_00.우수공" xfId="594"/>
    <cellStyle name="_기안용지,인사기록형식_01.측구공사_00.우수공_07.부대공사" xfId="595"/>
    <cellStyle name="_기안용지,인사기록형식_01.측구공사_00.우수공_07.부대공사_07.부대공사" xfId="596"/>
    <cellStyle name="_기안용지,인사기록형식_01.측구공사_00.우수공_07.포장공" xfId="597"/>
    <cellStyle name="_기안용지,인사기록형식_01.측구공사_04.우수공(단지부)" xfId="598"/>
    <cellStyle name="_기안용지,인사기록형식_01.측구공사_04.우수공(단지부)_07.부대공사" xfId="599"/>
    <cellStyle name="_기안용지,인사기록형식_01.측구공사_04.우수공(단지부)_07.부대공사_07.부대공사" xfId="600"/>
    <cellStyle name="_기안용지,인사기록형식_01.측구공사_04.우수공(단지부)_07.포장공" xfId="601"/>
    <cellStyle name="_기안용지,인사기록형식_01.측구공사_05.오수공" xfId="602"/>
    <cellStyle name="_기안용지,인사기록형식_01.측구공사_05.오수공_07.부대공사" xfId="603"/>
    <cellStyle name="_기안용지,인사기록형식_01.측구공사_05.오수공_07.부대공사_07.부대공사" xfId="604"/>
    <cellStyle name="_기안용지,인사기록형식_01.측구공사_05.오수공_07.포장공" xfId="605"/>
    <cellStyle name="_기안용지,인사기록형식_01.측구공사_07.부대공사" xfId="606"/>
    <cellStyle name="_기안용지,인사기록형식_01.측구공사_07.부대공사_07.부대공사" xfId="607"/>
    <cellStyle name="_기안용지,인사기록형식_01.측구공사_07.포장공" xfId="608"/>
    <cellStyle name="_기안용지,인사기록형식_03.그린 조성공사" xfId="609"/>
    <cellStyle name="_기안용지,인사기록형식_03.그린 조성공사_00.오수공(최종)" xfId="610"/>
    <cellStyle name="_기안용지,인사기록형식_03.그린 조성공사_00.오수공(최종)_07.부대공사" xfId="611"/>
    <cellStyle name="_기안용지,인사기록형식_03.그린 조성공사_00.오수공(최종)_07.부대공사_07.부대공사" xfId="612"/>
    <cellStyle name="_기안용지,인사기록형식_03.그린 조성공사_00.오수공(최종)_07.포장공" xfId="613"/>
    <cellStyle name="_기안용지,인사기록형식_03.그린 조성공사_00.우수공" xfId="614"/>
    <cellStyle name="_기안용지,인사기록형식_03.그린 조성공사_00.우수공_07.부대공사" xfId="615"/>
    <cellStyle name="_기안용지,인사기록형식_03.그린 조성공사_00.우수공_07.부대공사_07.부대공사" xfId="616"/>
    <cellStyle name="_기안용지,인사기록형식_03.그린 조성공사_00.우수공_07.포장공" xfId="617"/>
    <cellStyle name="_기안용지,인사기록형식_03.그린 조성공사_04.우수공(단지부)" xfId="618"/>
    <cellStyle name="_기안용지,인사기록형식_03.그린 조성공사_04.우수공(단지부)_07.부대공사" xfId="619"/>
    <cellStyle name="_기안용지,인사기록형식_03.그린 조성공사_04.우수공(단지부)_07.부대공사_07.부대공사" xfId="620"/>
    <cellStyle name="_기안용지,인사기록형식_03.그린 조성공사_04.우수공(단지부)_07.포장공" xfId="621"/>
    <cellStyle name="_기안용지,인사기록형식_03.그린 조성공사_05.오수공" xfId="622"/>
    <cellStyle name="_기안용지,인사기록형식_03.그린 조성공사_05.오수공_07.부대공사" xfId="623"/>
    <cellStyle name="_기안용지,인사기록형식_03.그린 조성공사_05.오수공_07.부대공사_07.부대공사" xfId="624"/>
    <cellStyle name="_기안용지,인사기록형식_03.그린 조성공사_05.오수공_07.포장공" xfId="625"/>
    <cellStyle name="_기안용지,인사기록형식_03.그린 조성공사_07.부대공사" xfId="626"/>
    <cellStyle name="_기안용지,인사기록형식_03.그린 조성공사_07.부대공사_07.부대공사" xfId="627"/>
    <cellStyle name="_기안용지,인사기록형식_03.그린 조성공사_07.포장공" xfId="628"/>
    <cellStyle name="_기안용지,인사기록형식_04.우수공(단지부)" xfId="629"/>
    <cellStyle name="_기안용지,인사기록형식_04.우수공(단지부)_07.부대공사" xfId="630"/>
    <cellStyle name="_기안용지,인사기록형식_04.우수공(단지부)_07.부대공사_07.부대공사" xfId="631"/>
    <cellStyle name="_기안용지,인사기록형식_04.우수공(단지부)_07.포장공" xfId="632"/>
    <cellStyle name="_기안용지,인사기록형식_04.표면 배수공사" xfId="633"/>
    <cellStyle name="_기안용지,인사기록형식_04.표면 배수공사_00.오수공(최종)" xfId="634"/>
    <cellStyle name="_기안용지,인사기록형식_04.표면 배수공사_00.오수공(최종)_07.부대공사" xfId="635"/>
    <cellStyle name="_기안용지,인사기록형식_04.표면 배수공사_00.오수공(최종)_07.부대공사_07.부대공사" xfId="636"/>
    <cellStyle name="_기안용지,인사기록형식_04.표면 배수공사_00.오수공(최종)_07.포장공" xfId="637"/>
    <cellStyle name="_기안용지,인사기록형식_04.표면 배수공사_00.우수공" xfId="638"/>
    <cellStyle name="_기안용지,인사기록형식_04.표면 배수공사_00.우수공_07.부대공사" xfId="639"/>
    <cellStyle name="_기안용지,인사기록형식_04.표면 배수공사_00.우수공_07.부대공사_07.부대공사" xfId="640"/>
    <cellStyle name="_기안용지,인사기록형식_04.표면 배수공사_00.우수공_07.포장공" xfId="641"/>
    <cellStyle name="_기안용지,인사기록형식_04.표면 배수공사_04.우수공(단지부)" xfId="642"/>
    <cellStyle name="_기안용지,인사기록형식_04.표면 배수공사_04.우수공(단지부)_07.부대공사" xfId="643"/>
    <cellStyle name="_기안용지,인사기록형식_04.표면 배수공사_04.우수공(단지부)_07.부대공사_07.부대공사" xfId="644"/>
    <cellStyle name="_기안용지,인사기록형식_04.표면 배수공사_04.우수공(단지부)_07.포장공" xfId="645"/>
    <cellStyle name="_기안용지,인사기록형식_04.표면 배수공사_05.오수공" xfId="646"/>
    <cellStyle name="_기안용지,인사기록형식_04.표면 배수공사_05.오수공_07.부대공사" xfId="647"/>
    <cellStyle name="_기안용지,인사기록형식_04.표면 배수공사_05.오수공_07.부대공사_07.부대공사" xfId="648"/>
    <cellStyle name="_기안용지,인사기록형식_04.표면 배수공사_05.오수공_07.포장공" xfId="649"/>
    <cellStyle name="_기안용지,인사기록형식_04.표면 배수공사_07.부대공사" xfId="650"/>
    <cellStyle name="_기안용지,인사기록형식_04.표면 배수공사_07.부대공사_07.부대공사" xfId="651"/>
    <cellStyle name="_기안용지,인사기록형식_04.표면 배수공사_07.포장공" xfId="652"/>
    <cellStyle name="_기안용지,인사기록형식_05.그린 조성공사" xfId="653"/>
    <cellStyle name="_기안용지,인사기록형식_05.그린 조성공사_00.오수공(최종)" xfId="654"/>
    <cellStyle name="_기안용지,인사기록형식_05.그린 조성공사_00.오수공(최종)_07.부대공사" xfId="655"/>
    <cellStyle name="_기안용지,인사기록형식_05.그린 조성공사_00.오수공(최종)_07.부대공사_07.부대공사" xfId="656"/>
    <cellStyle name="_기안용지,인사기록형식_05.그린 조성공사_00.오수공(최종)_07.포장공" xfId="657"/>
    <cellStyle name="_기안용지,인사기록형식_05.그린 조성공사_00.우수공" xfId="658"/>
    <cellStyle name="_기안용지,인사기록형식_05.그린 조성공사_00.우수공_07.부대공사" xfId="659"/>
    <cellStyle name="_기안용지,인사기록형식_05.그린 조성공사_00.우수공_07.부대공사_07.부대공사" xfId="660"/>
    <cellStyle name="_기안용지,인사기록형식_05.그린 조성공사_00.우수공_07.포장공" xfId="661"/>
    <cellStyle name="_기안용지,인사기록형식_05.그린 조성공사_04.우수공(단지부)" xfId="662"/>
    <cellStyle name="_기안용지,인사기록형식_05.그린 조성공사_04.우수공(단지부)_07.부대공사" xfId="663"/>
    <cellStyle name="_기안용지,인사기록형식_05.그린 조성공사_04.우수공(단지부)_07.부대공사_07.부대공사" xfId="664"/>
    <cellStyle name="_기안용지,인사기록형식_05.그린 조성공사_04.우수공(단지부)_07.포장공" xfId="665"/>
    <cellStyle name="_기안용지,인사기록형식_05.그린 조성공사_05.오수공" xfId="666"/>
    <cellStyle name="_기안용지,인사기록형식_05.그린 조성공사_05.오수공_07.부대공사" xfId="667"/>
    <cellStyle name="_기안용지,인사기록형식_05.그린 조성공사_05.오수공_07.부대공사_07.부대공사" xfId="668"/>
    <cellStyle name="_기안용지,인사기록형식_05.그린 조성공사_05.오수공_07.포장공" xfId="669"/>
    <cellStyle name="_기안용지,인사기록형식_05.그린 조성공사_07.부대공사" xfId="670"/>
    <cellStyle name="_기안용지,인사기록형식_05.그린 조성공사_07.부대공사_07.부대공사" xfId="671"/>
    <cellStyle name="_기안용지,인사기록형식_05.그린 조성공사_07.포장공" xfId="672"/>
    <cellStyle name="_기안용지,인사기록형식_05.오수공" xfId="673"/>
    <cellStyle name="_기안용지,인사기록형식_05.오수공_07.부대공사" xfId="674"/>
    <cellStyle name="_기안용지,인사기록형식_05.오수공_07.부대공사_07.부대공사" xfId="675"/>
    <cellStyle name="_기안용지,인사기록형식_05.오수공_07.포장공" xfId="676"/>
    <cellStyle name="_기안용지,인사기록형식_07.부대공사" xfId="677"/>
    <cellStyle name="_기안용지,인사기록형식_07.부대공사_07.부대공사" xfId="678"/>
    <cellStyle name="_기안용지,인사기록형식_07.포장공" xfId="679"/>
    <cellStyle name="_기안용지,인사기록형식_07.포장공(중2-57)" xfId="680"/>
    <cellStyle name="_기안용지,인사기록형식_1.측구공사" xfId="681"/>
    <cellStyle name="_기안용지,인사기록형식_1.측구공사_00.오수공(최종)" xfId="682"/>
    <cellStyle name="_기안용지,인사기록형식_1.측구공사_00.오수공(최종)_07.부대공사" xfId="683"/>
    <cellStyle name="_기안용지,인사기록형식_1.측구공사_00.오수공(최종)_07.부대공사_07.부대공사" xfId="684"/>
    <cellStyle name="_기안용지,인사기록형식_1.측구공사_00.오수공(최종)_07.포장공" xfId="685"/>
    <cellStyle name="_기안용지,인사기록형식_1.측구공사_00.우수공" xfId="686"/>
    <cellStyle name="_기안용지,인사기록형식_1.측구공사_00.우수공_07.부대공사" xfId="687"/>
    <cellStyle name="_기안용지,인사기록형식_1.측구공사_00.우수공_07.부대공사_07.부대공사" xfId="688"/>
    <cellStyle name="_기안용지,인사기록형식_1.측구공사_00.우수공_07.포장공" xfId="689"/>
    <cellStyle name="_기안용지,인사기록형식_1.측구공사_04.우수공(단지부)" xfId="690"/>
    <cellStyle name="_기안용지,인사기록형식_1.측구공사_04.우수공(단지부)_07.부대공사" xfId="691"/>
    <cellStyle name="_기안용지,인사기록형식_1.측구공사_04.우수공(단지부)_07.부대공사_07.부대공사" xfId="692"/>
    <cellStyle name="_기안용지,인사기록형식_1.측구공사_04.우수공(단지부)_07.포장공" xfId="693"/>
    <cellStyle name="_기안용지,인사기록형식_1.측구공사_05.오수공" xfId="694"/>
    <cellStyle name="_기안용지,인사기록형식_1.측구공사_05.오수공_07.부대공사" xfId="695"/>
    <cellStyle name="_기안용지,인사기록형식_1.측구공사_05.오수공_07.부대공사_07.부대공사" xfId="696"/>
    <cellStyle name="_기안용지,인사기록형식_1.측구공사_05.오수공_07.포장공" xfId="697"/>
    <cellStyle name="_기안용지,인사기록형식_1.측구공사_07.부대공사" xfId="698"/>
    <cellStyle name="_기안용지,인사기록형식_1.측구공사_07.부대공사_07.부대공사" xfId="699"/>
    <cellStyle name="_기안용지,인사기록형식_1.측구공사_07.포장공" xfId="700"/>
    <cellStyle name="_기안용지,인사기록형식_1.측구공사-0" xfId="701"/>
    <cellStyle name="_기안용지,인사기록형식_1.측구공사-0_00.오수공(최종)" xfId="702"/>
    <cellStyle name="_기안용지,인사기록형식_1.측구공사-0_00.오수공(최종)_07.부대공사" xfId="703"/>
    <cellStyle name="_기안용지,인사기록형식_1.측구공사-0_00.오수공(최종)_07.부대공사_07.부대공사" xfId="704"/>
    <cellStyle name="_기안용지,인사기록형식_1.측구공사-0_00.오수공(최종)_07.포장공" xfId="705"/>
    <cellStyle name="_기안용지,인사기록형식_1.측구공사-0_00.우수공" xfId="706"/>
    <cellStyle name="_기안용지,인사기록형식_1.측구공사-0_00.우수공_07.부대공사" xfId="707"/>
    <cellStyle name="_기안용지,인사기록형식_1.측구공사-0_00.우수공_07.부대공사_07.부대공사" xfId="708"/>
    <cellStyle name="_기안용지,인사기록형식_1.측구공사-0_00.우수공_07.포장공" xfId="709"/>
    <cellStyle name="_기안용지,인사기록형식_1.측구공사-0_04.우수공(단지부)" xfId="710"/>
    <cellStyle name="_기안용지,인사기록형식_1.측구공사-0_04.우수공(단지부)_07.부대공사" xfId="711"/>
    <cellStyle name="_기안용지,인사기록형식_1.측구공사-0_04.우수공(단지부)_07.부대공사_07.부대공사" xfId="712"/>
    <cellStyle name="_기안용지,인사기록형식_1.측구공사-0_04.우수공(단지부)_07.포장공" xfId="713"/>
    <cellStyle name="_기안용지,인사기록형식_1.측구공사-0_05.오수공" xfId="714"/>
    <cellStyle name="_기안용지,인사기록형식_1.측구공사-0_05.오수공_07.부대공사" xfId="715"/>
    <cellStyle name="_기안용지,인사기록형식_1.측구공사-0_05.오수공_07.부대공사_07.부대공사" xfId="716"/>
    <cellStyle name="_기안용지,인사기록형식_1.측구공사-0_05.오수공_07.포장공" xfId="717"/>
    <cellStyle name="_기안용지,인사기록형식_1.측구공사-0_07.부대공사" xfId="718"/>
    <cellStyle name="_기안용지,인사기록형식_1.측구공사-0_07.부대공사_07.부대공사" xfId="719"/>
    <cellStyle name="_기안용지,인사기록형식_1.측구공사-0_07.포장공" xfId="720"/>
    <cellStyle name="_기안용지,인사기록형식_2.배수시설" xfId="721"/>
    <cellStyle name="_기안용지,인사기록형식_2.배수시설_00.오수공(최종)" xfId="722"/>
    <cellStyle name="_기안용지,인사기록형식_2.배수시설_00.오수공(최종)_07.부대공사" xfId="723"/>
    <cellStyle name="_기안용지,인사기록형식_2.배수시설_00.오수공(최종)_07.부대공사_07.부대공사" xfId="724"/>
    <cellStyle name="_기안용지,인사기록형식_2.배수시설_00.오수공(최종)_07.포장공" xfId="725"/>
    <cellStyle name="_기안용지,인사기록형식_2.배수시설_00.우수공" xfId="726"/>
    <cellStyle name="_기안용지,인사기록형식_2.배수시설_00.우수공_07.부대공사" xfId="727"/>
    <cellStyle name="_기안용지,인사기록형식_2.배수시설_00.우수공_07.부대공사_07.부대공사" xfId="728"/>
    <cellStyle name="_기안용지,인사기록형식_2.배수시설_00.우수공_07.포장공" xfId="729"/>
    <cellStyle name="_기안용지,인사기록형식_2.배수시설_01.측구공사" xfId="730"/>
    <cellStyle name="_기안용지,인사기록형식_2.배수시설_01.측구공사_00.오수공(최종)" xfId="731"/>
    <cellStyle name="_기안용지,인사기록형식_2.배수시설_01.측구공사_00.오수공(최종)_07.부대공사" xfId="732"/>
    <cellStyle name="_기안용지,인사기록형식_2.배수시설_01.측구공사_00.오수공(최종)_07.부대공사_07.부대공사" xfId="733"/>
    <cellStyle name="_기안용지,인사기록형식_2.배수시설_01.측구공사_00.오수공(최종)_07.포장공" xfId="734"/>
    <cellStyle name="_기안용지,인사기록형식_2.배수시설_01.측구공사_00.우수공" xfId="735"/>
    <cellStyle name="_기안용지,인사기록형식_2.배수시설_01.측구공사_00.우수공_07.부대공사" xfId="736"/>
    <cellStyle name="_기안용지,인사기록형식_2.배수시설_01.측구공사_00.우수공_07.부대공사_07.부대공사" xfId="737"/>
    <cellStyle name="_기안용지,인사기록형식_2.배수시설_01.측구공사_00.우수공_07.포장공" xfId="738"/>
    <cellStyle name="_기안용지,인사기록형식_2.배수시설_01.측구공사_04.우수공(단지부)" xfId="739"/>
    <cellStyle name="_기안용지,인사기록형식_2.배수시설_01.측구공사_04.우수공(단지부)_07.부대공사" xfId="740"/>
    <cellStyle name="_기안용지,인사기록형식_2.배수시설_01.측구공사_04.우수공(단지부)_07.부대공사_07.부대공사" xfId="741"/>
    <cellStyle name="_기안용지,인사기록형식_2.배수시설_01.측구공사_04.우수공(단지부)_07.포장공" xfId="742"/>
    <cellStyle name="_기안용지,인사기록형식_2.배수시설_01.측구공사_05.오수공" xfId="743"/>
    <cellStyle name="_기안용지,인사기록형식_2.배수시설_01.측구공사_05.오수공_07.부대공사" xfId="744"/>
    <cellStyle name="_기안용지,인사기록형식_2.배수시설_01.측구공사_05.오수공_07.부대공사_07.부대공사" xfId="745"/>
    <cellStyle name="_기안용지,인사기록형식_2.배수시설_01.측구공사_05.오수공_07.포장공" xfId="746"/>
    <cellStyle name="_기안용지,인사기록형식_2.배수시설_01.측구공사_07.부대공사" xfId="747"/>
    <cellStyle name="_기안용지,인사기록형식_2.배수시설_01.측구공사_07.부대공사_07.부대공사" xfId="748"/>
    <cellStyle name="_기안용지,인사기록형식_2.배수시설_01.측구공사_07.포장공" xfId="749"/>
    <cellStyle name="_기안용지,인사기록형식_2.배수시설_04.우수공(단지부)" xfId="750"/>
    <cellStyle name="_기안용지,인사기록형식_2.배수시설_04.우수공(단지부)_07.부대공사" xfId="751"/>
    <cellStyle name="_기안용지,인사기록형식_2.배수시설_04.우수공(단지부)_07.부대공사_07.부대공사" xfId="752"/>
    <cellStyle name="_기안용지,인사기록형식_2.배수시설_04.우수공(단지부)_07.포장공" xfId="753"/>
    <cellStyle name="_기안용지,인사기록형식_2.배수시설_05.오수공" xfId="754"/>
    <cellStyle name="_기안용지,인사기록형식_2.배수시설_05.오수공_07.부대공사" xfId="755"/>
    <cellStyle name="_기안용지,인사기록형식_2.배수시설_05.오수공_07.부대공사_07.부대공사" xfId="756"/>
    <cellStyle name="_기안용지,인사기록형식_2.배수시설_05.오수공_07.포장공" xfId="757"/>
    <cellStyle name="_기안용지,인사기록형식_2.배수시설_07.부대공사" xfId="758"/>
    <cellStyle name="_기안용지,인사기록형식_2.배수시설_07.부대공사_07.부대공사" xfId="759"/>
    <cellStyle name="_기안용지,인사기록형식_2.배수시설_07.포장공" xfId="760"/>
    <cellStyle name="_기안용지,인사기록형식_2.배수시설_1.측구공사" xfId="761"/>
    <cellStyle name="_기안용지,인사기록형식_2.배수시설_1.측구공사_00.오수공(최종)" xfId="762"/>
    <cellStyle name="_기안용지,인사기록형식_2.배수시설_1.측구공사_00.오수공(최종)_07.부대공사" xfId="763"/>
    <cellStyle name="_기안용지,인사기록형식_2.배수시설_1.측구공사_00.오수공(최종)_07.부대공사_07.부대공사" xfId="764"/>
    <cellStyle name="_기안용지,인사기록형식_2.배수시설_1.측구공사_00.오수공(최종)_07.포장공" xfId="765"/>
    <cellStyle name="_기안용지,인사기록형식_2.배수시설_1.측구공사_00.우수공" xfId="766"/>
    <cellStyle name="_기안용지,인사기록형식_2.배수시설_1.측구공사_00.우수공_07.부대공사" xfId="767"/>
    <cellStyle name="_기안용지,인사기록형식_2.배수시설_1.측구공사_00.우수공_07.부대공사_07.부대공사" xfId="768"/>
    <cellStyle name="_기안용지,인사기록형식_2.배수시설_1.측구공사_00.우수공_07.포장공" xfId="769"/>
    <cellStyle name="_기안용지,인사기록형식_2.배수시설_1.측구공사_04.우수공(단지부)" xfId="770"/>
    <cellStyle name="_기안용지,인사기록형식_2.배수시설_1.측구공사_04.우수공(단지부)_07.부대공사" xfId="771"/>
    <cellStyle name="_기안용지,인사기록형식_2.배수시설_1.측구공사_04.우수공(단지부)_07.부대공사_07.부대공사" xfId="772"/>
    <cellStyle name="_기안용지,인사기록형식_2.배수시설_1.측구공사_04.우수공(단지부)_07.포장공" xfId="773"/>
    <cellStyle name="_기안용지,인사기록형식_2.배수시설_1.측구공사_05.오수공" xfId="774"/>
    <cellStyle name="_기안용지,인사기록형식_2.배수시설_1.측구공사_05.오수공_07.부대공사" xfId="775"/>
    <cellStyle name="_기안용지,인사기록형식_2.배수시설_1.측구공사_05.오수공_07.부대공사_07.부대공사" xfId="776"/>
    <cellStyle name="_기안용지,인사기록형식_2.배수시설_1.측구공사_05.오수공_07.포장공" xfId="777"/>
    <cellStyle name="_기안용지,인사기록형식_2.배수시설_1.측구공사_07.부대공사" xfId="778"/>
    <cellStyle name="_기안용지,인사기록형식_2.배수시설_1.측구공사_07.부대공사_07.부대공사" xfId="779"/>
    <cellStyle name="_기안용지,인사기록형식_2.배수시설_1.측구공사_07.포장공" xfId="780"/>
    <cellStyle name="_기안용지,인사기록형식_2.배수시설_1.측구공사-0" xfId="781"/>
    <cellStyle name="_기안용지,인사기록형식_2.배수시설_1.측구공사-0_00.오수공(최종)" xfId="782"/>
    <cellStyle name="_기안용지,인사기록형식_2.배수시설_1.측구공사-0_00.오수공(최종)_07.부대공사" xfId="783"/>
    <cellStyle name="_기안용지,인사기록형식_2.배수시설_1.측구공사-0_00.오수공(최종)_07.부대공사_07.부대공사" xfId="784"/>
    <cellStyle name="_기안용지,인사기록형식_2.배수시설_1.측구공사-0_00.오수공(최종)_07.포장공" xfId="785"/>
    <cellStyle name="_기안용지,인사기록형식_2.배수시설_1.측구공사-0_00.우수공" xfId="786"/>
    <cellStyle name="_기안용지,인사기록형식_2.배수시설_1.측구공사-0_00.우수공_07.부대공사" xfId="787"/>
    <cellStyle name="_기안용지,인사기록형식_2.배수시설_1.측구공사-0_00.우수공_07.부대공사_07.부대공사" xfId="788"/>
    <cellStyle name="_기안용지,인사기록형식_2.배수시설_1.측구공사-0_00.우수공_07.포장공" xfId="789"/>
    <cellStyle name="_기안용지,인사기록형식_2.배수시설_1.측구공사-0_04.우수공(단지부)" xfId="790"/>
    <cellStyle name="_기안용지,인사기록형식_2.배수시설_1.측구공사-0_04.우수공(단지부)_07.부대공사" xfId="791"/>
    <cellStyle name="_기안용지,인사기록형식_2.배수시설_1.측구공사-0_04.우수공(단지부)_07.부대공사_07.부대공사" xfId="792"/>
    <cellStyle name="_기안용지,인사기록형식_2.배수시설_1.측구공사-0_04.우수공(단지부)_07.포장공" xfId="793"/>
    <cellStyle name="_기안용지,인사기록형식_2.배수시설_1.측구공사-0_05.오수공" xfId="794"/>
    <cellStyle name="_기안용지,인사기록형식_2.배수시설_1.측구공사-0_05.오수공_07.부대공사" xfId="795"/>
    <cellStyle name="_기안용지,인사기록형식_2.배수시설_1.측구공사-0_05.오수공_07.부대공사_07.부대공사" xfId="796"/>
    <cellStyle name="_기안용지,인사기록형식_2.배수시설_1.측구공사-0_05.오수공_07.포장공" xfId="797"/>
    <cellStyle name="_기안용지,인사기록형식_2.배수시설_1.측구공사-0_07.부대공사" xfId="798"/>
    <cellStyle name="_기안용지,인사기록형식_2.배수시설_1.측구공사-0_07.부대공사_07.부대공사" xfId="799"/>
    <cellStyle name="_기안용지,인사기록형식_2.배수시설_1.측구공사-0_07.포장공" xfId="800"/>
    <cellStyle name="_기안용지,인사기록형식_3.그린 조성공사" xfId="801"/>
    <cellStyle name="_기안용지,인사기록형식_3.그린 조성공사_00.오수공(최종)" xfId="802"/>
    <cellStyle name="_기안용지,인사기록형식_3.그린 조성공사_00.오수공(최종)_07.부대공사" xfId="803"/>
    <cellStyle name="_기안용지,인사기록형식_3.그린 조성공사_00.오수공(최종)_07.부대공사_07.부대공사" xfId="804"/>
    <cellStyle name="_기안용지,인사기록형식_3.그린 조성공사_00.오수공(최종)_07.포장공" xfId="805"/>
    <cellStyle name="_기안용지,인사기록형식_3.그린 조성공사_00.우수공" xfId="806"/>
    <cellStyle name="_기안용지,인사기록형식_3.그린 조성공사_00.우수공_07.부대공사" xfId="807"/>
    <cellStyle name="_기안용지,인사기록형식_3.그린 조성공사_00.우수공_07.부대공사_07.부대공사" xfId="808"/>
    <cellStyle name="_기안용지,인사기록형식_3.그린 조성공사_00.우수공_07.포장공" xfId="809"/>
    <cellStyle name="_기안용지,인사기록형식_3.그린 조성공사_04.우수공(단지부)" xfId="810"/>
    <cellStyle name="_기안용지,인사기록형식_3.그린 조성공사_04.우수공(단지부)_07.부대공사" xfId="811"/>
    <cellStyle name="_기안용지,인사기록형식_3.그린 조성공사_04.우수공(단지부)_07.부대공사_07.부대공사" xfId="812"/>
    <cellStyle name="_기안용지,인사기록형식_3.그린 조성공사_04.우수공(단지부)_07.포장공" xfId="813"/>
    <cellStyle name="_기안용지,인사기록형식_3.그린 조성공사_05.오수공" xfId="814"/>
    <cellStyle name="_기안용지,인사기록형식_3.그린 조성공사_05.오수공_07.부대공사" xfId="815"/>
    <cellStyle name="_기안용지,인사기록형식_3.그린 조성공사_05.오수공_07.부대공사_07.부대공사" xfId="816"/>
    <cellStyle name="_기안용지,인사기록형식_3.그린 조성공사_05.오수공_07.포장공" xfId="817"/>
    <cellStyle name="_기안용지,인사기록형식_3.그린 조성공사_07.부대공사" xfId="818"/>
    <cellStyle name="_기안용지,인사기록형식_3.그린 조성공사_07.부대공사_07.부대공사" xfId="819"/>
    <cellStyle name="_기안용지,인사기록형식_3.그린 조성공사_07.포장공" xfId="820"/>
    <cellStyle name="_기안용지,인사기록형식_3.그린 조성공사-0" xfId="821"/>
    <cellStyle name="_기안용지,인사기록형식_3.그린 조성공사-0_00.오수공(최종)" xfId="822"/>
    <cellStyle name="_기안용지,인사기록형식_3.그린 조성공사-0_00.오수공(최종)_07.부대공사" xfId="823"/>
    <cellStyle name="_기안용지,인사기록형식_3.그린 조성공사-0_00.오수공(최종)_07.부대공사_07.부대공사" xfId="824"/>
    <cellStyle name="_기안용지,인사기록형식_3.그린 조성공사-0_00.오수공(최종)_07.포장공" xfId="825"/>
    <cellStyle name="_기안용지,인사기록형식_3.그린 조성공사-0_00.우수공" xfId="826"/>
    <cellStyle name="_기안용지,인사기록형식_3.그린 조성공사-0_00.우수공_07.부대공사" xfId="827"/>
    <cellStyle name="_기안용지,인사기록형식_3.그린 조성공사-0_00.우수공_07.부대공사_07.부대공사" xfId="828"/>
    <cellStyle name="_기안용지,인사기록형식_3.그린 조성공사-0_00.우수공_07.포장공" xfId="829"/>
    <cellStyle name="_기안용지,인사기록형식_3.그린 조성공사-0_04.우수공(단지부)" xfId="830"/>
    <cellStyle name="_기안용지,인사기록형식_3.그린 조성공사-0_04.우수공(단지부)_07.부대공사" xfId="831"/>
    <cellStyle name="_기안용지,인사기록형식_3.그린 조성공사-0_04.우수공(단지부)_07.부대공사_07.부대공사" xfId="832"/>
    <cellStyle name="_기안용지,인사기록형식_3.그린 조성공사-0_04.우수공(단지부)_07.포장공" xfId="833"/>
    <cellStyle name="_기안용지,인사기록형식_3.그린 조성공사-0_05.오수공" xfId="834"/>
    <cellStyle name="_기안용지,인사기록형식_3.그린 조성공사-0_05.오수공_07.부대공사" xfId="835"/>
    <cellStyle name="_기안용지,인사기록형식_3.그린 조성공사-0_05.오수공_07.부대공사_07.부대공사" xfId="836"/>
    <cellStyle name="_기안용지,인사기록형식_3.그린 조성공사-0_05.오수공_07.포장공" xfId="837"/>
    <cellStyle name="_기안용지,인사기록형식_3.그린 조성공사-0_07.부대공사" xfId="838"/>
    <cellStyle name="_기안용지,인사기록형식_3.그린 조성공사-0_07.부대공사_07.부대공사" xfId="839"/>
    <cellStyle name="_기안용지,인사기록형식_3.그린 조성공사-0_07.포장공" xfId="840"/>
    <cellStyle name="_기안용지,인사기록형식_3.그린조성공사" xfId="841"/>
    <cellStyle name="_기안용지,인사기록형식_3.그린조성공사_00.오수공(최종)" xfId="842"/>
    <cellStyle name="_기안용지,인사기록형식_3.그린조성공사_00.오수공(최종)_07.부대공사" xfId="843"/>
    <cellStyle name="_기안용지,인사기록형식_3.그린조성공사_00.오수공(최종)_07.부대공사_07.부대공사" xfId="844"/>
    <cellStyle name="_기안용지,인사기록형식_3.그린조성공사_00.오수공(최종)_07.포장공" xfId="845"/>
    <cellStyle name="_기안용지,인사기록형식_3.그린조성공사_00.우수공" xfId="846"/>
    <cellStyle name="_기안용지,인사기록형식_3.그린조성공사_00.우수공_07.부대공사" xfId="847"/>
    <cellStyle name="_기안용지,인사기록형식_3.그린조성공사_00.우수공_07.부대공사_07.부대공사" xfId="848"/>
    <cellStyle name="_기안용지,인사기록형식_3.그린조성공사_00.우수공_07.포장공" xfId="849"/>
    <cellStyle name="_기안용지,인사기록형식_3.그린조성공사_04.우수공(단지부)" xfId="850"/>
    <cellStyle name="_기안용지,인사기록형식_3.그린조성공사_04.우수공(단지부)_07.부대공사" xfId="851"/>
    <cellStyle name="_기안용지,인사기록형식_3.그린조성공사_04.우수공(단지부)_07.부대공사_07.부대공사" xfId="852"/>
    <cellStyle name="_기안용지,인사기록형식_3.그린조성공사_04.우수공(단지부)_07.포장공" xfId="853"/>
    <cellStyle name="_기안용지,인사기록형식_3.그린조성공사_05.오수공" xfId="854"/>
    <cellStyle name="_기안용지,인사기록형식_3.그린조성공사_05.오수공_07.부대공사" xfId="855"/>
    <cellStyle name="_기안용지,인사기록형식_3.그린조성공사_05.오수공_07.부대공사_07.부대공사" xfId="856"/>
    <cellStyle name="_기안용지,인사기록형식_3.그린조성공사_05.오수공_07.포장공" xfId="857"/>
    <cellStyle name="_기안용지,인사기록형식_3.그린조성공사_07.부대공사" xfId="858"/>
    <cellStyle name="_기안용지,인사기록형식_3.그린조성공사_07.부대공사_07.부대공사" xfId="859"/>
    <cellStyle name="_기안용지,인사기록형식_3.그린조성공사_07.포장공" xfId="860"/>
    <cellStyle name="_기안용지,인사기록형식_4.TEE조성" xfId="861"/>
    <cellStyle name="_기안용지,인사기록형식_4.TEE조성_00.오수공(최종)" xfId="862"/>
    <cellStyle name="_기안용지,인사기록형식_4.TEE조성_00.오수공(최종)_07.부대공사" xfId="863"/>
    <cellStyle name="_기안용지,인사기록형식_4.TEE조성_00.오수공(최종)_07.부대공사_07.부대공사" xfId="864"/>
    <cellStyle name="_기안용지,인사기록형식_4.TEE조성_00.오수공(최종)_07.포장공" xfId="865"/>
    <cellStyle name="_기안용지,인사기록형식_4.TEE조성_00.우수공" xfId="866"/>
    <cellStyle name="_기안용지,인사기록형식_4.TEE조성_00.우수공_07.부대공사" xfId="867"/>
    <cellStyle name="_기안용지,인사기록형식_4.TEE조성_00.우수공_07.부대공사_07.부대공사" xfId="868"/>
    <cellStyle name="_기안용지,인사기록형식_4.TEE조성_00.우수공_07.포장공" xfId="869"/>
    <cellStyle name="_기안용지,인사기록형식_4.TEE조성_04.우수공(단지부)" xfId="870"/>
    <cellStyle name="_기안용지,인사기록형식_4.TEE조성_04.우수공(단지부)_07.부대공사" xfId="871"/>
    <cellStyle name="_기안용지,인사기록형식_4.TEE조성_04.우수공(단지부)_07.부대공사_07.부대공사" xfId="872"/>
    <cellStyle name="_기안용지,인사기록형식_4.TEE조성_04.우수공(단지부)_07.포장공" xfId="873"/>
    <cellStyle name="_기안용지,인사기록형식_4.TEE조성_05.오수공" xfId="874"/>
    <cellStyle name="_기안용지,인사기록형식_4.TEE조성_05.오수공_07.부대공사" xfId="875"/>
    <cellStyle name="_기안용지,인사기록형식_4.TEE조성_05.오수공_07.부대공사_07.부대공사" xfId="876"/>
    <cellStyle name="_기안용지,인사기록형식_4.TEE조성_05.오수공_07.포장공" xfId="877"/>
    <cellStyle name="_기안용지,인사기록형식_4.TEE조성_07.부대공사" xfId="878"/>
    <cellStyle name="_기안용지,인사기록형식_4.TEE조성_07.부대공사_07.부대공사" xfId="879"/>
    <cellStyle name="_기안용지,인사기록형식_4.TEE조성_07.포장공" xfId="880"/>
    <cellStyle name="_기안용지,인사기록형식_Book2" xfId="881"/>
    <cellStyle name="_기안용지,인사기록형식_Book2_00.오수공(최종)" xfId="882"/>
    <cellStyle name="_기안용지,인사기록형식_Book2_00.오수공(최종)_07.부대공사" xfId="883"/>
    <cellStyle name="_기안용지,인사기록형식_Book2_00.오수공(최종)_07.부대공사_07.부대공사" xfId="884"/>
    <cellStyle name="_기안용지,인사기록형식_Book2_00.오수공(최종)_07.포장공" xfId="885"/>
    <cellStyle name="_기안용지,인사기록형식_Book2_00.우수공" xfId="886"/>
    <cellStyle name="_기안용지,인사기록형식_Book2_00.우수공_07.부대공사" xfId="887"/>
    <cellStyle name="_기안용지,인사기록형식_Book2_00.우수공_07.부대공사_07.부대공사" xfId="888"/>
    <cellStyle name="_기안용지,인사기록형식_Book2_00.우수공_07.포장공" xfId="889"/>
    <cellStyle name="_기안용지,인사기록형식_Book2_04.우수공(단지부)" xfId="890"/>
    <cellStyle name="_기안용지,인사기록형식_Book2_04.우수공(단지부)_07.부대공사" xfId="891"/>
    <cellStyle name="_기안용지,인사기록형식_Book2_04.우수공(단지부)_07.부대공사_07.부대공사" xfId="892"/>
    <cellStyle name="_기안용지,인사기록형식_Book2_04.우수공(단지부)_07.포장공" xfId="893"/>
    <cellStyle name="_기안용지,인사기록형식_Book2_05.오수공" xfId="894"/>
    <cellStyle name="_기안용지,인사기록형식_Book2_05.오수공_07.부대공사" xfId="895"/>
    <cellStyle name="_기안용지,인사기록형식_Book2_05.오수공_07.부대공사_07.부대공사" xfId="896"/>
    <cellStyle name="_기안용지,인사기록형식_Book2_05.오수공_07.포장공" xfId="897"/>
    <cellStyle name="_기안용지,인사기록형식_Book2_07.부대공사" xfId="898"/>
    <cellStyle name="_기안용지,인사기록형식_Book2_07.부대공사_07.부대공사" xfId="899"/>
    <cellStyle name="_기안용지,인사기록형식_Book2_07.포장공" xfId="900"/>
    <cellStyle name="_기안용지,인사기록형식_조직표" xfId="901"/>
    <cellStyle name="_기안용지,인사기록형식_조직표_00.오수공(최종)" xfId="902"/>
    <cellStyle name="_기안용지,인사기록형식_조직표_00.오수공(최종)_07.부대공사" xfId="903"/>
    <cellStyle name="_기안용지,인사기록형식_조직표_00.오수공(최종)_07.부대공사_07.부대공사" xfId="904"/>
    <cellStyle name="_기안용지,인사기록형식_조직표_00.오수공(최종)_07.포장공" xfId="905"/>
    <cellStyle name="_기안용지,인사기록형식_조직표_00.우수공" xfId="906"/>
    <cellStyle name="_기안용지,인사기록형식_조직표_00.우수공_07.부대공사" xfId="907"/>
    <cellStyle name="_기안용지,인사기록형식_조직표_00.우수공_07.부대공사_07.부대공사" xfId="908"/>
    <cellStyle name="_기안용지,인사기록형식_조직표_00.우수공_07.포장공" xfId="909"/>
    <cellStyle name="_기안용지,인사기록형식_조직표_01.측구공사" xfId="910"/>
    <cellStyle name="_기안용지,인사기록형식_조직표_01.측구공사_00.오수공(최종)" xfId="911"/>
    <cellStyle name="_기안용지,인사기록형식_조직표_01.측구공사_00.오수공(최종)_07.부대공사" xfId="912"/>
    <cellStyle name="_기안용지,인사기록형식_조직표_01.측구공사_00.오수공(최종)_07.부대공사_07.부대공사" xfId="913"/>
    <cellStyle name="_기안용지,인사기록형식_조직표_01.측구공사_00.오수공(최종)_07.포장공" xfId="914"/>
    <cellStyle name="_기안용지,인사기록형식_조직표_01.측구공사_00.우수공" xfId="915"/>
    <cellStyle name="_기안용지,인사기록형식_조직표_01.측구공사_00.우수공_07.부대공사" xfId="916"/>
    <cellStyle name="_기안용지,인사기록형식_조직표_01.측구공사_00.우수공_07.부대공사_07.부대공사" xfId="917"/>
    <cellStyle name="_기안용지,인사기록형식_조직표_01.측구공사_00.우수공_07.포장공" xfId="918"/>
    <cellStyle name="_기안용지,인사기록형식_조직표_01.측구공사_04.우수공(단지부)" xfId="919"/>
    <cellStyle name="_기안용지,인사기록형식_조직표_01.측구공사_04.우수공(단지부)_07.부대공사" xfId="920"/>
    <cellStyle name="_기안용지,인사기록형식_조직표_01.측구공사_04.우수공(단지부)_07.부대공사_07.부대공사" xfId="921"/>
    <cellStyle name="_기안용지,인사기록형식_조직표_01.측구공사_04.우수공(단지부)_07.포장공" xfId="922"/>
    <cellStyle name="_기안용지,인사기록형식_조직표_01.측구공사_05.오수공" xfId="923"/>
    <cellStyle name="_기안용지,인사기록형식_조직표_01.측구공사_05.오수공_07.부대공사" xfId="924"/>
    <cellStyle name="_기안용지,인사기록형식_조직표_01.측구공사_05.오수공_07.부대공사_07.부대공사" xfId="925"/>
    <cellStyle name="_기안용지,인사기록형식_조직표_01.측구공사_05.오수공_07.포장공" xfId="926"/>
    <cellStyle name="_기안용지,인사기록형식_조직표_01.측구공사_07.부대공사" xfId="927"/>
    <cellStyle name="_기안용지,인사기록형식_조직표_01.측구공사_07.부대공사_07.부대공사" xfId="928"/>
    <cellStyle name="_기안용지,인사기록형식_조직표_01.측구공사_07.포장공" xfId="929"/>
    <cellStyle name="_기안용지,인사기록형식_조직표_03.그린 조성공사" xfId="930"/>
    <cellStyle name="_기안용지,인사기록형식_조직표_03.그린 조성공사_00.오수공(최종)" xfId="931"/>
    <cellStyle name="_기안용지,인사기록형식_조직표_03.그린 조성공사_00.오수공(최종)_07.부대공사" xfId="932"/>
    <cellStyle name="_기안용지,인사기록형식_조직표_03.그린 조성공사_00.오수공(최종)_07.부대공사_07.부대공사" xfId="933"/>
    <cellStyle name="_기안용지,인사기록형식_조직표_03.그린 조성공사_00.오수공(최종)_07.포장공" xfId="934"/>
    <cellStyle name="_기안용지,인사기록형식_조직표_03.그린 조성공사_00.우수공" xfId="935"/>
    <cellStyle name="_기안용지,인사기록형식_조직표_03.그린 조성공사_00.우수공_07.부대공사" xfId="936"/>
    <cellStyle name="_기안용지,인사기록형식_조직표_03.그린 조성공사_00.우수공_07.부대공사_07.부대공사" xfId="937"/>
    <cellStyle name="_기안용지,인사기록형식_조직표_03.그린 조성공사_00.우수공_07.포장공" xfId="938"/>
    <cellStyle name="_기안용지,인사기록형식_조직표_03.그린 조성공사_04.우수공(단지부)" xfId="939"/>
    <cellStyle name="_기안용지,인사기록형식_조직표_03.그린 조성공사_04.우수공(단지부)_07.부대공사" xfId="940"/>
    <cellStyle name="_기안용지,인사기록형식_조직표_03.그린 조성공사_04.우수공(단지부)_07.부대공사_07.부대공사" xfId="941"/>
    <cellStyle name="_기안용지,인사기록형식_조직표_03.그린 조성공사_04.우수공(단지부)_07.포장공" xfId="942"/>
    <cellStyle name="_기안용지,인사기록형식_조직표_03.그린 조성공사_05.오수공" xfId="943"/>
    <cellStyle name="_기안용지,인사기록형식_조직표_03.그린 조성공사_05.오수공_07.부대공사" xfId="944"/>
    <cellStyle name="_기안용지,인사기록형식_조직표_03.그린 조성공사_05.오수공_07.부대공사_07.부대공사" xfId="945"/>
    <cellStyle name="_기안용지,인사기록형식_조직표_03.그린 조성공사_05.오수공_07.포장공" xfId="946"/>
    <cellStyle name="_기안용지,인사기록형식_조직표_03.그린 조성공사_07.부대공사" xfId="947"/>
    <cellStyle name="_기안용지,인사기록형식_조직표_03.그린 조성공사_07.부대공사_07.부대공사" xfId="948"/>
    <cellStyle name="_기안용지,인사기록형식_조직표_03.그린 조성공사_07.포장공" xfId="949"/>
    <cellStyle name="_기안용지,인사기록형식_조직표_04.우수공(단지부)" xfId="950"/>
    <cellStyle name="_기안용지,인사기록형식_조직표_04.우수공(단지부)_07.부대공사" xfId="951"/>
    <cellStyle name="_기안용지,인사기록형식_조직표_04.우수공(단지부)_07.부대공사_07.부대공사" xfId="952"/>
    <cellStyle name="_기안용지,인사기록형식_조직표_04.우수공(단지부)_07.포장공" xfId="953"/>
    <cellStyle name="_기안용지,인사기록형식_조직표_04.표면 배수공사" xfId="954"/>
    <cellStyle name="_기안용지,인사기록형식_조직표_04.표면 배수공사_00.오수공(최종)" xfId="955"/>
    <cellStyle name="_기안용지,인사기록형식_조직표_04.표면 배수공사_00.오수공(최종)_07.부대공사" xfId="956"/>
    <cellStyle name="_기안용지,인사기록형식_조직표_04.표면 배수공사_00.오수공(최종)_07.부대공사_07.부대공사" xfId="957"/>
    <cellStyle name="_기안용지,인사기록형식_조직표_04.표면 배수공사_00.오수공(최종)_07.포장공" xfId="958"/>
    <cellStyle name="_기안용지,인사기록형식_조직표_04.표면 배수공사_00.우수공" xfId="959"/>
    <cellStyle name="_기안용지,인사기록형식_조직표_04.표면 배수공사_00.우수공_07.부대공사" xfId="960"/>
    <cellStyle name="_기안용지,인사기록형식_조직표_04.표면 배수공사_00.우수공_07.부대공사_07.부대공사" xfId="961"/>
    <cellStyle name="_기안용지,인사기록형식_조직표_04.표면 배수공사_00.우수공_07.포장공" xfId="962"/>
    <cellStyle name="_기안용지,인사기록형식_조직표_04.표면 배수공사_04.우수공(단지부)" xfId="963"/>
    <cellStyle name="_기안용지,인사기록형식_조직표_04.표면 배수공사_04.우수공(단지부)_07.부대공사" xfId="964"/>
    <cellStyle name="_기안용지,인사기록형식_조직표_04.표면 배수공사_04.우수공(단지부)_07.부대공사_07.부대공사" xfId="965"/>
    <cellStyle name="_기안용지,인사기록형식_조직표_04.표면 배수공사_04.우수공(단지부)_07.포장공" xfId="966"/>
    <cellStyle name="_기안용지,인사기록형식_조직표_04.표면 배수공사_05.오수공" xfId="967"/>
    <cellStyle name="_기안용지,인사기록형식_조직표_04.표면 배수공사_05.오수공_07.부대공사" xfId="968"/>
    <cellStyle name="_기안용지,인사기록형식_조직표_04.표면 배수공사_05.오수공_07.부대공사_07.부대공사" xfId="969"/>
    <cellStyle name="_기안용지,인사기록형식_조직표_04.표면 배수공사_05.오수공_07.포장공" xfId="970"/>
    <cellStyle name="_기안용지,인사기록형식_조직표_04.표면 배수공사_07.부대공사" xfId="971"/>
    <cellStyle name="_기안용지,인사기록형식_조직표_04.표면 배수공사_07.부대공사_07.부대공사" xfId="972"/>
    <cellStyle name="_기안용지,인사기록형식_조직표_04.표면 배수공사_07.포장공" xfId="973"/>
    <cellStyle name="_기안용지,인사기록형식_조직표_05.그린 조성공사" xfId="974"/>
    <cellStyle name="_기안용지,인사기록형식_조직표_05.그린 조성공사_00.오수공(최종)" xfId="975"/>
    <cellStyle name="_기안용지,인사기록형식_조직표_05.그린 조성공사_00.오수공(최종)_07.부대공사" xfId="976"/>
    <cellStyle name="_기안용지,인사기록형식_조직표_05.그린 조성공사_00.오수공(최종)_07.부대공사_07.부대공사" xfId="977"/>
    <cellStyle name="_기안용지,인사기록형식_조직표_05.그린 조성공사_00.오수공(최종)_07.포장공" xfId="978"/>
    <cellStyle name="_기안용지,인사기록형식_조직표_05.그린 조성공사_00.우수공" xfId="979"/>
    <cellStyle name="_기안용지,인사기록형식_조직표_05.그린 조성공사_00.우수공_07.부대공사" xfId="980"/>
    <cellStyle name="_기안용지,인사기록형식_조직표_05.그린 조성공사_00.우수공_07.부대공사_07.부대공사" xfId="981"/>
    <cellStyle name="_기안용지,인사기록형식_조직표_05.그린 조성공사_00.우수공_07.포장공" xfId="982"/>
    <cellStyle name="_기안용지,인사기록형식_조직표_05.그린 조성공사_04.우수공(단지부)" xfId="983"/>
    <cellStyle name="_기안용지,인사기록형식_조직표_05.그린 조성공사_04.우수공(단지부)_07.부대공사" xfId="984"/>
    <cellStyle name="_기안용지,인사기록형식_조직표_05.그린 조성공사_04.우수공(단지부)_07.부대공사_07.부대공사" xfId="985"/>
    <cellStyle name="_기안용지,인사기록형식_조직표_05.그린 조성공사_04.우수공(단지부)_07.포장공" xfId="986"/>
    <cellStyle name="_기안용지,인사기록형식_조직표_05.그린 조성공사_05.오수공" xfId="987"/>
    <cellStyle name="_기안용지,인사기록형식_조직표_05.그린 조성공사_05.오수공_07.부대공사" xfId="988"/>
    <cellStyle name="_기안용지,인사기록형식_조직표_05.그린 조성공사_05.오수공_07.부대공사_07.부대공사" xfId="989"/>
    <cellStyle name="_기안용지,인사기록형식_조직표_05.그린 조성공사_05.오수공_07.포장공" xfId="990"/>
    <cellStyle name="_기안용지,인사기록형식_조직표_05.그린 조성공사_07.부대공사" xfId="991"/>
    <cellStyle name="_기안용지,인사기록형식_조직표_05.그린 조성공사_07.부대공사_07.부대공사" xfId="992"/>
    <cellStyle name="_기안용지,인사기록형식_조직표_05.그린 조성공사_07.포장공" xfId="993"/>
    <cellStyle name="_기안용지,인사기록형식_조직표_05.오수공" xfId="994"/>
    <cellStyle name="_기안용지,인사기록형식_조직표_05.오수공_07.부대공사" xfId="995"/>
    <cellStyle name="_기안용지,인사기록형식_조직표_05.오수공_07.부대공사_07.부대공사" xfId="996"/>
    <cellStyle name="_기안용지,인사기록형식_조직표_05.오수공_07.포장공" xfId="997"/>
    <cellStyle name="_기안용지,인사기록형식_조직표_07.부대공사" xfId="998"/>
    <cellStyle name="_기안용지,인사기록형식_조직표_07.부대공사_07.부대공사" xfId="999"/>
    <cellStyle name="_기안용지,인사기록형식_조직표_07.포장공" xfId="1000"/>
    <cellStyle name="_기안용지,인사기록형식_조직표_07.포장공(중2-57)" xfId="1001"/>
    <cellStyle name="_기안용지,인사기록형식_조직표_1.측구공사" xfId="1002"/>
    <cellStyle name="_기안용지,인사기록형식_조직표_1.측구공사_00.오수공(최종)" xfId="1003"/>
    <cellStyle name="_기안용지,인사기록형식_조직표_1.측구공사_00.오수공(최종)_07.부대공사" xfId="1004"/>
    <cellStyle name="_기안용지,인사기록형식_조직표_1.측구공사_00.오수공(최종)_07.부대공사_07.부대공사" xfId="1005"/>
    <cellStyle name="_기안용지,인사기록형식_조직표_1.측구공사_00.오수공(최종)_07.포장공" xfId="1006"/>
    <cellStyle name="_기안용지,인사기록형식_조직표_1.측구공사_00.우수공" xfId="1007"/>
    <cellStyle name="_기안용지,인사기록형식_조직표_1.측구공사_00.우수공_07.부대공사" xfId="1008"/>
    <cellStyle name="_기안용지,인사기록형식_조직표_1.측구공사_00.우수공_07.부대공사_07.부대공사" xfId="1009"/>
    <cellStyle name="_기안용지,인사기록형식_조직표_1.측구공사_00.우수공_07.포장공" xfId="1010"/>
    <cellStyle name="_기안용지,인사기록형식_조직표_1.측구공사_04.우수공(단지부)" xfId="1011"/>
    <cellStyle name="_기안용지,인사기록형식_조직표_1.측구공사_04.우수공(단지부)_07.부대공사" xfId="1012"/>
    <cellStyle name="_기안용지,인사기록형식_조직표_1.측구공사_04.우수공(단지부)_07.부대공사_07.부대공사" xfId="1013"/>
    <cellStyle name="_기안용지,인사기록형식_조직표_1.측구공사_04.우수공(단지부)_07.포장공" xfId="1014"/>
    <cellStyle name="_기안용지,인사기록형식_조직표_1.측구공사_05.오수공" xfId="1015"/>
    <cellStyle name="_기안용지,인사기록형식_조직표_1.측구공사_05.오수공_07.부대공사" xfId="1016"/>
    <cellStyle name="_기안용지,인사기록형식_조직표_1.측구공사_05.오수공_07.부대공사_07.부대공사" xfId="1017"/>
    <cellStyle name="_기안용지,인사기록형식_조직표_1.측구공사_05.오수공_07.포장공" xfId="1018"/>
    <cellStyle name="_기안용지,인사기록형식_조직표_1.측구공사_07.부대공사" xfId="1019"/>
    <cellStyle name="_기안용지,인사기록형식_조직표_1.측구공사_07.부대공사_07.부대공사" xfId="1020"/>
    <cellStyle name="_기안용지,인사기록형식_조직표_1.측구공사_07.포장공" xfId="1021"/>
    <cellStyle name="_기안용지,인사기록형식_조직표_1.측구공사-0" xfId="1022"/>
    <cellStyle name="_기안용지,인사기록형식_조직표_1.측구공사-0_00.오수공(최종)" xfId="1023"/>
    <cellStyle name="_기안용지,인사기록형식_조직표_1.측구공사-0_00.오수공(최종)_07.부대공사" xfId="1024"/>
    <cellStyle name="_기안용지,인사기록형식_조직표_1.측구공사-0_00.오수공(최종)_07.부대공사_07.부대공사" xfId="1025"/>
    <cellStyle name="_기안용지,인사기록형식_조직표_1.측구공사-0_00.오수공(최종)_07.포장공" xfId="1026"/>
    <cellStyle name="_기안용지,인사기록형식_조직표_1.측구공사-0_00.우수공" xfId="1027"/>
    <cellStyle name="_기안용지,인사기록형식_조직표_1.측구공사-0_00.우수공_07.부대공사" xfId="1028"/>
    <cellStyle name="_기안용지,인사기록형식_조직표_1.측구공사-0_00.우수공_07.부대공사_07.부대공사" xfId="1029"/>
    <cellStyle name="_기안용지,인사기록형식_조직표_1.측구공사-0_00.우수공_07.포장공" xfId="1030"/>
    <cellStyle name="_기안용지,인사기록형식_조직표_1.측구공사-0_04.우수공(단지부)" xfId="1031"/>
    <cellStyle name="_기안용지,인사기록형식_조직표_1.측구공사-0_04.우수공(단지부)_07.부대공사" xfId="1032"/>
    <cellStyle name="_기안용지,인사기록형식_조직표_1.측구공사-0_04.우수공(단지부)_07.부대공사_07.부대공사" xfId="1033"/>
    <cellStyle name="_기안용지,인사기록형식_조직표_1.측구공사-0_04.우수공(단지부)_07.포장공" xfId="1034"/>
    <cellStyle name="_기안용지,인사기록형식_조직표_1.측구공사-0_05.오수공" xfId="1035"/>
    <cellStyle name="_기안용지,인사기록형식_조직표_1.측구공사-0_05.오수공_07.부대공사" xfId="1036"/>
    <cellStyle name="_기안용지,인사기록형식_조직표_1.측구공사-0_05.오수공_07.부대공사_07.부대공사" xfId="1037"/>
    <cellStyle name="_기안용지,인사기록형식_조직표_1.측구공사-0_05.오수공_07.포장공" xfId="1038"/>
    <cellStyle name="_기안용지,인사기록형식_조직표_1.측구공사-0_07.부대공사" xfId="1039"/>
    <cellStyle name="_기안용지,인사기록형식_조직표_1.측구공사-0_07.부대공사_07.부대공사" xfId="1040"/>
    <cellStyle name="_기안용지,인사기록형식_조직표_1.측구공사-0_07.포장공" xfId="1041"/>
    <cellStyle name="_기안용지,인사기록형식_조직표_2.배수시설" xfId="1042"/>
    <cellStyle name="_기안용지,인사기록형식_조직표_2.배수시설_00.오수공(최종)" xfId="1043"/>
    <cellStyle name="_기안용지,인사기록형식_조직표_2.배수시설_00.오수공(최종)_07.부대공사" xfId="1044"/>
    <cellStyle name="_기안용지,인사기록형식_조직표_2.배수시설_00.오수공(최종)_07.부대공사_07.부대공사" xfId="1045"/>
    <cellStyle name="_기안용지,인사기록형식_조직표_2.배수시설_00.오수공(최종)_07.포장공" xfId="1046"/>
    <cellStyle name="_기안용지,인사기록형식_조직표_2.배수시설_00.우수공" xfId="1047"/>
    <cellStyle name="_기안용지,인사기록형식_조직표_2.배수시설_00.우수공_07.부대공사" xfId="1048"/>
    <cellStyle name="_기안용지,인사기록형식_조직표_2.배수시설_00.우수공_07.부대공사_07.부대공사" xfId="1049"/>
    <cellStyle name="_기안용지,인사기록형식_조직표_2.배수시설_00.우수공_07.포장공" xfId="1050"/>
    <cellStyle name="_기안용지,인사기록형식_조직표_2.배수시설_01.측구공사" xfId="1051"/>
    <cellStyle name="_기안용지,인사기록형식_조직표_2.배수시설_01.측구공사_00.오수공(최종)" xfId="1052"/>
    <cellStyle name="_기안용지,인사기록형식_조직표_2.배수시설_01.측구공사_00.오수공(최종)_07.부대공사" xfId="1053"/>
    <cellStyle name="_기안용지,인사기록형식_조직표_2.배수시설_01.측구공사_00.오수공(최종)_07.부대공사_07.부대공사" xfId="1054"/>
    <cellStyle name="_기안용지,인사기록형식_조직표_2.배수시설_01.측구공사_00.오수공(최종)_07.포장공" xfId="1055"/>
    <cellStyle name="_기안용지,인사기록형식_조직표_2.배수시설_01.측구공사_00.우수공" xfId="1056"/>
    <cellStyle name="_기안용지,인사기록형식_조직표_2.배수시설_01.측구공사_00.우수공_07.부대공사" xfId="1057"/>
    <cellStyle name="_기안용지,인사기록형식_조직표_2.배수시설_01.측구공사_00.우수공_07.부대공사_07.부대공사" xfId="1058"/>
    <cellStyle name="_기안용지,인사기록형식_조직표_2.배수시설_01.측구공사_00.우수공_07.포장공" xfId="1059"/>
    <cellStyle name="_기안용지,인사기록형식_조직표_2.배수시설_01.측구공사_04.우수공(단지부)" xfId="1060"/>
    <cellStyle name="_기안용지,인사기록형식_조직표_2.배수시설_01.측구공사_04.우수공(단지부)_07.부대공사" xfId="1061"/>
    <cellStyle name="_기안용지,인사기록형식_조직표_2.배수시설_01.측구공사_04.우수공(단지부)_07.부대공사_07.부대공사" xfId="1062"/>
    <cellStyle name="_기안용지,인사기록형식_조직표_2.배수시설_01.측구공사_04.우수공(단지부)_07.포장공" xfId="1063"/>
    <cellStyle name="_기안용지,인사기록형식_조직표_2.배수시설_01.측구공사_05.오수공" xfId="1064"/>
    <cellStyle name="_기안용지,인사기록형식_조직표_2.배수시설_01.측구공사_05.오수공_07.부대공사" xfId="1065"/>
    <cellStyle name="_기안용지,인사기록형식_조직표_2.배수시설_01.측구공사_05.오수공_07.부대공사_07.부대공사" xfId="1066"/>
    <cellStyle name="_기안용지,인사기록형식_조직표_2.배수시설_01.측구공사_05.오수공_07.포장공" xfId="1067"/>
    <cellStyle name="_기안용지,인사기록형식_조직표_2.배수시설_01.측구공사_07.부대공사" xfId="1068"/>
    <cellStyle name="_기안용지,인사기록형식_조직표_2.배수시설_01.측구공사_07.부대공사_07.부대공사" xfId="1069"/>
    <cellStyle name="_기안용지,인사기록형식_조직표_2.배수시설_01.측구공사_07.포장공" xfId="1070"/>
    <cellStyle name="_기안용지,인사기록형식_조직표_2.배수시설_04.우수공(단지부)" xfId="1071"/>
    <cellStyle name="_기안용지,인사기록형식_조직표_2.배수시설_04.우수공(단지부)_07.부대공사" xfId="1072"/>
    <cellStyle name="_기안용지,인사기록형식_조직표_2.배수시설_04.우수공(단지부)_07.부대공사_07.부대공사" xfId="1073"/>
    <cellStyle name="_기안용지,인사기록형식_조직표_2.배수시설_04.우수공(단지부)_07.포장공" xfId="1074"/>
    <cellStyle name="_기안용지,인사기록형식_조직표_2.배수시설_05.오수공" xfId="1075"/>
    <cellStyle name="_기안용지,인사기록형식_조직표_2.배수시설_05.오수공_07.부대공사" xfId="1076"/>
    <cellStyle name="_기안용지,인사기록형식_조직표_2.배수시설_05.오수공_07.부대공사_07.부대공사" xfId="1077"/>
    <cellStyle name="_기안용지,인사기록형식_조직표_2.배수시설_05.오수공_07.포장공" xfId="1078"/>
    <cellStyle name="_기안용지,인사기록형식_조직표_2.배수시설_07.부대공사" xfId="1079"/>
    <cellStyle name="_기안용지,인사기록형식_조직표_2.배수시설_07.부대공사_07.부대공사" xfId="1080"/>
    <cellStyle name="_기안용지,인사기록형식_조직표_2.배수시설_07.포장공" xfId="1081"/>
    <cellStyle name="_기안용지,인사기록형식_조직표_2.배수시설_1.측구공사" xfId="1082"/>
    <cellStyle name="_기안용지,인사기록형식_조직표_2.배수시설_1.측구공사_00.오수공(최종)" xfId="1083"/>
    <cellStyle name="_기안용지,인사기록형식_조직표_2.배수시설_1.측구공사_00.오수공(최종)_07.부대공사" xfId="1084"/>
    <cellStyle name="_기안용지,인사기록형식_조직표_2.배수시설_1.측구공사_00.오수공(최종)_07.부대공사_07.부대공사" xfId="1085"/>
    <cellStyle name="_기안용지,인사기록형식_조직표_2.배수시설_1.측구공사_00.오수공(최종)_07.포장공" xfId="1086"/>
    <cellStyle name="_기안용지,인사기록형식_조직표_2.배수시설_1.측구공사_00.우수공" xfId="1087"/>
    <cellStyle name="_기안용지,인사기록형식_조직표_2.배수시설_1.측구공사_00.우수공_07.부대공사" xfId="1088"/>
    <cellStyle name="_기안용지,인사기록형식_조직표_2.배수시설_1.측구공사_00.우수공_07.부대공사_07.부대공사" xfId="1089"/>
    <cellStyle name="_기안용지,인사기록형식_조직표_2.배수시설_1.측구공사_00.우수공_07.포장공" xfId="1090"/>
    <cellStyle name="_기안용지,인사기록형식_조직표_2.배수시설_1.측구공사_04.우수공(단지부)" xfId="1091"/>
    <cellStyle name="_기안용지,인사기록형식_조직표_2.배수시설_1.측구공사_04.우수공(단지부)_07.부대공사" xfId="1092"/>
    <cellStyle name="_기안용지,인사기록형식_조직표_2.배수시설_1.측구공사_04.우수공(단지부)_07.부대공사_07.부대공사" xfId="1093"/>
    <cellStyle name="_기안용지,인사기록형식_조직표_2.배수시설_1.측구공사_04.우수공(단지부)_07.포장공" xfId="1094"/>
    <cellStyle name="_기안용지,인사기록형식_조직표_2.배수시설_1.측구공사_05.오수공" xfId="1095"/>
    <cellStyle name="_기안용지,인사기록형식_조직표_2.배수시설_1.측구공사_05.오수공_07.부대공사" xfId="1096"/>
    <cellStyle name="_기안용지,인사기록형식_조직표_2.배수시설_1.측구공사_05.오수공_07.부대공사_07.부대공사" xfId="1097"/>
    <cellStyle name="_기안용지,인사기록형식_조직표_2.배수시설_1.측구공사_05.오수공_07.포장공" xfId="1098"/>
    <cellStyle name="_기안용지,인사기록형식_조직표_2.배수시설_1.측구공사_07.부대공사" xfId="1099"/>
    <cellStyle name="_기안용지,인사기록형식_조직표_2.배수시설_1.측구공사_07.부대공사_07.부대공사" xfId="1100"/>
    <cellStyle name="_기안용지,인사기록형식_조직표_2.배수시설_1.측구공사_07.포장공" xfId="1101"/>
    <cellStyle name="_기안용지,인사기록형식_조직표_2.배수시설_1.측구공사-0" xfId="1102"/>
    <cellStyle name="_기안용지,인사기록형식_조직표_2.배수시설_1.측구공사-0_00.오수공(최종)" xfId="1103"/>
    <cellStyle name="_기안용지,인사기록형식_조직표_2.배수시설_1.측구공사-0_00.오수공(최종)_07.부대공사" xfId="1104"/>
    <cellStyle name="_기안용지,인사기록형식_조직표_2.배수시설_1.측구공사-0_00.오수공(최종)_07.부대공사_07.부대공사" xfId="1105"/>
    <cellStyle name="_기안용지,인사기록형식_조직표_2.배수시설_1.측구공사-0_00.오수공(최종)_07.포장공" xfId="1106"/>
    <cellStyle name="_기안용지,인사기록형식_조직표_2.배수시설_1.측구공사-0_00.우수공" xfId="1107"/>
    <cellStyle name="_기안용지,인사기록형식_조직표_2.배수시설_1.측구공사-0_00.우수공_07.부대공사" xfId="1108"/>
    <cellStyle name="_기안용지,인사기록형식_조직표_2.배수시설_1.측구공사-0_00.우수공_07.부대공사_07.부대공사" xfId="1109"/>
    <cellStyle name="_기안용지,인사기록형식_조직표_2.배수시설_1.측구공사-0_00.우수공_07.포장공" xfId="1110"/>
    <cellStyle name="_기안용지,인사기록형식_조직표_2.배수시설_1.측구공사-0_04.우수공(단지부)" xfId="1111"/>
    <cellStyle name="_기안용지,인사기록형식_조직표_2.배수시설_1.측구공사-0_04.우수공(단지부)_07.부대공사" xfId="1112"/>
    <cellStyle name="_기안용지,인사기록형식_조직표_2.배수시설_1.측구공사-0_04.우수공(단지부)_07.부대공사_07.부대공사" xfId="1113"/>
    <cellStyle name="_기안용지,인사기록형식_조직표_2.배수시설_1.측구공사-0_04.우수공(단지부)_07.포장공" xfId="1114"/>
    <cellStyle name="_기안용지,인사기록형식_조직표_2.배수시설_1.측구공사-0_05.오수공" xfId="1115"/>
    <cellStyle name="_기안용지,인사기록형식_조직표_2.배수시설_1.측구공사-0_05.오수공_07.부대공사" xfId="1116"/>
    <cellStyle name="_기안용지,인사기록형식_조직표_2.배수시설_1.측구공사-0_05.오수공_07.부대공사_07.부대공사" xfId="1117"/>
    <cellStyle name="_기안용지,인사기록형식_조직표_2.배수시설_1.측구공사-0_05.오수공_07.포장공" xfId="1118"/>
    <cellStyle name="_기안용지,인사기록형식_조직표_2.배수시설_1.측구공사-0_07.부대공사" xfId="1119"/>
    <cellStyle name="_기안용지,인사기록형식_조직표_2.배수시설_1.측구공사-0_07.부대공사_07.부대공사" xfId="1120"/>
    <cellStyle name="_기안용지,인사기록형식_조직표_2.배수시설_1.측구공사-0_07.포장공" xfId="1121"/>
    <cellStyle name="_기안용지,인사기록형식_조직표_3.그린 조성공사" xfId="1122"/>
    <cellStyle name="_기안용지,인사기록형식_조직표_3.그린 조성공사_00.오수공(최종)" xfId="1123"/>
    <cellStyle name="_기안용지,인사기록형식_조직표_3.그린 조성공사_00.오수공(최종)_07.부대공사" xfId="1124"/>
    <cellStyle name="_기안용지,인사기록형식_조직표_3.그린 조성공사_00.오수공(최종)_07.부대공사_07.부대공사" xfId="1125"/>
    <cellStyle name="_기안용지,인사기록형식_조직표_3.그린 조성공사_00.오수공(최종)_07.포장공" xfId="1126"/>
    <cellStyle name="_기안용지,인사기록형식_조직표_3.그린 조성공사_00.우수공" xfId="1127"/>
    <cellStyle name="_기안용지,인사기록형식_조직표_3.그린 조성공사_00.우수공_07.부대공사" xfId="1128"/>
    <cellStyle name="_기안용지,인사기록형식_조직표_3.그린 조성공사_00.우수공_07.부대공사_07.부대공사" xfId="1129"/>
    <cellStyle name="_기안용지,인사기록형식_조직표_3.그린 조성공사_00.우수공_07.포장공" xfId="1130"/>
    <cellStyle name="_기안용지,인사기록형식_조직표_3.그린 조성공사_04.우수공(단지부)" xfId="1131"/>
    <cellStyle name="_기안용지,인사기록형식_조직표_3.그린 조성공사_04.우수공(단지부)_07.부대공사" xfId="1132"/>
    <cellStyle name="_기안용지,인사기록형식_조직표_3.그린 조성공사_04.우수공(단지부)_07.부대공사_07.부대공사" xfId="1133"/>
    <cellStyle name="_기안용지,인사기록형식_조직표_3.그린 조성공사_04.우수공(단지부)_07.포장공" xfId="1134"/>
    <cellStyle name="_기안용지,인사기록형식_조직표_3.그린 조성공사_05.오수공" xfId="1135"/>
    <cellStyle name="_기안용지,인사기록형식_조직표_3.그린 조성공사_05.오수공_07.부대공사" xfId="1136"/>
    <cellStyle name="_기안용지,인사기록형식_조직표_3.그린 조성공사_05.오수공_07.부대공사_07.부대공사" xfId="1137"/>
    <cellStyle name="_기안용지,인사기록형식_조직표_3.그린 조성공사_05.오수공_07.포장공" xfId="1138"/>
    <cellStyle name="_기안용지,인사기록형식_조직표_3.그린 조성공사_07.부대공사" xfId="1139"/>
    <cellStyle name="_기안용지,인사기록형식_조직표_3.그린 조성공사_07.부대공사_07.부대공사" xfId="1140"/>
    <cellStyle name="_기안용지,인사기록형식_조직표_3.그린 조성공사_07.포장공" xfId="1141"/>
    <cellStyle name="_기안용지,인사기록형식_조직표_3.그린 조성공사-0" xfId="1142"/>
    <cellStyle name="_기안용지,인사기록형식_조직표_3.그린 조성공사-0_00.오수공(최종)" xfId="1143"/>
    <cellStyle name="_기안용지,인사기록형식_조직표_3.그린 조성공사-0_00.오수공(최종)_07.부대공사" xfId="1144"/>
    <cellStyle name="_기안용지,인사기록형식_조직표_3.그린 조성공사-0_00.오수공(최종)_07.부대공사_07.부대공사" xfId="1145"/>
    <cellStyle name="_기안용지,인사기록형식_조직표_3.그린 조성공사-0_00.오수공(최종)_07.포장공" xfId="1146"/>
    <cellStyle name="_기안용지,인사기록형식_조직표_3.그린 조성공사-0_00.우수공" xfId="1147"/>
    <cellStyle name="_기안용지,인사기록형식_조직표_3.그린 조성공사-0_00.우수공_07.부대공사" xfId="1148"/>
    <cellStyle name="_기안용지,인사기록형식_조직표_3.그린 조성공사-0_00.우수공_07.부대공사_07.부대공사" xfId="1149"/>
    <cellStyle name="_기안용지,인사기록형식_조직표_3.그린 조성공사-0_00.우수공_07.포장공" xfId="1150"/>
    <cellStyle name="_기안용지,인사기록형식_조직표_3.그린 조성공사-0_04.우수공(단지부)" xfId="1151"/>
    <cellStyle name="_기안용지,인사기록형식_조직표_3.그린 조성공사-0_04.우수공(단지부)_07.부대공사" xfId="1152"/>
    <cellStyle name="_기안용지,인사기록형식_조직표_3.그린 조성공사-0_04.우수공(단지부)_07.부대공사_07.부대공사" xfId="1153"/>
    <cellStyle name="_기안용지,인사기록형식_조직표_3.그린 조성공사-0_04.우수공(단지부)_07.포장공" xfId="1154"/>
    <cellStyle name="_기안용지,인사기록형식_조직표_3.그린 조성공사-0_05.오수공" xfId="1155"/>
    <cellStyle name="_기안용지,인사기록형식_조직표_3.그린 조성공사-0_05.오수공_07.부대공사" xfId="1156"/>
    <cellStyle name="_기안용지,인사기록형식_조직표_3.그린 조성공사-0_05.오수공_07.부대공사_07.부대공사" xfId="1157"/>
    <cellStyle name="_기안용지,인사기록형식_조직표_3.그린 조성공사-0_05.오수공_07.포장공" xfId="1158"/>
    <cellStyle name="_기안용지,인사기록형식_조직표_3.그린 조성공사-0_07.부대공사" xfId="1159"/>
    <cellStyle name="_기안용지,인사기록형식_조직표_3.그린 조성공사-0_07.부대공사_07.부대공사" xfId="1160"/>
    <cellStyle name="_기안용지,인사기록형식_조직표_3.그린 조성공사-0_07.포장공" xfId="1161"/>
    <cellStyle name="_기안용지,인사기록형식_조직표_3.그린조성공사" xfId="1162"/>
    <cellStyle name="_기안용지,인사기록형식_조직표_3.그린조성공사_00.오수공(최종)" xfId="1163"/>
    <cellStyle name="_기안용지,인사기록형식_조직표_3.그린조성공사_00.오수공(최종)_07.부대공사" xfId="1164"/>
    <cellStyle name="_기안용지,인사기록형식_조직표_3.그린조성공사_00.오수공(최종)_07.부대공사_07.부대공사" xfId="1165"/>
    <cellStyle name="_기안용지,인사기록형식_조직표_3.그린조성공사_00.오수공(최종)_07.포장공" xfId="1166"/>
    <cellStyle name="_기안용지,인사기록형식_조직표_3.그린조성공사_00.우수공" xfId="1167"/>
    <cellStyle name="_기안용지,인사기록형식_조직표_3.그린조성공사_00.우수공_07.부대공사" xfId="1168"/>
    <cellStyle name="_기안용지,인사기록형식_조직표_3.그린조성공사_00.우수공_07.부대공사_07.부대공사" xfId="1169"/>
    <cellStyle name="_기안용지,인사기록형식_조직표_3.그린조성공사_00.우수공_07.포장공" xfId="1170"/>
    <cellStyle name="_기안용지,인사기록형식_조직표_3.그린조성공사_04.우수공(단지부)" xfId="1171"/>
    <cellStyle name="_기안용지,인사기록형식_조직표_3.그린조성공사_04.우수공(단지부)_07.부대공사" xfId="1172"/>
    <cellStyle name="_기안용지,인사기록형식_조직표_3.그린조성공사_04.우수공(단지부)_07.부대공사_07.부대공사" xfId="1173"/>
    <cellStyle name="_기안용지,인사기록형식_조직표_3.그린조성공사_04.우수공(단지부)_07.포장공" xfId="1174"/>
    <cellStyle name="_기안용지,인사기록형식_조직표_3.그린조성공사_05.오수공" xfId="1175"/>
    <cellStyle name="_기안용지,인사기록형식_조직표_3.그린조성공사_05.오수공_07.부대공사" xfId="1176"/>
    <cellStyle name="_기안용지,인사기록형식_조직표_3.그린조성공사_05.오수공_07.부대공사_07.부대공사" xfId="1177"/>
    <cellStyle name="_기안용지,인사기록형식_조직표_3.그린조성공사_05.오수공_07.포장공" xfId="1178"/>
    <cellStyle name="_기안용지,인사기록형식_조직표_3.그린조성공사_07.부대공사" xfId="1179"/>
    <cellStyle name="_기안용지,인사기록형식_조직표_3.그린조성공사_07.부대공사_07.부대공사" xfId="1180"/>
    <cellStyle name="_기안용지,인사기록형식_조직표_3.그린조성공사_07.포장공" xfId="1181"/>
    <cellStyle name="_기안용지,인사기록형식_조직표_4.TEE조성" xfId="1182"/>
    <cellStyle name="_기안용지,인사기록형식_조직표_4.TEE조성_00.오수공(최종)" xfId="1183"/>
    <cellStyle name="_기안용지,인사기록형식_조직표_4.TEE조성_00.오수공(최종)_07.부대공사" xfId="1184"/>
    <cellStyle name="_기안용지,인사기록형식_조직표_4.TEE조성_00.오수공(최종)_07.부대공사_07.부대공사" xfId="1185"/>
    <cellStyle name="_기안용지,인사기록형식_조직표_4.TEE조성_00.오수공(최종)_07.포장공" xfId="1186"/>
    <cellStyle name="_기안용지,인사기록형식_조직표_4.TEE조성_00.우수공" xfId="1187"/>
    <cellStyle name="_기안용지,인사기록형식_조직표_4.TEE조성_00.우수공_07.부대공사" xfId="1188"/>
    <cellStyle name="_기안용지,인사기록형식_조직표_4.TEE조성_00.우수공_07.부대공사_07.부대공사" xfId="1189"/>
    <cellStyle name="_기안용지,인사기록형식_조직표_4.TEE조성_00.우수공_07.포장공" xfId="1190"/>
    <cellStyle name="_기안용지,인사기록형식_조직표_4.TEE조성_04.우수공(단지부)" xfId="1191"/>
    <cellStyle name="_기안용지,인사기록형식_조직표_4.TEE조성_04.우수공(단지부)_07.부대공사" xfId="1192"/>
    <cellStyle name="_기안용지,인사기록형식_조직표_4.TEE조성_04.우수공(단지부)_07.부대공사_07.부대공사" xfId="1193"/>
    <cellStyle name="_기안용지,인사기록형식_조직표_4.TEE조성_04.우수공(단지부)_07.포장공" xfId="1194"/>
    <cellStyle name="_기안용지,인사기록형식_조직표_4.TEE조성_05.오수공" xfId="1195"/>
    <cellStyle name="_기안용지,인사기록형식_조직표_4.TEE조성_05.오수공_07.부대공사" xfId="1196"/>
    <cellStyle name="_기안용지,인사기록형식_조직표_4.TEE조성_05.오수공_07.부대공사_07.부대공사" xfId="1197"/>
    <cellStyle name="_기안용지,인사기록형식_조직표_4.TEE조성_05.오수공_07.포장공" xfId="1198"/>
    <cellStyle name="_기안용지,인사기록형식_조직표_4.TEE조성_07.부대공사" xfId="1199"/>
    <cellStyle name="_기안용지,인사기록형식_조직표_4.TEE조성_07.부대공사_07.부대공사" xfId="1200"/>
    <cellStyle name="_기안용지,인사기록형식_조직표_4.TEE조성_07.포장공" xfId="1201"/>
    <cellStyle name="_기안용지,인사기록형식_조직표_Book2" xfId="1202"/>
    <cellStyle name="_기안용지,인사기록형식_조직표_Book2_00.오수공(최종)" xfId="1203"/>
    <cellStyle name="_기안용지,인사기록형식_조직표_Book2_00.오수공(최종)_07.부대공사" xfId="1204"/>
    <cellStyle name="_기안용지,인사기록형식_조직표_Book2_00.오수공(최종)_07.부대공사_07.부대공사" xfId="1205"/>
    <cellStyle name="_기안용지,인사기록형식_조직표_Book2_00.오수공(최종)_07.포장공" xfId="1206"/>
    <cellStyle name="_기안용지,인사기록형식_조직표_Book2_00.우수공" xfId="1207"/>
    <cellStyle name="_기안용지,인사기록형식_조직표_Book2_00.우수공_07.부대공사" xfId="1208"/>
    <cellStyle name="_기안용지,인사기록형식_조직표_Book2_00.우수공_07.부대공사_07.부대공사" xfId="1209"/>
    <cellStyle name="_기안용지,인사기록형식_조직표_Book2_00.우수공_07.포장공" xfId="1210"/>
    <cellStyle name="_기안용지,인사기록형식_조직표_Book2_04.우수공(단지부)" xfId="1211"/>
    <cellStyle name="_기안용지,인사기록형식_조직표_Book2_04.우수공(단지부)_07.부대공사" xfId="1212"/>
    <cellStyle name="_기안용지,인사기록형식_조직표_Book2_04.우수공(단지부)_07.부대공사_07.부대공사" xfId="1213"/>
    <cellStyle name="_기안용지,인사기록형식_조직표_Book2_04.우수공(단지부)_07.포장공" xfId="1214"/>
    <cellStyle name="_기안용지,인사기록형식_조직표_Book2_05.오수공" xfId="1215"/>
    <cellStyle name="_기안용지,인사기록형식_조직표_Book2_05.오수공_07.부대공사" xfId="1216"/>
    <cellStyle name="_기안용지,인사기록형식_조직표_Book2_05.오수공_07.부대공사_07.부대공사" xfId="1217"/>
    <cellStyle name="_기안용지,인사기록형식_조직표_Book2_05.오수공_07.포장공" xfId="1218"/>
    <cellStyle name="_기안용지,인사기록형식_조직표_Book2_07.부대공사" xfId="1219"/>
    <cellStyle name="_기안용지,인사기록형식_조직표_Book2_07.부대공사_07.부대공사" xfId="1220"/>
    <cellStyle name="_기안용지,인사기록형식_조직표_Book2_07.포장공" xfId="1221"/>
    <cellStyle name="_기안용지,인사기록형식_조직표_조직표" xfId="1222"/>
    <cellStyle name="_기안용지,인사기록형식_조직표_조직표_00.오수공(최종)" xfId="1223"/>
    <cellStyle name="_기안용지,인사기록형식_조직표_조직표_00.오수공(최종)_07.부대공사" xfId="1224"/>
    <cellStyle name="_기안용지,인사기록형식_조직표_조직표_00.오수공(최종)_07.부대공사_07.부대공사" xfId="1225"/>
    <cellStyle name="_기안용지,인사기록형식_조직표_조직표_00.오수공(최종)_07.포장공" xfId="1226"/>
    <cellStyle name="_기안용지,인사기록형식_조직표_조직표_00.우수공" xfId="1227"/>
    <cellStyle name="_기안용지,인사기록형식_조직표_조직표_00.우수공_07.부대공사" xfId="1228"/>
    <cellStyle name="_기안용지,인사기록형식_조직표_조직표_00.우수공_07.부대공사_07.부대공사" xfId="1229"/>
    <cellStyle name="_기안용지,인사기록형식_조직표_조직표_00.우수공_07.포장공" xfId="1230"/>
    <cellStyle name="_기안용지,인사기록형식_조직표_조직표_01.측구공사" xfId="1231"/>
    <cellStyle name="_기안용지,인사기록형식_조직표_조직표_01.측구공사_00.오수공(최종)" xfId="1232"/>
    <cellStyle name="_기안용지,인사기록형식_조직표_조직표_01.측구공사_00.오수공(최종)_07.부대공사" xfId="1233"/>
    <cellStyle name="_기안용지,인사기록형식_조직표_조직표_01.측구공사_00.오수공(최종)_07.부대공사_07.부대공사" xfId="1234"/>
    <cellStyle name="_기안용지,인사기록형식_조직표_조직표_01.측구공사_00.오수공(최종)_07.포장공" xfId="1235"/>
    <cellStyle name="_기안용지,인사기록형식_조직표_조직표_01.측구공사_00.우수공" xfId="1236"/>
    <cellStyle name="_기안용지,인사기록형식_조직표_조직표_01.측구공사_00.우수공_07.부대공사" xfId="1237"/>
    <cellStyle name="_기안용지,인사기록형식_조직표_조직표_01.측구공사_00.우수공_07.부대공사_07.부대공사" xfId="1238"/>
    <cellStyle name="_기안용지,인사기록형식_조직표_조직표_01.측구공사_00.우수공_07.포장공" xfId="1239"/>
    <cellStyle name="_기안용지,인사기록형식_조직표_조직표_01.측구공사_04.우수공(단지부)" xfId="1240"/>
    <cellStyle name="_기안용지,인사기록형식_조직표_조직표_01.측구공사_04.우수공(단지부)_07.부대공사" xfId="1241"/>
    <cellStyle name="_기안용지,인사기록형식_조직표_조직표_01.측구공사_04.우수공(단지부)_07.부대공사_07.부대공사" xfId="1242"/>
    <cellStyle name="_기안용지,인사기록형식_조직표_조직표_01.측구공사_04.우수공(단지부)_07.포장공" xfId="1243"/>
    <cellStyle name="_기안용지,인사기록형식_조직표_조직표_01.측구공사_05.오수공" xfId="1244"/>
    <cellStyle name="_기안용지,인사기록형식_조직표_조직표_01.측구공사_05.오수공_07.부대공사" xfId="1245"/>
    <cellStyle name="_기안용지,인사기록형식_조직표_조직표_01.측구공사_05.오수공_07.부대공사_07.부대공사" xfId="1246"/>
    <cellStyle name="_기안용지,인사기록형식_조직표_조직표_01.측구공사_05.오수공_07.포장공" xfId="1247"/>
    <cellStyle name="_기안용지,인사기록형식_조직표_조직표_01.측구공사_07.부대공사" xfId="1248"/>
    <cellStyle name="_기안용지,인사기록형식_조직표_조직표_01.측구공사_07.부대공사_07.부대공사" xfId="1249"/>
    <cellStyle name="_기안용지,인사기록형식_조직표_조직표_01.측구공사_07.포장공" xfId="1250"/>
    <cellStyle name="_기안용지,인사기록형식_조직표_조직표_03.그린 조성공사" xfId="1251"/>
    <cellStyle name="_기안용지,인사기록형식_조직표_조직표_03.그린 조성공사_00.오수공(최종)" xfId="1252"/>
    <cellStyle name="_기안용지,인사기록형식_조직표_조직표_03.그린 조성공사_00.오수공(최종)_07.부대공사" xfId="1253"/>
    <cellStyle name="_기안용지,인사기록형식_조직표_조직표_03.그린 조성공사_00.오수공(최종)_07.부대공사_07.부대공사" xfId="1254"/>
    <cellStyle name="_기안용지,인사기록형식_조직표_조직표_03.그린 조성공사_00.오수공(최종)_07.포장공" xfId="1255"/>
    <cellStyle name="_기안용지,인사기록형식_조직표_조직표_03.그린 조성공사_00.우수공" xfId="1256"/>
    <cellStyle name="_기안용지,인사기록형식_조직표_조직표_03.그린 조성공사_00.우수공_07.부대공사" xfId="1257"/>
    <cellStyle name="_기안용지,인사기록형식_조직표_조직표_03.그린 조성공사_00.우수공_07.부대공사_07.부대공사" xfId="1258"/>
    <cellStyle name="_기안용지,인사기록형식_조직표_조직표_03.그린 조성공사_00.우수공_07.포장공" xfId="1259"/>
    <cellStyle name="_기안용지,인사기록형식_조직표_조직표_03.그린 조성공사_04.우수공(단지부)" xfId="1260"/>
    <cellStyle name="_기안용지,인사기록형식_조직표_조직표_03.그린 조성공사_04.우수공(단지부)_07.부대공사" xfId="1261"/>
    <cellStyle name="_기안용지,인사기록형식_조직표_조직표_03.그린 조성공사_04.우수공(단지부)_07.부대공사_07.부대공사" xfId="1262"/>
    <cellStyle name="_기안용지,인사기록형식_조직표_조직표_03.그린 조성공사_04.우수공(단지부)_07.포장공" xfId="1263"/>
    <cellStyle name="_기안용지,인사기록형식_조직표_조직표_03.그린 조성공사_05.오수공" xfId="1264"/>
    <cellStyle name="_기안용지,인사기록형식_조직표_조직표_03.그린 조성공사_05.오수공_07.부대공사" xfId="1265"/>
    <cellStyle name="_기안용지,인사기록형식_조직표_조직표_03.그린 조성공사_05.오수공_07.부대공사_07.부대공사" xfId="1266"/>
    <cellStyle name="_기안용지,인사기록형식_조직표_조직표_03.그린 조성공사_05.오수공_07.포장공" xfId="1267"/>
    <cellStyle name="_기안용지,인사기록형식_조직표_조직표_03.그린 조성공사_07.부대공사" xfId="1268"/>
    <cellStyle name="_기안용지,인사기록형식_조직표_조직표_03.그린 조성공사_07.부대공사_07.부대공사" xfId="1269"/>
    <cellStyle name="_기안용지,인사기록형식_조직표_조직표_03.그린 조성공사_07.포장공" xfId="1270"/>
    <cellStyle name="_기안용지,인사기록형식_조직표_조직표_04.우수공(단지부)" xfId="1271"/>
    <cellStyle name="_기안용지,인사기록형식_조직표_조직표_04.우수공(단지부)_07.부대공사" xfId="1272"/>
    <cellStyle name="_기안용지,인사기록형식_조직표_조직표_04.우수공(단지부)_07.부대공사_07.부대공사" xfId="1273"/>
    <cellStyle name="_기안용지,인사기록형식_조직표_조직표_04.우수공(단지부)_07.포장공" xfId="1274"/>
    <cellStyle name="_기안용지,인사기록형식_조직표_조직표_04.표면 배수공사" xfId="1275"/>
    <cellStyle name="_기안용지,인사기록형식_조직표_조직표_04.표면 배수공사_00.오수공(최종)" xfId="1276"/>
    <cellStyle name="_기안용지,인사기록형식_조직표_조직표_04.표면 배수공사_00.오수공(최종)_07.부대공사" xfId="1277"/>
    <cellStyle name="_기안용지,인사기록형식_조직표_조직표_04.표면 배수공사_00.오수공(최종)_07.부대공사_07.부대공사" xfId="1278"/>
    <cellStyle name="_기안용지,인사기록형식_조직표_조직표_04.표면 배수공사_00.오수공(최종)_07.포장공" xfId="1279"/>
    <cellStyle name="_기안용지,인사기록형식_조직표_조직표_04.표면 배수공사_00.우수공" xfId="1280"/>
    <cellStyle name="_기안용지,인사기록형식_조직표_조직표_04.표면 배수공사_00.우수공_07.부대공사" xfId="1281"/>
    <cellStyle name="_기안용지,인사기록형식_조직표_조직표_04.표면 배수공사_00.우수공_07.부대공사_07.부대공사" xfId="1282"/>
    <cellStyle name="_기안용지,인사기록형식_조직표_조직표_04.표면 배수공사_00.우수공_07.포장공" xfId="1283"/>
    <cellStyle name="_기안용지,인사기록형식_조직표_조직표_04.표면 배수공사_04.우수공(단지부)" xfId="1284"/>
    <cellStyle name="_기안용지,인사기록형식_조직표_조직표_04.표면 배수공사_04.우수공(단지부)_07.부대공사" xfId="1285"/>
    <cellStyle name="_기안용지,인사기록형식_조직표_조직표_04.표면 배수공사_04.우수공(단지부)_07.부대공사_07.부대공사" xfId="1286"/>
    <cellStyle name="_기안용지,인사기록형식_조직표_조직표_04.표면 배수공사_04.우수공(단지부)_07.포장공" xfId="1287"/>
    <cellStyle name="_기안용지,인사기록형식_조직표_조직표_04.표면 배수공사_05.오수공" xfId="1288"/>
    <cellStyle name="_기안용지,인사기록형식_조직표_조직표_04.표면 배수공사_05.오수공_07.부대공사" xfId="1289"/>
    <cellStyle name="_기안용지,인사기록형식_조직표_조직표_04.표면 배수공사_05.오수공_07.부대공사_07.부대공사" xfId="1290"/>
    <cellStyle name="_기안용지,인사기록형식_조직표_조직표_04.표면 배수공사_05.오수공_07.포장공" xfId="1291"/>
    <cellStyle name="_기안용지,인사기록형식_조직표_조직표_04.표면 배수공사_07.부대공사" xfId="1292"/>
    <cellStyle name="_기안용지,인사기록형식_조직표_조직표_04.표면 배수공사_07.부대공사_07.부대공사" xfId="1293"/>
    <cellStyle name="_기안용지,인사기록형식_조직표_조직표_04.표면 배수공사_07.포장공" xfId="1294"/>
    <cellStyle name="_기안용지,인사기록형식_조직표_조직표_05.그린 조성공사" xfId="1295"/>
    <cellStyle name="_기안용지,인사기록형식_조직표_조직표_05.그린 조성공사_00.오수공(최종)" xfId="1296"/>
    <cellStyle name="_기안용지,인사기록형식_조직표_조직표_05.그린 조성공사_00.오수공(최종)_07.부대공사" xfId="1297"/>
    <cellStyle name="_기안용지,인사기록형식_조직표_조직표_05.그린 조성공사_00.오수공(최종)_07.부대공사_07.부대공사" xfId="1298"/>
    <cellStyle name="_기안용지,인사기록형식_조직표_조직표_05.그린 조성공사_00.오수공(최종)_07.포장공" xfId="1299"/>
    <cellStyle name="_기안용지,인사기록형식_조직표_조직표_05.그린 조성공사_00.우수공" xfId="1300"/>
    <cellStyle name="_기안용지,인사기록형식_조직표_조직표_05.그린 조성공사_00.우수공_07.부대공사" xfId="1301"/>
    <cellStyle name="_기안용지,인사기록형식_조직표_조직표_05.그린 조성공사_00.우수공_07.부대공사_07.부대공사" xfId="1302"/>
    <cellStyle name="_기안용지,인사기록형식_조직표_조직표_05.그린 조성공사_00.우수공_07.포장공" xfId="1303"/>
    <cellStyle name="_기안용지,인사기록형식_조직표_조직표_05.그린 조성공사_04.우수공(단지부)" xfId="1304"/>
    <cellStyle name="_기안용지,인사기록형식_조직표_조직표_05.그린 조성공사_04.우수공(단지부)_07.부대공사" xfId="1305"/>
    <cellStyle name="_기안용지,인사기록형식_조직표_조직표_05.그린 조성공사_04.우수공(단지부)_07.부대공사_07.부대공사" xfId="1306"/>
    <cellStyle name="_기안용지,인사기록형식_조직표_조직표_05.그린 조성공사_04.우수공(단지부)_07.포장공" xfId="1307"/>
    <cellStyle name="_기안용지,인사기록형식_조직표_조직표_05.그린 조성공사_05.오수공" xfId="1308"/>
    <cellStyle name="_기안용지,인사기록형식_조직표_조직표_05.그린 조성공사_05.오수공_07.부대공사" xfId="1309"/>
    <cellStyle name="_기안용지,인사기록형식_조직표_조직표_05.그린 조성공사_05.오수공_07.부대공사_07.부대공사" xfId="1310"/>
    <cellStyle name="_기안용지,인사기록형식_조직표_조직표_05.그린 조성공사_05.오수공_07.포장공" xfId="1311"/>
    <cellStyle name="_기안용지,인사기록형식_조직표_조직표_05.그린 조성공사_07.부대공사" xfId="1312"/>
    <cellStyle name="_기안용지,인사기록형식_조직표_조직표_05.그린 조성공사_07.부대공사_07.부대공사" xfId="1313"/>
    <cellStyle name="_기안용지,인사기록형식_조직표_조직표_05.그린 조성공사_07.포장공" xfId="1314"/>
    <cellStyle name="_기안용지,인사기록형식_조직표_조직표_05.오수공" xfId="1315"/>
    <cellStyle name="_기안용지,인사기록형식_조직표_조직표_05.오수공_07.부대공사" xfId="1316"/>
    <cellStyle name="_기안용지,인사기록형식_조직표_조직표_05.오수공_07.부대공사_07.부대공사" xfId="1317"/>
    <cellStyle name="_기안용지,인사기록형식_조직표_조직표_05.오수공_07.포장공" xfId="1318"/>
    <cellStyle name="_기안용지,인사기록형식_조직표_조직표_07.부대공사" xfId="1319"/>
    <cellStyle name="_기안용지,인사기록형식_조직표_조직표_07.부대공사_07.부대공사" xfId="1320"/>
    <cellStyle name="_기안용지,인사기록형식_조직표_조직표_07.포장공" xfId="1321"/>
    <cellStyle name="_기안용지,인사기록형식_조직표_조직표_07.포장공(중2-57)" xfId="1322"/>
    <cellStyle name="_기안용지,인사기록형식_조직표_조직표_1.측구공사" xfId="1323"/>
    <cellStyle name="_기안용지,인사기록형식_조직표_조직표_1.측구공사_00.오수공(최종)" xfId="1324"/>
    <cellStyle name="_기안용지,인사기록형식_조직표_조직표_1.측구공사_00.오수공(최종)_07.부대공사" xfId="1325"/>
    <cellStyle name="_기안용지,인사기록형식_조직표_조직표_1.측구공사_00.오수공(최종)_07.부대공사_07.부대공사" xfId="1326"/>
    <cellStyle name="_기안용지,인사기록형식_조직표_조직표_1.측구공사_00.오수공(최종)_07.포장공" xfId="1327"/>
    <cellStyle name="_기안용지,인사기록형식_조직표_조직표_1.측구공사_00.우수공" xfId="1328"/>
    <cellStyle name="_기안용지,인사기록형식_조직표_조직표_1.측구공사_00.우수공_07.부대공사" xfId="1329"/>
    <cellStyle name="_기안용지,인사기록형식_조직표_조직표_1.측구공사_00.우수공_07.부대공사_07.부대공사" xfId="1330"/>
    <cellStyle name="_기안용지,인사기록형식_조직표_조직표_1.측구공사_00.우수공_07.포장공" xfId="1331"/>
    <cellStyle name="_기안용지,인사기록형식_조직표_조직표_1.측구공사_04.우수공(단지부)" xfId="1332"/>
    <cellStyle name="_기안용지,인사기록형식_조직표_조직표_1.측구공사_04.우수공(단지부)_07.부대공사" xfId="1333"/>
    <cellStyle name="_기안용지,인사기록형식_조직표_조직표_1.측구공사_04.우수공(단지부)_07.부대공사_07.부대공사" xfId="1334"/>
    <cellStyle name="_기안용지,인사기록형식_조직표_조직표_1.측구공사_04.우수공(단지부)_07.포장공" xfId="1335"/>
    <cellStyle name="_기안용지,인사기록형식_조직표_조직표_1.측구공사_05.오수공" xfId="1336"/>
    <cellStyle name="_기안용지,인사기록형식_조직표_조직표_1.측구공사_05.오수공_07.부대공사" xfId="1337"/>
    <cellStyle name="_기안용지,인사기록형식_조직표_조직표_1.측구공사_05.오수공_07.부대공사_07.부대공사" xfId="1338"/>
    <cellStyle name="_기안용지,인사기록형식_조직표_조직표_1.측구공사_05.오수공_07.포장공" xfId="1339"/>
    <cellStyle name="_기안용지,인사기록형식_조직표_조직표_1.측구공사_07.부대공사" xfId="1340"/>
    <cellStyle name="_기안용지,인사기록형식_조직표_조직표_1.측구공사_07.부대공사_07.부대공사" xfId="1341"/>
    <cellStyle name="_기안용지,인사기록형식_조직표_조직표_1.측구공사_07.포장공" xfId="1342"/>
    <cellStyle name="_기안용지,인사기록형식_조직표_조직표_1.측구공사-0" xfId="1343"/>
    <cellStyle name="_기안용지,인사기록형식_조직표_조직표_1.측구공사-0_00.오수공(최종)" xfId="1344"/>
    <cellStyle name="_기안용지,인사기록형식_조직표_조직표_1.측구공사-0_00.오수공(최종)_07.부대공사" xfId="1345"/>
    <cellStyle name="_기안용지,인사기록형식_조직표_조직표_1.측구공사-0_00.오수공(최종)_07.부대공사_07.부대공사" xfId="1346"/>
    <cellStyle name="_기안용지,인사기록형식_조직표_조직표_1.측구공사-0_00.오수공(최종)_07.포장공" xfId="1347"/>
    <cellStyle name="_기안용지,인사기록형식_조직표_조직표_1.측구공사-0_00.우수공" xfId="1348"/>
    <cellStyle name="_기안용지,인사기록형식_조직표_조직표_1.측구공사-0_00.우수공_07.부대공사" xfId="1349"/>
    <cellStyle name="_기안용지,인사기록형식_조직표_조직표_1.측구공사-0_00.우수공_07.부대공사_07.부대공사" xfId="1350"/>
    <cellStyle name="_기안용지,인사기록형식_조직표_조직표_1.측구공사-0_00.우수공_07.포장공" xfId="1351"/>
    <cellStyle name="_기안용지,인사기록형식_조직표_조직표_1.측구공사-0_04.우수공(단지부)" xfId="1352"/>
    <cellStyle name="_기안용지,인사기록형식_조직표_조직표_1.측구공사-0_04.우수공(단지부)_07.부대공사" xfId="1353"/>
    <cellStyle name="_기안용지,인사기록형식_조직표_조직표_1.측구공사-0_04.우수공(단지부)_07.부대공사_07.부대공사" xfId="1354"/>
    <cellStyle name="_기안용지,인사기록형식_조직표_조직표_1.측구공사-0_04.우수공(단지부)_07.포장공" xfId="1355"/>
    <cellStyle name="_기안용지,인사기록형식_조직표_조직표_1.측구공사-0_05.오수공" xfId="1356"/>
    <cellStyle name="_기안용지,인사기록형식_조직표_조직표_1.측구공사-0_05.오수공_07.부대공사" xfId="1357"/>
    <cellStyle name="_기안용지,인사기록형식_조직표_조직표_1.측구공사-0_05.오수공_07.부대공사_07.부대공사" xfId="1358"/>
    <cellStyle name="_기안용지,인사기록형식_조직표_조직표_1.측구공사-0_05.오수공_07.포장공" xfId="1359"/>
    <cellStyle name="_기안용지,인사기록형식_조직표_조직표_1.측구공사-0_07.부대공사" xfId="1360"/>
    <cellStyle name="_기안용지,인사기록형식_조직표_조직표_1.측구공사-0_07.부대공사_07.부대공사" xfId="1361"/>
    <cellStyle name="_기안용지,인사기록형식_조직표_조직표_1.측구공사-0_07.포장공" xfId="1362"/>
    <cellStyle name="_기안용지,인사기록형식_조직표_조직표_2.배수시설" xfId="1363"/>
    <cellStyle name="_기안용지,인사기록형식_조직표_조직표_2.배수시설_00.오수공(최종)" xfId="1364"/>
    <cellStyle name="_기안용지,인사기록형식_조직표_조직표_2.배수시설_00.오수공(최종)_07.부대공사" xfId="1365"/>
    <cellStyle name="_기안용지,인사기록형식_조직표_조직표_2.배수시설_00.오수공(최종)_07.부대공사_07.부대공사" xfId="1366"/>
    <cellStyle name="_기안용지,인사기록형식_조직표_조직표_2.배수시설_00.오수공(최종)_07.포장공" xfId="1367"/>
    <cellStyle name="_기안용지,인사기록형식_조직표_조직표_2.배수시설_00.우수공" xfId="1368"/>
    <cellStyle name="_기안용지,인사기록형식_조직표_조직표_2.배수시설_00.우수공_07.부대공사" xfId="1369"/>
    <cellStyle name="_기안용지,인사기록형식_조직표_조직표_2.배수시설_00.우수공_07.부대공사_07.부대공사" xfId="1370"/>
    <cellStyle name="_기안용지,인사기록형식_조직표_조직표_2.배수시설_00.우수공_07.포장공" xfId="1371"/>
    <cellStyle name="_기안용지,인사기록형식_조직표_조직표_2.배수시설_01.측구공사" xfId="1372"/>
    <cellStyle name="_기안용지,인사기록형식_조직표_조직표_2.배수시설_01.측구공사_00.오수공(최종)" xfId="1373"/>
    <cellStyle name="_기안용지,인사기록형식_조직표_조직표_2.배수시설_01.측구공사_00.오수공(최종)_07.부대공사" xfId="1374"/>
    <cellStyle name="_기안용지,인사기록형식_조직표_조직표_2.배수시설_01.측구공사_00.오수공(최종)_07.부대공사_07.부대공사" xfId="1375"/>
    <cellStyle name="_기안용지,인사기록형식_조직표_조직표_2.배수시설_01.측구공사_00.오수공(최종)_07.포장공" xfId="1376"/>
    <cellStyle name="_기안용지,인사기록형식_조직표_조직표_2.배수시설_01.측구공사_00.우수공" xfId="1377"/>
    <cellStyle name="_기안용지,인사기록형식_조직표_조직표_2.배수시설_01.측구공사_00.우수공_07.부대공사" xfId="1378"/>
    <cellStyle name="_기안용지,인사기록형식_조직표_조직표_2.배수시설_01.측구공사_00.우수공_07.부대공사_07.부대공사" xfId="1379"/>
    <cellStyle name="_기안용지,인사기록형식_조직표_조직표_2.배수시설_01.측구공사_00.우수공_07.포장공" xfId="1380"/>
    <cellStyle name="_기안용지,인사기록형식_조직표_조직표_2.배수시설_01.측구공사_04.우수공(단지부)" xfId="1381"/>
    <cellStyle name="_기안용지,인사기록형식_조직표_조직표_2.배수시설_01.측구공사_04.우수공(단지부)_07.부대공사" xfId="1382"/>
    <cellStyle name="_기안용지,인사기록형식_조직표_조직표_2.배수시설_01.측구공사_04.우수공(단지부)_07.부대공사_07.부대공사" xfId="1383"/>
    <cellStyle name="_기안용지,인사기록형식_조직표_조직표_2.배수시설_01.측구공사_04.우수공(단지부)_07.포장공" xfId="1384"/>
    <cellStyle name="_기안용지,인사기록형식_조직표_조직표_2.배수시설_01.측구공사_05.오수공" xfId="1385"/>
    <cellStyle name="_기안용지,인사기록형식_조직표_조직표_2.배수시설_01.측구공사_05.오수공_07.부대공사" xfId="1386"/>
    <cellStyle name="_기안용지,인사기록형식_조직표_조직표_2.배수시설_01.측구공사_05.오수공_07.부대공사_07.부대공사" xfId="1387"/>
    <cellStyle name="_기안용지,인사기록형식_조직표_조직표_2.배수시설_01.측구공사_05.오수공_07.포장공" xfId="1388"/>
    <cellStyle name="_기안용지,인사기록형식_조직표_조직표_2.배수시설_01.측구공사_07.부대공사" xfId="1389"/>
    <cellStyle name="_기안용지,인사기록형식_조직표_조직표_2.배수시설_01.측구공사_07.부대공사_07.부대공사" xfId="1390"/>
    <cellStyle name="_기안용지,인사기록형식_조직표_조직표_2.배수시설_01.측구공사_07.포장공" xfId="1391"/>
    <cellStyle name="_기안용지,인사기록형식_조직표_조직표_2.배수시설_04.우수공(단지부)" xfId="1392"/>
    <cellStyle name="_기안용지,인사기록형식_조직표_조직표_2.배수시설_04.우수공(단지부)_07.부대공사" xfId="1393"/>
    <cellStyle name="_기안용지,인사기록형식_조직표_조직표_2.배수시설_04.우수공(단지부)_07.부대공사_07.부대공사" xfId="1394"/>
    <cellStyle name="_기안용지,인사기록형식_조직표_조직표_2.배수시설_04.우수공(단지부)_07.포장공" xfId="1395"/>
    <cellStyle name="_기안용지,인사기록형식_조직표_조직표_2.배수시설_05.오수공" xfId="1396"/>
    <cellStyle name="_기안용지,인사기록형식_조직표_조직표_2.배수시설_05.오수공_07.부대공사" xfId="1397"/>
    <cellStyle name="_기안용지,인사기록형식_조직표_조직표_2.배수시설_05.오수공_07.부대공사_07.부대공사" xfId="1398"/>
    <cellStyle name="_기안용지,인사기록형식_조직표_조직표_2.배수시설_05.오수공_07.포장공" xfId="1399"/>
    <cellStyle name="_기안용지,인사기록형식_조직표_조직표_2.배수시설_07.부대공사" xfId="1400"/>
    <cellStyle name="_기안용지,인사기록형식_조직표_조직표_2.배수시설_07.부대공사_07.부대공사" xfId="1401"/>
    <cellStyle name="_기안용지,인사기록형식_조직표_조직표_2.배수시설_07.포장공" xfId="1402"/>
    <cellStyle name="_기안용지,인사기록형식_조직표_조직표_2.배수시설_1.측구공사" xfId="1403"/>
    <cellStyle name="_기안용지,인사기록형식_조직표_조직표_2.배수시설_1.측구공사_00.오수공(최종)" xfId="1404"/>
    <cellStyle name="_기안용지,인사기록형식_조직표_조직표_2.배수시설_1.측구공사_00.오수공(최종)_07.부대공사" xfId="1405"/>
    <cellStyle name="_기안용지,인사기록형식_조직표_조직표_2.배수시설_1.측구공사_00.오수공(최종)_07.부대공사_07.부대공사" xfId="1406"/>
    <cellStyle name="_기안용지,인사기록형식_조직표_조직표_2.배수시설_1.측구공사_00.오수공(최종)_07.포장공" xfId="1407"/>
    <cellStyle name="_기안용지,인사기록형식_조직표_조직표_2.배수시설_1.측구공사_00.우수공" xfId="1408"/>
    <cellStyle name="_기안용지,인사기록형식_조직표_조직표_2.배수시설_1.측구공사_00.우수공_07.부대공사" xfId="1409"/>
    <cellStyle name="_기안용지,인사기록형식_조직표_조직표_2.배수시설_1.측구공사_00.우수공_07.부대공사_07.부대공사" xfId="1410"/>
    <cellStyle name="_기안용지,인사기록형식_조직표_조직표_2.배수시설_1.측구공사_00.우수공_07.포장공" xfId="1411"/>
    <cellStyle name="_기안용지,인사기록형식_조직표_조직표_2.배수시설_1.측구공사_04.우수공(단지부)" xfId="1412"/>
    <cellStyle name="_기안용지,인사기록형식_조직표_조직표_2.배수시설_1.측구공사_04.우수공(단지부)_07.부대공사" xfId="1413"/>
    <cellStyle name="_기안용지,인사기록형식_조직표_조직표_2.배수시설_1.측구공사_04.우수공(단지부)_07.부대공사_07.부대공사" xfId="1414"/>
    <cellStyle name="_기안용지,인사기록형식_조직표_조직표_2.배수시설_1.측구공사_04.우수공(단지부)_07.포장공" xfId="1415"/>
    <cellStyle name="_기안용지,인사기록형식_조직표_조직표_2.배수시설_1.측구공사_05.오수공" xfId="1416"/>
    <cellStyle name="_기안용지,인사기록형식_조직표_조직표_2.배수시설_1.측구공사_05.오수공_07.부대공사" xfId="1417"/>
    <cellStyle name="_기안용지,인사기록형식_조직표_조직표_2.배수시설_1.측구공사_05.오수공_07.부대공사_07.부대공사" xfId="1418"/>
    <cellStyle name="_기안용지,인사기록형식_조직표_조직표_2.배수시설_1.측구공사_05.오수공_07.포장공" xfId="1419"/>
    <cellStyle name="_기안용지,인사기록형식_조직표_조직표_2.배수시설_1.측구공사_07.부대공사" xfId="1420"/>
    <cellStyle name="_기안용지,인사기록형식_조직표_조직표_2.배수시설_1.측구공사_07.부대공사_07.부대공사" xfId="1421"/>
    <cellStyle name="_기안용지,인사기록형식_조직표_조직표_2.배수시설_1.측구공사_07.포장공" xfId="1422"/>
    <cellStyle name="_기안용지,인사기록형식_조직표_조직표_2.배수시설_1.측구공사-0" xfId="1423"/>
    <cellStyle name="_기안용지,인사기록형식_조직표_조직표_2.배수시설_1.측구공사-0_00.오수공(최종)" xfId="1424"/>
    <cellStyle name="_기안용지,인사기록형식_조직표_조직표_2.배수시설_1.측구공사-0_00.오수공(최종)_07.부대공사" xfId="1425"/>
    <cellStyle name="_기안용지,인사기록형식_조직표_조직표_2.배수시설_1.측구공사-0_00.오수공(최종)_07.부대공사_07.부대공사" xfId="1426"/>
    <cellStyle name="_기안용지,인사기록형식_조직표_조직표_2.배수시설_1.측구공사-0_00.오수공(최종)_07.포장공" xfId="1427"/>
    <cellStyle name="_기안용지,인사기록형식_조직표_조직표_2.배수시설_1.측구공사-0_00.우수공" xfId="1428"/>
    <cellStyle name="_기안용지,인사기록형식_조직표_조직표_2.배수시설_1.측구공사-0_00.우수공_07.부대공사" xfId="1429"/>
    <cellStyle name="_기안용지,인사기록형식_조직표_조직표_2.배수시설_1.측구공사-0_00.우수공_07.부대공사_07.부대공사" xfId="1430"/>
    <cellStyle name="_기안용지,인사기록형식_조직표_조직표_2.배수시설_1.측구공사-0_00.우수공_07.포장공" xfId="1431"/>
    <cellStyle name="_기안용지,인사기록형식_조직표_조직표_2.배수시설_1.측구공사-0_04.우수공(단지부)" xfId="1432"/>
    <cellStyle name="_기안용지,인사기록형식_조직표_조직표_2.배수시설_1.측구공사-0_04.우수공(단지부)_07.부대공사" xfId="1433"/>
    <cellStyle name="_기안용지,인사기록형식_조직표_조직표_2.배수시설_1.측구공사-0_04.우수공(단지부)_07.부대공사_07.부대공사" xfId="1434"/>
    <cellStyle name="_기안용지,인사기록형식_조직표_조직표_2.배수시설_1.측구공사-0_04.우수공(단지부)_07.포장공" xfId="1435"/>
    <cellStyle name="_기안용지,인사기록형식_조직표_조직표_2.배수시설_1.측구공사-0_05.오수공" xfId="1436"/>
    <cellStyle name="_기안용지,인사기록형식_조직표_조직표_2.배수시설_1.측구공사-0_05.오수공_07.부대공사" xfId="1437"/>
    <cellStyle name="_기안용지,인사기록형식_조직표_조직표_2.배수시설_1.측구공사-0_05.오수공_07.부대공사_07.부대공사" xfId="1438"/>
    <cellStyle name="_기안용지,인사기록형식_조직표_조직표_2.배수시설_1.측구공사-0_05.오수공_07.포장공" xfId="1439"/>
    <cellStyle name="_기안용지,인사기록형식_조직표_조직표_2.배수시설_1.측구공사-0_07.부대공사" xfId="1440"/>
    <cellStyle name="_기안용지,인사기록형식_조직표_조직표_2.배수시설_1.측구공사-0_07.부대공사_07.부대공사" xfId="1441"/>
    <cellStyle name="_기안용지,인사기록형식_조직표_조직표_2.배수시설_1.측구공사-0_07.포장공" xfId="1442"/>
    <cellStyle name="_기안용지,인사기록형식_조직표_조직표_3.그린 조성공사" xfId="1443"/>
    <cellStyle name="_기안용지,인사기록형식_조직표_조직표_3.그린 조성공사_00.오수공(최종)" xfId="1444"/>
    <cellStyle name="_기안용지,인사기록형식_조직표_조직표_3.그린 조성공사_00.오수공(최종)_07.부대공사" xfId="1445"/>
    <cellStyle name="_기안용지,인사기록형식_조직표_조직표_3.그린 조성공사_00.오수공(최종)_07.부대공사_07.부대공사" xfId="1446"/>
    <cellStyle name="_기안용지,인사기록형식_조직표_조직표_3.그린 조성공사_00.오수공(최종)_07.포장공" xfId="1447"/>
    <cellStyle name="_기안용지,인사기록형식_조직표_조직표_3.그린 조성공사_00.우수공" xfId="1448"/>
    <cellStyle name="_기안용지,인사기록형식_조직표_조직표_3.그린 조성공사_00.우수공_07.부대공사" xfId="1449"/>
    <cellStyle name="_기안용지,인사기록형식_조직표_조직표_3.그린 조성공사_00.우수공_07.부대공사_07.부대공사" xfId="1450"/>
    <cellStyle name="_기안용지,인사기록형식_조직표_조직표_3.그린 조성공사_00.우수공_07.포장공" xfId="1451"/>
    <cellStyle name="_기안용지,인사기록형식_조직표_조직표_3.그린 조성공사_04.우수공(단지부)" xfId="1452"/>
    <cellStyle name="_기안용지,인사기록형식_조직표_조직표_3.그린 조성공사_04.우수공(단지부)_07.부대공사" xfId="1453"/>
    <cellStyle name="_기안용지,인사기록형식_조직표_조직표_3.그린 조성공사_04.우수공(단지부)_07.부대공사_07.부대공사" xfId="1454"/>
    <cellStyle name="_기안용지,인사기록형식_조직표_조직표_3.그린 조성공사_04.우수공(단지부)_07.포장공" xfId="1455"/>
    <cellStyle name="_기안용지,인사기록형식_조직표_조직표_3.그린 조성공사_05.오수공" xfId="1456"/>
    <cellStyle name="_기안용지,인사기록형식_조직표_조직표_3.그린 조성공사_05.오수공_07.부대공사" xfId="1457"/>
    <cellStyle name="_기안용지,인사기록형식_조직표_조직표_3.그린 조성공사_05.오수공_07.부대공사_07.부대공사" xfId="1458"/>
    <cellStyle name="_기안용지,인사기록형식_조직표_조직표_3.그린 조성공사_05.오수공_07.포장공" xfId="1459"/>
    <cellStyle name="_기안용지,인사기록형식_조직표_조직표_3.그린 조성공사_07.부대공사" xfId="1460"/>
    <cellStyle name="_기안용지,인사기록형식_조직표_조직표_3.그린 조성공사_07.부대공사_07.부대공사" xfId="1461"/>
    <cellStyle name="_기안용지,인사기록형식_조직표_조직표_3.그린 조성공사_07.포장공" xfId="1462"/>
    <cellStyle name="_기안용지,인사기록형식_조직표_조직표_3.그린 조성공사-0" xfId="1463"/>
    <cellStyle name="_기안용지,인사기록형식_조직표_조직표_3.그린 조성공사-0_00.오수공(최종)" xfId="1464"/>
    <cellStyle name="_기안용지,인사기록형식_조직표_조직표_3.그린 조성공사-0_00.오수공(최종)_07.부대공사" xfId="1465"/>
    <cellStyle name="_기안용지,인사기록형식_조직표_조직표_3.그린 조성공사-0_00.오수공(최종)_07.부대공사_07.부대공사" xfId="1466"/>
    <cellStyle name="_기안용지,인사기록형식_조직표_조직표_3.그린 조성공사-0_00.오수공(최종)_07.포장공" xfId="1467"/>
    <cellStyle name="_기안용지,인사기록형식_조직표_조직표_3.그린 조성공사-0_00.우수공" xfId="1468"/>
    <cellStyle name="_기안용지,인사기록형식_조직표_조직표_3.그린 조성공사-0_00.우수공_07.부대공사" xfId="1469"/>
    <cellStyle name="_기안용지,인사기록형식_조직표_조직표_3.그린 조성공사-0_00.우수공_07.부대공사_07.부대공사" xfId="1470"/>
    <cellStyle name="_기안용지,인사기록형식_조직표_조직표_3.그린 조성공사-0_00.우수공_07.포장공" xfId="1471"/>
    <cellStyle name="_기안용지,인사기록형식_조직표_조직표_3.그린 조성공사-0_04.우수공(단지부)" xfId="1472"/>
    <cellStyle name="_기안용지,인사기록형식_조직표_조직표_3.그린 조성공사-0_04.우수공(단지부)_07.부대공사" xfId="1473"/>
    <cellStyle name="_기안용지,인사기록형식_조직표_조직표_3.그린 조성공사-0_04.우수공(단지부)_07.부대공사_07.부대공사" xfId="1474"/>
    <cellStyle name="_기안용지,인사기록형식_조직표_조직표_3.그린 조성공사-0_04.우수공(단지부)_07.포장공" xfId="1475"/>
    <cellStyle name="_기안용지,인사기록형식_조직표_조직표_3.그린 조성공사-0_05.오수공" xfId="1476"/>
    <cellStyle name="_기안용지,인사기록형식_조직표_조직표_3.그린 조성공사-0_05.오수공_07.부대공사" xfId="1477"/>
    <cellStyle name="_기안용지,인사기록형식_조직표_조직표_3.그린 조성공사-0_05.오수공_07.부대공사_07.부대공사" xfId="1478"/>
    <cellStyle name="_기안용지,인사기록형식_조직표_조직표_3.그린 조성공사-0_05.오수공_07.포장공" xfId="1479"/>
    <cellStyle name="_기안용지,인사기록형식_조직표_조직표_3.그린 조성공사-0_07.부대공사" xfId="1480"/>
    <cellStyle name="_기안용지,인사기록형식_조직표_조직표_3.그린 조성공사-0_07.부대공사_07.부대공사" xfId="1481"/>
    <cellStyle name="_기안용지,인사기록형식_조직표_조직표_3.그린 조성공사-0_07.포장공" xfId="1482"/>
    <cellStyle name="_기안용지,인사기록형식_조직표_조직표_3.그린조성공사" xfId="1483"/>
    <cellStyle name="_기안용지,인사기록형식_조직표_조직표_3.그린조성공사_00.오수공(최종)" xfId="1484"/>
    <cellStyle name="_기안용지,인사기록형식_조직표_조직표_3.그린조성공사_00.오수공(최종)_07.부대공사" xfId="1485"/>
    <cellStyle name="_기안용지,인사기록형식_조직표_조직표_3.그린조성공사_00.오수공(최종)_07.부대공사_07.부대공사" xfId="1486"/>
    <cellStyle name="_기안용지,인사기록형식_조직표_조직표_3.그린조성공사_00.오수공(최종)_07.포장공" xfId="1487"/>
    <cellStyle name="_기안용지,인사기록형식_조직표_조직표_3.그린조성공사_00.우수공" xfId="1488"/>
    <cellStyle name="_기안용지,인사기록형식_조직표_조직표_3.그린조성공사_00.우수공_07.부대공사" xfId="1489"/>
    <cellStyle name="_기안용지,인사기록형식_조직표_조직표_3.그린조성공사_00.우수공_07.부대공사_07.부대공사" xfId="1490"/>
    <cellStyle name="_기안용지,인사기록형식_조직표_조직표_3.그린조성공사_00.우수공_07.포장공" xfId="1491"/>
    <cellStyle name="_기안용지,인사기록형식_조직표_조직표_3.그린조성공사_04.우수공(단지부)" xfId="1492"/>
    <cellStyle name="_기안용지,인사기록형식_조직표_조직표_3.그린조성공사_04.우수공(단지부)_07.부대공사" xfId="1493"/>
    <cellStyle name="_기안용지,인사기록형식_조직표_조직표_3.그린조성공사_04.우수공(단지부)_07.부대공사_07.부대공사" xfId="1494"/>
    <cellStyle name="_기안용지,인사기록형식_조직표_조직표_3.그린조성공사_04.우수공(단지부)_07.포장공" xfId="1495"/>
    <cellStyle name="_기안용지,인사기록형식_조직표_조직표_3.그린조성공사_05.오수공" xfId="1496"/>
    <cellStyle name="_기안용지,인사기록형식_조직표_조직표_3.그린조성공사_05.오수공_07.부대공사" xfId="1497"/>
    <cellStyle name="_기안용지,인사기록형식_조직표_조직표_3.그린조성공사_05.오수공_07.부대공사_07.부대공사" xfId="1498"/>
    <cellStyle name="_기안용지,인사기록형식_조직표_조직표_3.그린조성공사_05.오수공_07.포장공" xfId="1499"/>
    <cellStyle name="_기안용지,인사기록형식_조직표_조직표_3.그린조성공사_07.부대공사" xfId="1500"/>
    <cellStyle name="_기안용지,인사기록형식_조직표_조직표_3.그린조성공사_07.부대공사_07.부대공사" xfId="1501"/>
    <cellStyle name="_기안용지,인사기록형식_조직표_조직표_3.그린조성공사_07.포장공" xfId="1502"/>
    <cellStyle name="_기안용지,인사기록형식_조직표_조직표_4.TEE조성" xfId="1503"/>
    <cellStyle name="_기안용지,인사기록형식_조직표_조직표_4.TEE조성_00.오수공(최종)" xfId="1504"/>
    <cellStyle name="_기안용지,인사기록형식_조직표_조직표_4.TEE조성_00.오수공(최종)_07.부대공사" xfId="1505"/>
    <cellStyle name="_기안용지,인사기록형식_조직표_조직표_4.TEE조성_00.오수공(최종)_07.부대공사_07.부대공사" xfId="1506"/>
    <cellStyle name="_기안용지,인사기록형식_조직표_조직표_4.TEE조성_00.오수공(최종)_07.포장공" xfId="1507"/>
    <cellStyle name="_기안용지,인사기록형식_조직표_조직표_4.TEE조성_00.우수공" xfId="1508"/>
    <cellStyle name="_기안용지,인사기록형식_조직표_조직표_4.TEE조성_00.우수공_07.부대공사" xfId="1509"/>
    <cellStyle name="_기안용지,인사기록형식_조직표_조직표_4.TEE조성_00.우수공_07.부대공사_07.부대공사" xfId="1510"/>
    <cellStyle name="_기안용지,인사기록형식_조직표_조직표_4.TEE조성_00.우수공_07.포장공" xfId="1511"/>
    <cellStyle name="_기안용지,인사기록형식_조직표_조직표_4.TEE조성_04.우수공(단지부)" xfId="1512"/>
    <cellStyle name="_기안용지,인사기록형식_조직표_조직표_4.TEE조성_04.우수공(단지부)_07.부대공사" xfId="1513"/>
    <cellStyle name="_기안용지,인사기록형식_조직표_조직표_4.TEE조성_04.우수공(단지부)_07.부대공사_07.부대공사" xfId="1514"/>
    <cellStyle name="_기안용지,인사기록형식_조직표_조직표_4.TEE조성_04.우수공(단지부)_07.포장공" xfId="1515"/>
    <cellStyle name="_기안용지,인사기록형식_조직표_조직표_4.TEE조성_05.오수공" xfId="1516"/>
    <cellStyle name="_기안용지,인사기록형식_조직표_조직표_4.TEE조성_05.오수공_07.부대공사" xfId="1517"/>
    <cellStyle name="_기안용지,인사기록형식_조직표_조직표_4.TEE조성_05.오수공_07.부대공사_07.부대공사" xfId="1518"/>
    <cellStyle name="_기안용지,인사기록형식_조직표_조직표_4.TEE조성_05.오수공_07.포장공" xfId="1519"/>
    <cellStyle name="_기안용지,인사기록형식_조직표_조직표_4.TEE조성_07.부대공사" xfId="1520"/>
    <cellStyle name="_기안용지,인사기록형식_조직표_조직표_4.TEE조성_07.부대공사_07.부대공사" xfId="1521"/>
    <cellStyle name="_기안용지,인사기록형식_조직표_조직표_4.TEE조성_07.포장공" xfId="1522"/>
    <cellStyle name="_기안용지,인사기록형식_조직표_조직표_Book2" xfId="1523"/>
    <cellStyle name="_기안용지,인사기록형식_조직표_조직표_Book2_00.오수공(최종)" xfId="1524"/>
    <cellStyle name="_기안용지,인사기록형식_조직표_조직표_Book2_00.오수공(최종)_07.부대공사" xfId="1525"/>
    <cellStyle name="_기안용지,인사기록형식_조직표_조직표_Book2_00.오수공(최종)_07.부대공사_07.부대공사" xfId="1526"/>
    <cellStyle name="_기안용지,인사기록형식_조직표_조직표_Book2_00.오수공(최종)_07.포장공" xfId="1527"/>
    <cellStyle name="_기안용지,인사기록형식_조직표_조직표_Book2_00.우수공" xfId="1528"/>
    <cellStyle name="_기안용지,인사기록형식_조직표_조직표_Book2_00.우수공_07.부대공사" xfId="1529"/>
    <cellStyle name="_기안용지,인사기록형식_조직표_조직표_Book2_00.우수공_07.부대공사_07.부대공사" xfId="1530"/>
    <cellStyle name="_기안용지,인사기록형식_조직표_조직표_Book2_00.우수공_07.포장공" xfId="1531"/>
    <cellStyle name="_기안용지,인사기록형식_조직표_조직표_Book2_04.우수공(단지부)" xfId="1532"/>
    <cellStyle name="_기안용지,인사기록형식_조직표_조직표_Book2_04.우수공(단지부)_07.부대공사" xfId="1533"/>
    <cellStyle name="_기안용지,인사기록형식_조직표_조직표_Book2_04.우수공(단지부)_07.부대공사_07.부대공사" xfId="1534"/>
    <cellStyle name="_기안용지,인사기록형식_조직표_조직표_Book2_04.우수공(단지부)_07.포장공" xfId="1535"/>
    <cellStyle name="_기안용지,인사기록형식_조직표_조직표_Book2_05.오수공" xfId="1536"/>
    <cellStyle name="_기안용지,인사기록형식_조직표_조직표_Book2_05.오수공_07.부대공사" xfId="1537"/>
    <cellStyle name="_기안용지,인사기록형식_조직표_조직표_Book2_05.오수공_07.부대공사_07.부대공사" xfId="1538"/>
    <cellStyle name="_기안용지,인사기록형식_조직표_조직표_Book2_05.오수공_07.포장공" xfId="1539"/>
    <cellStyle name="_기안용지,인사기록형식_조직표_조직표_Book2_07.부대공사" xfId="1540"/>
    <cellStyle name="_기안용지,인사기록형식_조직표_조직표_Book2_07.부대공사_07.부대공사" xfId="1541"/>
    <cellStyle name="_기안용지,인사기록형식_조직표_조직표_Book2_07.포장공" xfId="1542"/>
    <cellStyle name="_내역서적용수량(참고)" xfId="1543"/>
    <cellStyle name="_대국교일반수량" xfId="1544"/>
    <cellStyle name="_별첨(계획서및실적서양식)" xfId="1545"/>
    <cellStyle name="_별첨(계획서및실적서양식)_1" xfId="1546"/>
    <cellStyle name="_복사본 03.연약지반처리공사(다짐말뚝)" xfId="1547"/>
    <cellStyle name="_비옥토_벌개제근_연약지반(최종)" xfId="1548"/>
    <cellStyle name="_소사도잘해라" xfId="1549"/>
    <cellStyle name="_수량" xfId="1550"/>
    <cellStyle name="_수목폐기물" xfId="1551"/>
    <cellStyle name="_암거공" xfId="1552"/>
    <cellStyle name="_암거공_05-소락1교-부대공수량" xfId="1553"/>
    <cellStyle name="_암거낙차부" xfId="1554"/>
    <cellStyle name="_암거낙차부_(12)PC암거수량산출(성남시)" xfId="1555"/>
    <cellStyle name="_양식" xfId="1556"/>
    <cellStyle name="_양식_1" xfId="1557"/>
    <cellStyle name="_양식_2" xfId="1558"/>
    <cellStyle name="_역T형옹벽,L형옹벽" xfId="1559"/>
    <cellStyle name="_우수공(대중)" xfId="1560"/>
    <cellStyle name="_유첨3(서식)" xfId="1561"/>
    <cellStyle name="_유첨3(서식)_1" xfId="1562"/>
    <cellStyle name="_일리안길수량산출" xfId="1563"/>
    <cellStyle name="_임목폐기물(주공)-최종0225" xfId="1564"/>
    <cellStyle name="_임목폐기물(주공)-최종-1" xfId="1565"/>
    <cellStyle name="_임목폐기물(주공)-최종-3" xfId="1566"/>
    <cellStyle name="_조직표" xfId="1567"/>
    <cellStyle name="_조직표_00.오수공(최종)" xfId="1568"/>
    <cellStyle name="_조직표_00.오수공(최종)_07.부대공사" xfId="1569"/>
    <cellStyle name="_조직표_00.오수공(최종)_07.부대공사_07.부대공사" xfId="1570"/>
    <cellStyle name="_조직표_00.오수공(최종)_07.포장공" xfId="1571"/>
    <cellStyle name="_조직표_00.우수공" xfId="1572"/>
    <cellStyle name="_조직표_00.우수공_07.부대공사" xfId="1573"/>
    <cellStyle name="_조직표_00.우수공_07.부대공사_07.부대공사" xfId="1574"/>
    <cellStyle name="_조직표_00.우수공_07.포장공" xfId="1575"/>
    <cellStyle name="_조직표_01.측구공사" xfId="1576"/>
    <cellStyle name="_조직표_01.측구공사_00.오수공(최종)" xfId="1577"/>
    <cellStyle name="_조직표_01.측구공사_00.오수공(최종)_07.부대공사" xfId="1578"/>
    <cellStyle name="_조직표_01.측구공사_00.오수공(최종)_07.부대공사_07.부대공사" xfId="1579"/>
    <cellStyle name="_조직표_01.측구공사_00.오수공(최종)_07.포장공" xfId="1580"/>
    <cellStyle name="_조직표_01.측구공사_00.우수공" xfId="1581"/>
    <cellStyle name="_조직표_01.측구공사_00.우수공_07.부대공사" xfId="1582"/>
    <cellStyle name="_조직표_01.측구공사_00.우수공_07.부대공사_07.부대공사" xfId="1583"/>
    <cellStyle name="_조직표_01.측구공사_00.우수공_07.포장공" xfId="1584"/>
    <cellStyle name="_조직표_01.측구공사_04.우수공(단지부)" xfId="1585"/>
    <cellStyle name="_조직표_01.측구공사_04.우수공(단지부)_07.부대공사" xfId="1586"/>
    <cellStyle name="_조직표_01.측구공사_04.우수공(단지부)_07.부대공사_07.부대공사" xfId="1587"/>
    <cellStyle name="_조직표_01.측구공사_04.우수공(단지부)_07.포장공" xfId="1588"/>
    <cellStyle name="_조직표_01.측구공사_05.오수공" xfId="1589"/>
    <cellStyle name="_조직표_01.측구공사_05.오수공_07.부대공사" xfId="1590"/>
    <cellStyle name="_조직표_01.측구공사_05.오수공_07.부대공사_07.부대공사" xfId="1591"/>
    <cellStyle name="_조직표_01.측구공사_05.오수공_07.포장공" xfId="1592"/>
    <cellStyle name="_조직표_01.측구공사_07.부대공사" xfId="1593"/>
    <cellStyle name="_조직표_01.측구공사_07.부대공사_07.부대공사" xfId="1594"/>
    <cellStyle name="_조직표_01.측구공사_07.포장공" xfId="1595"/>
    <cellStyle name="_조직표_03.그린 조성공사" xfId="1596"/>
    <cellStyle name="_조직표_03.그린 조성공사_00.오수공(최종)" xfId="1597"/>
    <cellStyle name="_조직표_03.그린 조성공사_00.오수공(최종)_07.부대공사" xfId="1598"/>
    <cellStyle name="_조직표_03.그린 조성공사_00.오수공(최종)_07.부대공사_07.부대공사" xfId="1599"/>
    <cellStyle name="_조직표_03.그린 조성공사_00.오수공(최종)_07.포장공" xfId="1600"/>
    <cellStyle name="_조직표_03.그린 조성공사_00.우수공" xfId="1601"/>
    <cellStyle name="_조직표_03.그린 조성공사_00.우수공_07.부대공사" xfId="1602"/>
    <cellStyle name="_조직표_03.그린 조성공사_00.우수공_07.부대공사_07.부대공사" xfId="1603"/>
    <cellStyle name="_조직표_03.그린 조성공사_00.우수공_07.포장공" xfId="1604"/>
    <cellStyle name="_조직표_03.그린 조성공사_04.우수공(단지부)" xfId="1605"/>
    <cellStyle name="_조직표_03.그린 조성공사_04.우수공(단지부)_07.부대공사" xfId="1606"/>
    <cellStyle name="_조직표_03.그린 조성공사_04.우수공(단지부)_07.부대공사_07.부대공사" xfId="1607"/>
    <cellStyle name="_조직표_03.그린 조성공사_04.우수공(단지부)_07.포장공" xfId="1608"/>
    <cellStyle name="_조직표_03.그린 조성공사_05.오수공" xfId="1609"/>
    <cellStyle name="_조직표_03.그린 조성공사_05.오수공_07.부대공사" xfId="1610"/>
    <cellStyle name="_조직표_03.그린 조성공사_05.오수공_07.부대공사_07.부대공사" xfId="1611"/>
    <cellStyle name="_조직표_03.그린 조성공사_05.오수공_07.포장공" xfId="1612"/>
    <cellStyle name="_조직표_03.그린 조성공사_07.부대공사" xfId="1613"/>
    <cellStyle name="_조직표_03.그린 조성공사_07.부대공사_07.부대공사" xfId="1614"/>
    <cellStyle name="_조직표_03.그린 조성공사_07.포장공" xfId="1615"/>
    <cellStyle name="_조직표_04.우수공(단지부)" xfId="1616"/>
    <cellStyle name="_조직표_04.우수공(단지부)_07.부대공사" xfId="1617"/>
    <cellStyle name="_조직표_04.우수공(단지부)_07.부대공사_07.부대공사" xfId="1618"/>
    <cellStyle name="_조직표_04.우수공(단지부)_07.포장공" xfId="1619"/>
    <cellStyle name="_조직표_04.표면 배수공사" xfId="1620"/>
    <cellStyle name="_조직표_04.표면 배수공사_00.오수공(최종)" xfId="1621"/>
    <cellStyle name="_조직표_04.표면 배수공사_00.오수공(최종)_07.부대공사" xfId="1622"/>
    <cellStyle name="_조직표_04.표면 배수공사_00.오수공(최종)_07.부대공사_07.부대공사" xfId="1623"/>
    <cellStyle name="_조직표_04.표면 배수공사_00.오수공(최종)_07.포장공" xfId="1624"/>
    <cellStyle name="_조직표_04.표면 배수공사_00.우수공" xfId="1625"/>
    <cellStyle name="_조직표_04.표면 배수공사_00.우수공_07.부대공사" xfId="1626"/>
    <cellStyle name="_조직표_04.표면 배수공사_00.우수공_07.부대공사_07.부대공사" xfId="1627"/>
    <cellStyle name="_조직표_04.표면 배수공사_00.우수공_07.포장공" xfId="1628"/>
    <cellStyle name="_조직표_04.표면 배수공사_04.우수공(단지부)" xfId="1629"/>
    <cellStyle name="_조직표_04.표면 배수공사_04.우수공(단지부)_07.부대공사" xfId="1630"/>
    <cellStyle name="_조직표_04.표면 배수공사_04.우수공(단지부)_07.부대공사_07.부대공사" xfId="1631"/>
    <cellStyle name="_조직표_04.표면 배수공사_04.우수공(단지부)_07.포장공" xfId="1632"/>
    <cellStyle name="_조직표_04.표면 배수공사_05.오수공" xfId="1633"/>
    <cellStyle name="_조직표_04.표면 배수공사_05.오수공_07.부대공사" xfId="1634"/>
    <cellStyle name="_조직표_04.표면 배수공사_05.오수공_07.부대공사_07.부대공사" xfId="1635"/>
    <cellStyle name="_조직표_04.표면 배수공사_05.오수공_07.포장공" xfId="1636"/>
    <cellStyle name="_조직표_04.표면 배수공사_07.부대공사" xfId="1637"/>
    <cellStyle name="_조직표_04.표면 배수공사_07.부대공사_07.부대공사" xfId="1638"/>
    <cellStyle name="_조직표_04.표면 배수공사_07.포장공" xfId="1639"/>
    <cellStyle name="_조직표_05.그린 조성공사" xfId="1640"/>
    <cellStyle name="_조직표_05.그린 조성공사_00.오수공(최종)" xfId="1641"/>
    <cellStyle name="_조직표_05.그린 조성공사_00.오수공(최종)_07.부대공사" xfId="1642"/>
    <cellStyle name="_조직표_05.그린 조성공사_00.오수공(최종)_07.부대공사_07.부대공사" xfId="1643"/>
    <cellStyle name="_조직표_05.그린 조성공사_00.오수공(최종)_07.포장공" xfId="1644"/>
    <cellStyle name="_조직표_05.그린 조성공사_00.우수공" xfId="1645"/>
    <cellStyle name="_조직표_05.그린 조성공사_00.우수공_07.부대공사" xfId="1646"/>
    <cellStyle name="_조직표_05.그린 조성공사_00.우수공_07.부대공사_07.부대공사" xfId="1647"/>
    <cellStyle name="_조직표_05.그린 조성공사_00.우수공_07.포장공" xfId="1648"/>
    <cellStyle name="_조직표_05.그린 조성공사_04.우수공(단지부)" xfId="1649"/>
    <cellStyle name="_조직표_05.그린 조성공사_04.우수공(단지부)_07.부대공사" xfId="1650"/>
    <cellStyle name="_조직표_05.그린 조성공사_04.우수공(단지부)_07.부대공사_07.부대공사" xfId="1651"/>
    <cellStyle name="_조직표_05.그린 조성공사_04.우수공(단지부)_07.포장공" xfId="1652"/>
    <cellStyle name="_조직표_05.그린 조성공사_05.오수공" xfId="1653"/>
    <cellStyle name="_조직표_05.그린 조성공사_05.오수공_07.부대공사" xfId="1654"/>
    <cellStyle name="_조직표_05.그린 조성공사_05.오수공_07.부대공사_07.부대공사" xfId="1655"/>
    <cellStyle name="_조직표_05.그린 조성공사_05.오수공_07.포장공" xfId="1656"/>
    <cellStyle name="_조직표_05.그린 조성공사_07.부대공사" xfId="1657"/>
    <cellStyle name="_조직표_05.그린 조성공사_07.부대공사_07.부대공사" xfId="1658"/>
    <cellStyle name="_조직표_05.그린 조성공사_07.포장공" xfId="1659"/>
    <cellStyle name="_조직표_05.오수공" xfId="1660"/>
    <cellStyle name="_조직표_05.오수공_07.부대공사" xfId="1661"/>
    <cellStyle name="_조직표_05.오수공_07.부대공사_07.부대공사" xfId="1662"/>
    <cellStyle name="_조직표_05.오수공_07.포장공" xfId="1663"/>
    <cellStyle name="_조직표_07.부대공사" xfId="1664"/>
    <cellStyle name="_조직표_07.부대공사_07.부대공사" xfId="1665"/>
    <cellStyle name="_조직표_07.포장공" xfId="1666"/>
    <cellStyle name="_조직표_07.포장공(중2-57)" xfId="1667"/>
    <cellStyle name="_조직표_1.측구공사" xfId="1668"/>
    <cellStyle name="_조직표_1.측구공사_00.오수공(최종)" xfId="1669"/>
    <cellStyle name="_조직표_1.측구공사_00.오수공(최종)_07.부대공사" xfId="1670"/>
    <cellStyle name="_조직표_1.측구공사_00.오수공(최종)_07.부대공사_07.부대공사" xfId="1671"/>
    <cellStyle name="_조직표_1.측구공사_00.오수공(최종)_07.포장공" xfId="1672"/>
    <cellStyle name="_조직표_1.측구공사_00.우수공" xfId="1673"/>
    <cellStyle name="_조직표_1.측구공사_00.우수공_07.부대공사" xfId="1674"/>
    <cellStyle name="_조직표_1.측구공사_00.우수공_07.부대공사_07.부대공사" xfId="1675"/>
    <cellStyle name="_조직표_1.측구공사_00.우수공_07.포장공" xfId="1676"/>
    <cellStyle name="_조직표_1.측구공사_04.우수공(단지부)" xfId="1677"/>
    <cellStyle name="_조직표_1.측구공사_04.우수공(단지부)_07.부대공사" xfId="1678"/>
    <cellStyle name="_조직표_1.측구공사_04.우수공(단지부)_07.부대공사_07.부대공사" xfId="1679"/>
    <cellStyle name="_조직표_1.측구공사_04.우수공(단지부)_07.포장공" xfId="1680"/>
    <cellStyle name="_조직표_1.측구공사_05.오수공" xfId="1681"/>
    <cellStyle name="_조직표_1.측구공사_05.오수공_07.부대공사" xfId="1682"/>
    <cellStyle name="_조직표_1.측구공사_05.오수공_07.부대공사_07.부대공사" xfId="1683"/>
    <cellStyle name="_조직표_1.측구공사_05.오수공_07.포장공" xfId="1684"/>
    <cellStyle name="_조직표_1.측구공사_07.부대공사" xfId="1685"/>
    <cellStyle name="_조직표_1.측구공사_07.부대공사_07.부대공사" xfId="1686"/>
    <cellStyle name="_조직표_1.측구공사_07.포장공" xfId="1687"/>
    <cellStyle name="_조직표_1.측구공사-0" xfId="1688"/>
    <cellStyle name="_조직표_1.측구공사-0_00.오수공(최종)" xfId="1689"/>
    <cellStyle name="_조직표_1.측구공사-0_00.오수공(최종)_07.부대공사" xfId="1690"/>
    <cellStyle name="_조직표_1.측구공사-0_00.오수공(최종)_07.부대공사_07.부대공사" xfId="1691"/>
    <cellStyle name="_조직표_1.측구공사-0_00.오수공(최종)_07.포장공" xfId="1692"/>
    <cellStyle name="_조직표_1.측구공사-0_00.우수공" xfId="1693"/>
    <cellStyle name="_조직표_1.측구공사-0_00.우수공_07.부대공사" xfId="1694"/>
    <cellStyle name="_조직표_1.측구공사-0_00.우수공_07.부대공사_07.부대공사" xfId="1695"/>
    <cellStyle name="_조직표_1.측구공사-0_00.우수공_07.포장공" xfId="1696"/>
    <cellStyle name="_조직표_1.측구공사-0_04.우수공(단지부)" xfId="1697"/>
    <cellStyle name="_조직표_1.측구공사-0_04.우수공(단지부)_07.부대공사" xfId="1698"/>
    <cellStyle name="_조직표_1.측구공사-0_04.우수공(단지부)_07.부대공사_07.부대공사" xfId="1699"/>
    <cellStyle name="_조직표_1.측구공사-0_04.우수공(단지부)_07.포장공" xfId="1700"/>
    <cellStyle name="_조직표_1.측구공사-0_05.오수공" xfId="1701"/>
    <cellStyle name="_조직표_1.측구공사-0_05.오수공_07.부대공사" xfId="1702"/>
    <cellStyle name="_조직표_1.측구공사-0_05.오수공_07.부대공사_07.부대공사" xfId="1703"/>
    <cellStyle name="_조직표_1.측구공사-0_05.오수공_07.포장공" xfId="1704"/>
    <cellStyle name="_조직표_1.측구공사-0_07.부대공사" xfId="1705"/>
    <cellStyle name="_조직표_1.측구공사-0_07.부대공사_07.부대공사" xfId="1706"/>
    <cellStyle name="_조직표_1.측구공사-0_07.포장공" xfId="1707"/>
    <cellStyle name="_조직표_2.배수시설" xfId="1708"/>
    <cellStyle name="_조직표_2.배수시설_00.오수공(최종)" xfId="1709"/>
    <cellStyle name="_조직표_2.배수시설_00.오수공(최종)_07.부대공사" xfId="1710"/>
    <cellStyle name="_조직표_2.배수시설_00.오수공(최종)_07.부대공사_07.부대공사" xfId="1711"/>
    <cellStyle name="_조직표_2.배수시설_00.오수공(최종)_07.포장공" xfId="1712"/>
    <cellStyle name="_조직표_2.배수시설_00.우수공" xfId="1713"/>
    <cellStyle name="_조직표_2.배수시설_00.우수공_07.부대공사" xfId="1714"/>
    <cellStyle name="_조직표_2.배수시설_00.우수공_07.부대공사_07.부대공사" xfId="1715"/>
    <cellStyle name="_조직표_2.배수시설_00.우수공_07.포장공" xfId="1716"/>
    <cellStyle name="_조직표_2.배수시설_01.측구공사" xfId="1717"/>
    <cellStyle name="_조직표_2.배수시설_01.측구공사_00.오수공(최종)" xfId="1718"/>
    <cellStyle name="_조직표_2.배수시설_01.측구공사_00.오수공(최종)_07.부대공사" xfId="1719"/>
    <cellStyle name="_조직표_2.배수시설_01.측구공사_00.오수공(최종)_07.부대공사_07.부대공사" xfId="1720"/>
    <cellStyle name="_조직표_2.배수시설_01.측구공사_00.오수공(최종)_07.포장공" xfId="1721"/>
    <cellStyle name="_조직표_2.배수시설_01.측구공사_00.우수공" xfId="1722"/>
    <cellStyle name="_조직표_2.배수시설_01.측구공사_00.우수공_07.부대공사" xfId="1723"/>
    <cellStyle name="_조직표_2.배수시설_01.측구공사_00.우수공_07.부대공사_07.부대공사" xfId="1724"/>
    <cellStyle name="_조직표_2.배수시설_01.측구공사_00.우수공_07.포장공" xfId="1725"/>
    <cellStyle name="_조직표_2.배수시설_01.측구공사_04.우수공(단지부)" xfId="1726"/>
    <cellStyle name="_조직표_2.배수시설_01.측구공사_04.우수공(단지부)_07.부대공사" xfId="1727"/>
    <cellStyle name="_조직표_2.배수시설_01.측구공사_04.우수공(단지부)_07.부대공사_07.부대공사" xfId="1728"/>
    <cellStyle name="_조직표_2.배수시설_01.측구공사_04.우수공(단지부)_07.포장공" xfId="1729"/>
    <cellStyle name="_조직표_2.배수시설_01.측구공사_05.오수공" xfId="1730"/>
    <cellStyle name="_조직표_2.배수시설_01.측구공사_05.오수공_07.부대공사" xfId="1731"/>
    <cellStyle name="_조직표_2.배수시설_01.측구공사_05.오수공_07.부대공사_07.부대공사" xfId="1732"/>
    <cellStyle name="_조직표_2.배수시설_01.측구공사_05.오수공_07.포장공" xfId="1733"/>
    <cellStyle name="_조직표_2.배수시설_01.측구공사_07.부대공사" xfId="1734"/>
    <cellStyle name="_조직표_2.배수시설_01.측구공사_07.부대공사_07.부대공사" xfId="1735"/>
    <cellStyle name="_조직표_2.배수시설_01.측구공사_07.포장공" xfId="1736"/>
    <cellStyle name="_조직표_2.배수시설_04.우수공(단지부)" xfId="1737"/>
    <cellStyle name="_조직표_2.배수시설_04.우수공(단지부)_07.부대공사" xfId="1738"/>
    <cellStyle name="_조직표_2.배수시설_04.우수공(단지부)_07.부대공사_07.부대공사" xfId="1739"/>
    <cellStyle name="_조직표_2.배수시설_04.우수공(단지부)_07.포장공" xfId="1740"/>
    <cellStyle name="_조직표_2.배수시설_05.오수공" xfId="1741"/>
    <cellStyle name="_조직표_2.배수시설_05.오수공_07.부대공사" xfId="1742"/>
    <cellStyle name="_조직표_2.배수시설_05.오수공_07.부대공사_07.부대공사" xfId="1743"/>
    <cellStyle name="_조직표_2.배수시설_05.오수공_07.포장공" xfId="1744"/>
    <cellStyle name="_조직표_2.배수시설_07.부대공사" xfId="1745"/>
    <cellStyle name="_조직표_2.배수시설_07.부대공사_07.부대공사" xfId="1746"/>
    <cellStyle name="_조직표_2.배수시설_07.포장공" xfId="1747"/>
    <cellStyle name="_조직표_2.배수시설_1.측구공사" xfId="1748"/>
    <cellStyle name="_조직표_2.배수시설_1.측구공사_00.오수공(최종)" xfId="1749"/>
    <cellStyle name="_조직표_2.배수시설_1.측구공사_00.오수공(최종)_07.부대공사" xfId="1750"/>
    <cellStyle name="_조직표_2.배수시설_1.측구공사_00.오수공(최종)_07.부대공사_07.부대공사" xfId="1751"/>
    <cellStyle name="_조직표_2.배수시설_1.측구공사_00.오수공(최종)_07.포장공" xfId="1752"/>
    <cellStyle name="_조직표_2.배수시설_1.측구공사_00.우수공" xfId="1753"/>
    <cellStyle name="_조직표_2.배수시설_1.측구공사_00.우수공_07.부대공사" xfId="1754"/>
    <cellStyle name="_조직표_2.배수시설_1.측구공사_00.우수공_07.부대공사_07.부대공사" xfId="1755"/>
    <cellStyle name="_조직표_2.배수시설_1.측구공사_00.우수공_07.포장공" xfId="1756"/>
    <cellStyle name="_조직표_2.배수시설_1.측구공사_04.우수공(단지부)" xfId="1757"/>
    <cellStyle name="_조직표_2.배수시설_1.측구공사_04.우수공(단지부)_07.부대공사" xfId="1758"/>
    <cellStyle name="_조직표_2.배수시설_1.측구공사_04.우수공(단지부)_07.부대공사_07.부대공사" xfId="1759"/>
    <cellStyle name="_조직표_2.배수시설_1.측구공사_04.우수공(단지부)_07.포장공" xfId="1760"/>
    <cellStyle name="_조직표_2.배수시설_1.측구공사_05.오수공" xfId="1761"/>
    <cellStyle name="_조직표_2.배수시설_1.측구공사_05.오수공_07.부대공사" xfId="1762"/>
    <cellStyle name="_조직표_2.배수시설_1.측구공사_05.오수공_07.부대공사_07.부대공사" xfId="1763"/>
    <cellStyle name="_조직표_2.배수시설_1.측구공사_05.오수공_07.포장공" xfId="1764"/>
    <cellStyle name="_조직표_2.배수시설_1.측구공사_07.부대공사" xfId="1765"/>
    <cellStyle name="_조직표_2.배수시설_1.측구공사_07.부대공사_07.부대공사" xfId="1766"/>
    <cellStyle name="_조직표_2.배수시설_1.측구공사_07.포장공" xfId="1767"/>
    <cellStyle name="_조직표_2.배수시설_1.측구공사-0" xfId="1768"/>
    <cellStyle name="_조직표_2.배수시설_1.측구공사-0_00.오수공(최종)" xfId="1769"/>
    <cellStyle name="_조직표_2.배수시설_1.측구공사-0_00.오수공(최종)_07.부대공사" xfId="1770"/>
    <cellStyle name="_조직표_2.배수시설_1.측구공사-0_00.오수공(최종)_07.부대공사_07.부대공사" xfId="1771"/>
    <cellStyle name="_조직표_2.배수시설_1.측구공사-0_00.오수공(최종)_07.포장공" xfId="1772"/>
    <cellStyle name="_조직표_2.배수시설_1.측구공사-0_00.우수공" xfId="1773"/>
    <cellStyle name="_조직표_2.배수시설_1.측구공사-0_00.우수공_07.부대공사" xfId="1774"/>
    <cellStyle name="_조직표_2.배수시설_1.측구공사-0_00.우수공_07.부대공사_07.부대공사" xfId="1775"/>
    <cellStyle name="_조직표_2.배수시설_1.측구공사-0_00.우수공_07.포장공" xfId="1776"/>
    <cellStyle name="_조직표_2.배수시설_1.측구공사-0_04.우수공(단지부)" xfId="1777"/>
    <cellStyle name="_조직표_2.배수시설_1.측구공사-0_04.우수공(단지부)_07.부대공사" xfId="1778"/>
    <cellStyle name="_조직표_2.배수시설_1.측구공사-0_04.우수공(단지부)_07.부대공사_07.부대공사" xfId="1779"/>
    <cellStyle name="_조직표_2.배수시설_1.측구공사-0_04.우수공(단지부)_07.포장공" xfId="1780"/>
    <cellStyle name="_조직표_2.배수시설_1.측구공사-0_05.오수공" xfId="1781"/>
    <cellStyle name="_조직표_2.배수시설_1.측구공사-0_05.오수공_07.부대공사" xfId="1782"/>
    <cellStyle name="_조직표_2.배수시설_1.측구공사-0_05.오수공_07.부대공사_07.부대공사" xfId="1783"/>
    <cellStyle name="_조직표_2.배수시설_1.측구공사-0_05.오수공_07.포장공" xfId="1784"/>
    <cellStyle name="_조직표_2.배수시설_1.측구공사-0_07.부대공사" xfId="1785"/>
    <cellStyle name="_조직표_2.배수시설_1.측구공사-0_07.부대공사_07.부대공사" xfId="1786"/>
    <cellStyle name="_조직표_2.배수시설_1.측구공사-0_07.포장공" xfId="1787"/>
    <cellStyle name="_조직표_3.그린 조성공사" xfId="1788"/>
    <cellStyle name="_조직표_3.그린 조성공사_00.오수공(최종)" xfId="1789"/>
    <cellStyle name="_조직표_3.그린 조성공사_00.오수공(최종)_07.부대공사" xfId="1790"/>
    <cellStyle name="_조직표_3.그린 조성공사_00.오수공(최종)_07.부대공사_07.부대공사" xfId="1791"/>
    <cellStyle name="_조직표_3.그린 조성공사_00.오수공(최종)_07.포장공" xfId="1792"/>
    <cellStyle name="_조직표_3.그린 조성공사_00.우수공" xfId="1793"/>
    <cellStyle name="_조직표_3.그린 조성공사_00.우수공_07.부대공사" xfId="1794"/>
    <cellStyle name="_조직표_3.그린 조성공사_00.우수공_07.부대공사_07.부대공사" xfId="1795"/>
    <cellStyle name="_조직표_3.그린 조성공사_00.우수공_07.포장공" xfId="1796"/>
    <cellStyle name="_조직표_3.그린 조성공사_04.우수공(단지부)" xfId="1797"/>
    <cellStyle name="_조직표_3.그린 조성공사_04.우수공(단지부)_07.부대공사" xfId="1798"/>
    <cellStyle name="_조직표_3.그린 조성공사_04.우수공(단지부)_07.부대공사_07.부대공사" xfId="1799"/>
    <cellStyle name="_조직표_3.그린 조성공사_04.우수공(단지부)_07.포장공" xfId="1800"/>
    <cellStyle name="_조직표_3.그린 조성공사_05.오수공" xfId="1801"/>
    <cellStyle name="_조직표_3.그린 조성공사_05.오수공_07.부대공사" xfId="1802"/>
    <cellStyle name="_조직표_3.그린 조성공사_05.오수공_07.부대공사_07.부대공사" xfId="1803"/>
    <cellStyle name="_조직표_3.그린 조성공사_05.오수공_07.포장공" xfId="1804"/>
    <cellStyle name="_조직표_3.그린 조성공사_07.부대공사" xfId="1805"/>
    <cellStyle name="_조직표_3.그린 조성공사_07.부대공사_07.부대공사" xfId="1806"/>
    <cellStyle name="_조직표_3.그린 조성공사_07.포장공" xfId="1807"/>
    <cellStyle name="_조직표_3.그린 조성공사-0" xfId="1808"/>
    <cellStyle name="_조직표_3.그린 조성공사-0_00.오수공(최종)" xfId="1809"/>
    <cellStyle name="_조직표_3.그린 조성공사-0_00.오수공(최종)_07.부대공사" xfId="1810"/>
    <cellStyle name="_조직표_3.그린 조성공사-0_00.오수공(최종)_07.부대공사_07.부대공사" xfId="1811"/>
    <cellStyle name="_조직표_3.그린 조성공사-0_00.오수공(최종)_07.포장공" xfId="1812"/>
    <cellStyle name="_조직표_3.그린 조성공사-0_00.우수공" xfId="1813"/>
    <cellStyle name="_조직표_3.그린 조성공사-0_00.우수공_07.부대공사" xfId="1814"/>
    <cellStyle name="_조직표_3.그린 조성공사-0_00.우수공_07.부대공사_07.부대공사" xfId="1815"/>
    <cellStyle name="_조직표_3.그린 조성공사-0_00.우수공_07.포장공" xfId="1816"/>
    <cellStyle name="_조직표_3.그린 조성공사-0_04.우수공(단지부)" xfId="1817"/>
    <cellStyle name="_조직표_3.그린 조성공사-0_04.우수공(단지부)_07.부대공사" xfId="1818"/>
    <cellStyle name="_조직표_3.그린 조성공사-0_04.우수공(단지부)_07.부대공사_07.부대공사" xfId="1819"/>
    <cellStyle name="_조직표_3.그린 조성공사-0_04.우수공(단지부)_07.포장공" xfId="1820"/>
    <cellStyle name="_조직표_3.그린 조성공사-0_05.오수공" xfId="1821"/>
    <cellStyle name="_조직표_3.그린 조성공사-0_05.오수공_07.부대공사" xfId="1822"/>
    <cellStyle name="_조직표_3.그린 조성공사-0_05.오수공_07.부대공사_07.부대공사" xfId="1823"/>
    <cellStyle name="_조직표_3.그린 조성공사-0_05.오수공_07.포장공" xfId="1824"/>
    <cellStyle name="_조직표_3.그린 조성공사-0_07.부대공사" xfId="1825"/>
    <cellStyle name="_조직표_3.그린 조성공사-0_07.부대공사_07.부대공사" xfId="1826"/>
    <cellStyle name="_조직표_3.그린 조성공사-0_07.포장공" xfId="1827"/>
    <cellStyle name="_조직표_3.그린조성공사" xfId="1828"/>
    <cellStyle name="_조직표_3.그린조성공사_00.오수공(최종)" xfId="1829"/>
    <cellStyle name="_조직표_3.그린조성공사_00.오수공(최종)_07.부대공사" xfId="1830"/>
    <cellStyle name="_조직표_3.그린조성공사_00.오수공(최종)_07.부대공사_07.부대공사" xfId="1831"/>
    <cellStyle name="_조직표_3.그린조성공사_00.오수공(최종)_07.포장공" xfId="1832"/>
    <cellStyle name="_조직표_3.그린조성공사_00.우수공" xfId="1833"/>
    <cellStyle name="_조직표_3.그린조성공사_00.우수공_07.부대공사" xfId="1834"/>
    <cellStyle name="_조직표_3.그린조성공사_00.우수공_07.부대공사_07.부대공사" xfId="1835"/>
    <cellStyle name="_조직표_3.그린조성공사_00.우수공_07.포장공" xfId="1836"/>
    <cellStyle name="_조직표_3.그린조성공사_04.우수공(단지부)" xfId="1837"/>
    <cellStyle name="_조직표_3.그린조성공사_04.우수공(단지부)_07.부대공사" xfId="1838"/>
    <cellStyle name="_조직표_3.그린조성공사_04.우수공(단지부)_07.부대공사_07.부대공사" xfId="1839"/>
    <cellStyle name="_조직표_3.그린조성공사_04.우수공(단지부)_07.포장공" xfId="1840"/>
    <cellStyle name="_조직표_3.그린조성공사_05.오수공" xfId="1841"/>
    <cellStyle name="_조직표_3.그린조성공사_05.오수공_07.부대공사" xfId="1842"/>
    <cellStyle name="_조직표_3.그린조성공사_05.오수공_07.부대공사_07.부대공사" xfId="1843"/>
    <cellStyle name="_조직표_3.그린조성공사_05.오수공_07.포장공" xfId="1844"/>
    <cellStyle name="_조직표_3.그린조성공사_07.부대공사" xfId="1845"/>
    <cellStyle name="_조직표_3.그린조성공사_07.부대공사_07.부대공사" xfId="1846"/>
    <cellStyle name="_조직표_3.그린조성공사_07.포장공" xfId="1847"/>
    <cellStyle name="_조직표_4.TEE조성" xfId="1848"/>
    <cellStyle name="_조직표_4.TEE조성_00.오수공(최종)" xfId="1849"/>
    <cellStyle name="_조직표_4.TEE조성_00.오수공(최종)_07.부대공사" xfId="1850"/>
    <cellStyle name="_조직표_4.TEE조성_00.오수공(최종)_07.부대공사_07.부대공사" xfId="1851"/>
    <cellStyle name="_조직표_4.TEE조성_00.오수공(최종)_07.포장공" xfId="1852"/>
    <cellStyle name="_조직표_4.TEE조성_00.우수공" xfId="1853"/>
    <cellStyle name="_조직표_4.TEE조성_00.우수공_07.부대공사" xfId="1854"/>
    <cellStyle name="_조직표_4.TEE조성_00.우수공_07.부대공사_07.부대공사" xfId="1855"/>
    <cellStyle name="_조직표_4.TEE조성_00.우수공_07.포장공" xfId="1856"/>
    <cellStyle name="_조직표_4.TEE조성_04.우수공(단지부)" xfId="1857"/>
    <cellStyle name="_조직표_4.TEE조성_04.우수공(단지부)_07.부대공사" xfId="1858"/>
    <cellStyle name="_조직표_4.TEE조성_04.우수공(단지부)_07.부대공사_07.부대공사" xfId="1859"/>
    <cellStyle name="_조직표_4.TEE조성_04.우수공(단지부)_07.포장공" xfId="1860"/>
    <cellStyle name="_조직표_4.TEE조성_05.오수공" xfId="1861"/>
    <cellStyle name="_조직표_4.TEE조성_05.오수공_07.부대공사" xfId="1862"/>
    <cellStyle name="_조직표_4.TEE조성_05.오수공_07.부대공사_07.부대공사" xfId="1863"/>
    <cellStyle name="_조직표_4.TEE조성_05.오수공_07.포장공" xfId="1864"/>
    <cellStyle name="_조직표_4.TEE조성_07.부대공사" xfId="1865"/>
    <cellStyle name="_조직표_4.TEE조성_07.부대공사_07.부대공사" xfId="1866"/>
    <cellStyle name="_조직표_4.TEE조성_07.포장공" xfId="1867"/>
    <cellStyle name="_조직표_Book2" xfId="1868"/>
    <cellStyle name="_조직표_Book2_00.오수공(최종)" xfId="1869"/>
    <cellStyle name="_조직표_Book2_00.오수공(최종)_07.부대공사" xfId="1870"/>
    <cellStyle name="_조직표_Book2_00.오수공(최종)_07.부대공사_07.부대공사" xfId="1871"/>
    <cellStyle name="_조직표_Book2_00.오수공(최종)_07.포장공" xfId="1872"/>
    <cellStyle name="_조직표_Book2_00.우수공" xfId="1873"/>
    <cellStyle name="_조직표_Book2_00.우수공_07.부대공사" xfId="1874"/>
    <cellStyle name="_조직표_Book2_00.우수공_07.부대공사_07.부대공사" xfId="1875"/>
    <cellStyle name="_조직표_Book2_00.우수공_07.포장공" xfId="1876"/>
    <cellStyle name="_조직표_Book2_04.우수공(단지부)" xfId="1877"/>
    <cellStyle name="_조직표_Book2_04.우수공(단지부)_07.부대공사" xfId="1878"/>
    <cellStyle name="_조직표_Book2_04.우수공(단지부)_07.부대공사_07.부대공사" xfId="1879"/>
    <cellStyle name="_조직표_Book2_04.우수공(단지부)_07.포장공" xfId="1880"/>
    <cellStyle name="_조직표_Book2_05.오수공" xfId="1881"/>
    <cellStyle name="_조직표_Book2_05.오수공_07.부대공사" xfId="1882"/>
    <cellStyle name="_조직표_Book2_05.오수공_07.부대공사_07.부대공사" xfId="1883"/>
    <cellStyle name="_조직표_Book2_05.오수공_07.포장공" xfId="1884"/>
    <cellStyle name="_조직표_Book2_07.부대공사" xfId="1885"/>
    <cellStyle name="_조직표_Book2_07.부대공사_07.부대공사" xfId="1886"/>
    <cellStyle name="_조직표_Book2_07.포장공" xfId="1887"/>
    <cellStyle name="_조직표_조직표" xfId="1888"/>
    <cellStyle name="_조직표_조직표_00.오수공(최종)" xfId="1889"/>
    <cellStyle name="_조직표_조직표_00.오수공(최종)_07.부대공사" xfId="1890"/>
    <cellStyle name="_조직표_조직표_00.오수공(최종)_07.부대공사_07.부대공사" xfId="1891"/>
    <cellStyle name="_조직표_조직표_00.오수공(최종)_07.포장공" xfId="1892"/>
    <cellStyle name="_조직표_조직표_00.우수공" xfId="1893"/>
    <cellStyle name="_조직표_조직표_00.우수공_07.부대공사" xfId="1894"/>
    <cellStyle name="_조직표_조직표_00.우수공_07.부대공사_07.부대공사" xfId="1895"/>
    <cellStyle name="_조직표_조직표_00.우수공_07.포장공" xfId="1896"/>
    <cellStyle name="_조직표_조직표_01.측구공사" xfId="1897"/>
    <cellStyle name="_조직표_조직표_01.측구공사_00.오수공(최종)" xfId="1898"/>
    <cellStyle name="_조직표_조직표_01.측구공사_00.오수공(최종)_07.부대공사" xfId="1899"/>
    <cellStyle name="_조직표_조직표_01.측구공사_00.오수공(최종)_07.부대공사_07.부대공사" xfId="1900"/>
    <cellStyle name="_조직표_조직표_01.측구공사_00.오수공(최종)_07.포장공" xfId="1901"/>
    <cellStyle name="_조직표_조직표_01.측구공사_00.우수공" xfId="1902"/>
    <cellStyle name="_조직표_조직표_01.측구공사_00.우수공_07.부대공사" xfId="1903"/>
    <cellStyle name="_조직표_조직표_01.측구공사_00.우수공_07.부대공사_07.부대공사" xfId="1904"/>
    <cellStyle name="_조직표_조직표_01.측구공사_00.우수공_07.포장공" xfId="1905"/>
    <cellStyle name="_조직표_조직표_01.측구공사_04.우수공(단지부)" xfId="1906"/>
    <cellStyle name="_조직표_조직표_01.측구공사_04.우수공(단지부)_07.부대공사" xfId="1907"/>
    <cellStyle name="_조직표_조직표_01.측구공사_04.우수공(단지부)_07.부대공사_07.부대공사" xfId="1908"/>
    <cellStyle name="_조직표_조직표_01.측구공사_04.우수공(단지부)_07.포장공" xfId="1909"/>
    <cellStyle name="_조직표_조직표_01.측구공사_05.오수공" xfId="1910"/>
    <cellStyle name="_조직표_조직표_01.측구공사_05.오수공_07.부대공사" xfId="1911"/>
    <cellStyle name="_조직표_조직표_01.측구공사_05.오수공_07.부대공사_07.부대공사" xfId="1912"/>
    <cellStyle name="_조직표_조직표_01.측구공사_05.오수공_07.포장공" xfId="1913"/>
    <cellStyle name="_조직표_조직표_01.측구공사_07.부대공사" xfId="1914"/>
    <cellStyle name="_조직표_조직표_01.측구공사_07.부대공사_07.부대공사" xfId="1915"/>
    <cellStyle name="_조직표_조직표_01.측구공사_07.포장공" xfId="1916"/>
    <cellStyle name="_조직표_조직표_03.그린 조성공사" xfId="1917"/>
    <cellStyle name="_조직표_조직표_03.그린 조성공사_00.오수공(최종)" xfId="1918"/>
    <cellStyle name="_조직표_조직표_03.그린 조성공사_00.오수공(최종)_07.부대공사" xfId="1919"/>
    <cellStyle name="_조직표_조직표_03.그린 조성공사_00.오수공(최종)_07.부대공사_07.부대공사" xfId="1920"/>
    <cellStyle name="_조직표_조직표_03.그린 조성공사_00.오수공(최종)_07.포장공" xfId="1921"/>
    <cellStyle name="_조직표_조직표_03.그린 조성공사_00.우수공" xfId="1922"/>
    <cellStyle name="_조직표_조직표_03.그린 조성공사_00.우수공_07.부대공사" xfId="1923"/>
    <cellStyle name="_조직표_조직표_03.그린 조성공사_00.우수공_07.부대공사_07.부대공사" xfId="1924"/>
    <cellStyle name="_조직표_조직표_03.그린 조성공사_00.우수공_07.포장공" xfId="1925"/>
    <cellStyle name="_조직표_조직표_03.그린 조성공사_04.우수공(단지부)" xfId="1926"/>
    <cellStyle name="_조직표_조직표_03.그린 조성공사_04.우수공(단지부)_07.부대공사" xfId="1927"/>
    <cellStyle name="_조직표_조직표_03.그린 조성공사_04.우수공(단지부)_07.부대공사_07.부대공사" xfId="1928"/>
    <cellStyle name="_조직표_조직표_03.그린 조성공사_04.우수공(단지부)_07.포장공" xfId="1929"/>
    <cellStyle name="_조직표_조직표_03.그린 조성공사_05.오수공" xfId="1930"/>
    <cellStyle name="_조직표_조직표_03.그린 조성공사_05.오수공_07.부대공사" xfId="1931"/>
    <cellStyle name="_조직표_조직표_03.그린 조성공사_05.오수공_07.부대공사_07.부대공사" xfId="1932"/>
    <cellStyle name="_조직표_조직표_03.그린 조성공사_05.오수공_07.포장공" xfId="1933"/>
    <cellStyle name="_조직표_조직표_03.그린 조성공사_07.부대공사" xfId="1934"/>
    <cellStyle name="_조직표_조직표_03.그린 조성공사_07.부대공사_07.부대공사" xfId="1935"/>
    <cellStyle name="_조직표_조직표_03.그린 조성공사_07.포장공" xfId="1936"/>
    <cellStyle name="_조직표_조직표_04.우수공(단지부)" xfId="1937"/>
    <cellStyle name="_조직표_조직표_04.우수공(단지부)_07.부대공사" xfId="1938"/>
    <cellStyle name="_조직표_조직표_04.우수공(단지부)_07.부대공사_07.부대공사" xfId="1939"/>
    <cellStyle name="_조직표_조직표_04.우수공(단지부)_07.포장공" xfId="1940"/>
    <cellStyle name="_조직표_조직표_04.표면 배수공사" xfId="1941"/>
    <cellStyle name="_조직표_조직표_04.표면 배수공사_00.오수공(최종)" xfId="1942"/>
    <cellStyle name="_조직표_조직표_04.표면 배수공사_00.오수공(최종)_07.부대공사" xfId="1943"/>
    <cellStyle name="_조직표_조직표_04.표면 배수공사_00.오수공(최종)_07.부대공사_07.부대공사" xfId="1944"/>
    <cellStyle name="_조직표_조직표_04.표면 배수공사_00.오수공(최종)_07.포장공" xfId="1945"/>
    <cellStyle name="_조직표_조직표_04.표면 배수공사_00.우수공" xfId="1946"/>
    <cellStyle name="_조직표_조직표_04.표면 배수공사_00.우수공_07.부대공사" xfId="1947"/>
    <cellStyle name="_조직표_조직표_04.표면 배수공사_00.우수공_07.부대공사_07.부대공사" xfId="1948"/>
    <cellStyle name="_조직표_조직표_04.표면 배수공사_00.우수공_07.포장공" xfId="1949"/>
    <cellStyle name="_조직표_조직표_04.표면 배수공사_04.우수공(단지부)" xfId="1950"/>
    <cellStyle name="_조직표_조직표_04.표면 배수공사_04.우수공(단지부)_07.부대공사" xfId="1951"/>
    <cellStyle name="_조직표_조직표_04.표면 배수공사_04.우수공(단지부)_07.부대공사_07.부대공사" xfId="1952"/>
    <cellStyle name="_조직표_조직표_04.표면 배수공사_04.우수공(단지부)_07.포장공" xfId="1953"/>
    <cellStyle name="_조직표_조직표_04.표면 배수공사_05.오수공" xfId="1954"/>
    <cellStyle name="_조직표_조직표_04.표면 배수공사_05.오수공_07.부대공사" xfId="1955"/>
    <cellStyle name="_조직표_조직표_04.표면 배수공사_05.오수공_07.부대공사_07.부대공사" xfId="1956"/>
    <cellStyle name="_조직표_조직표_04.표면 배수공사_05.오수공_07.포장공" xfId="1957"/>
    <cellStyle name="_조직표_조직표_04.표면 배수공사_07.부대공사" xfId="1958"/>
    <cellStyle name="_조직표_조직표_04.표면 배수공사_07.부대공사_07.부대공사" xfId="1959"/>
    <cellStyle name="_조직표_조직표_04.표면 배수공사_07.포장공" xfId="1960"/>
    <cellStyle name="_조직표_조직표_05.그린 조성공사" xfId="1961"/>
    <cellStyle name="_조직표_조직표_05.그린 조성공사_00.오수공(최종)" xfId="1962"/>
    <cellStyle name="_조직표_조직표_05.그린 조성공사_00.오수공(최종)_07.부대공사" xfId="1963"/>
    <cellStyle name="_조직표_조직표_05.그린 조성공사_00.오수공(최종)_07.부대공사_07.부대공사" xfId="1964"/>
    <cellStyle name="_조직표_조직표_05.그린 조성공사_00.오수공(최종)_07.포장공" xfId="1965"/>
    <cellStyle name="_조직표_조직표_05.그린 조성공사_00.우수공" xfId="1966"/>
    <cellStyle name="_조직표_조직표_05.그린 조성공사_00.우수공_07.부대공사" xfId="1967"/>
    <cellStyle name="_조직표_조직표_05.그린 조성공사_00.우수공_07.부대공사_07.부대공사" xfId="1968"/>
    <cellStyle name="_조직표_조직표_05.그린 조성공사_00.우수공_07.포장공" xfId="1969"/>
    <cellStyle name="_조직표_조직표_05.그린 조성공사_04.우수공(단지부)" xfId="1970"/>
    <cellStyle name="_조직표_조직표_05.그린 조성공사_04.우수공(단지부)_07.부대공사" xfId="1971"/>
    <cellStyle name="_조직표_조직표_05.그린 조성공사_04.우수공(단지부)_07.부대공사_07.부대공사" xfId="1972"/>
    <cellStyle name="_조직표_조직표_05.그린 조성공사_04.우수공(단지부)_07.포장공" xfId="1973"/>
    <cellStyle name="_조직표_조직표_05.그린 조성공사_05.오수공" xfId="1974"/>
    <cellStyle name="_조직표_조직표_05.그린 조성공사_05.오수공_07.부대공사" xfId="1975"/>
    <cellStyle name="_조직표_조직표_05.그린 조성공사_05.오수공_07.부대공사_07.부대공사" xfId="1976"/>
    <cellStyle name="_조직표_조직표_05.그린 조성공사_05.오수공_07.포장공" xfId="1977"/>
    <cellStyle name="_조직표_조직표_05.그린 조성공사_07.부대공사" xfId="1978"/>
    <cellStyle name="_조직표_조직표_05.그린 조성공사_07.부대공사_07.부대공사" xfId="1979"/>
    <cellStyle name="_조직표_조직표_05.그린 조성공사_07.포장공" xfId="1980"/>
    <cellStyle name="_조직표_조직표_05.오수공" xfId="1981"/>
    <cellStyle name="_조직표_조직표_05.오수공_07.부대공사" xfId="1982"/>
    <cellStyle name="_조직표_조직표_05.오수공_07.부대공사_07.부대공사" xfId="1983"/>
    <cellStyle name="_조직표_조직표_05.오수공_07.포장공" xfId="1984"/>
    <cellStyle name="_조직표_조직표_07.부대공사" xfId="1985"/>
    <cellStyle name="_조직표_조직표_07.부대공사_07.부대공사" xfId="1986"/>
    <cellStyle name="_조직표_조직표_07.포장공" xfId="1987"/>
    <cellStyle name="_조직표_조직표_07.포장공(중2-57)" xfId="1988"/>
    <cellStyle name="_조직표_조직표_1.측구공사" xfId="1989"/>
    <cellStyle name="_조직표_조직표_1.측구공사_00.오수공(최종)" xfId="1990"/>
    <cellStyle name="_조직표_조직표_1.측구공사_00.오수공(최종)_07.부대공사" xfId="1991"/>
    <cellStyle name="_조직표_조직표_1.측구공사_00.오수공(최종)_07.부대공사_07.부대공사" xfId="1992"/>
    <cellStyle name="_조직표_조직표_1.측구공사_00.오수공(최종)_07.포장공" xfId="1993"/>
    <cellStyle name="_조직표_조직표_1.측구공사_00.우수공" xfId="1994"/>
    <cellStyle name="_조직표_조직표_1.측구공사_00.우수공_07.부대공사" xfId="1995"/>
    <cellStyle name="_조직표_조직표_1.측구공사_00.우수공_07.부대공사_07.부대공사" xfId="1996"/>
    <cellStyle name="_조직표_조직표_1.측구공사_00.우수공_07.포장공" xfId="1997"/>
    <cellStyle name="_조직표_조직표_1.측구공사_04.우수공(단지부)" xfId="1998"/>
    <cellStyle name="_조직표_조직표_1.측구공사_04.우수공(단지부)_07.부대공사" xfId="1999"/>
    <cellStyle name="_조직표_조직표_1.측구공사_04.우수공(단지부)_07.부대공사_07.부대공사" xfId="2000"/>
    <cellStyle name="_조직표_조직표_1.측구공사_04.우수공(단지부)_07.포장공" xfId="2001"/>
    <cellStyle name="_조직표_조직표_1.측구공사_05.오수공" xfId="2002"/>
    <cellStyle name="_조직표_조직표_1.측구공사_05.오수공_07.부대공사" xfId="2003"/>
    <cellStyle name="_조직표_조직표_1.측구공사_05.오수공_07.부대공사_07.부대공사" xfId="2004"/>
    <cellStyle name="_조직표_조직표_1.측구공사_05.오수공_07.포장공" xfId="2005"/>
    <cellStyle name="_조직표_조직표_1.측구공사_07.부대공사" xfId="2006"/>
    <cellStyle name="_조직표_조직표_1.측구공사_07.부대공사_07.부대공사" xfId="2007"/>
    <cellStyle name="_조직표_조직표_1.측구공사_07.포장공" xfId="2008"/>
    <cellStyle name="_조직표_조직표_1.측구공사-0" xfId="2009"/>
    <cellStyle name="_조직표_조직표_1.측구공사-0_00.오수공(최종)" xfId="2010"/>
    <cellStyle name="_조직표_조직표_1.측구공사-0_00.오수공(최종)_07.부대공사" xfId="2011"/>
    <cellStyle name="_조직표_조직표_1.측구공사-0_00.오수공(최종)_07.부대공사_07.부대공사" xfId="2012"/>
    <cellStyle name="_조직표_조직표_1.측구공사-0_00.오수공(최종)_07.포장공" xfId="2013"/>
    <cellStyle name="_조직표_조직표_1.측구공사-0_00.우수공" xfId="2014"/>
    <cellStyle name="_조직표_조직표_1.측구공사-0_00.우수공_07.부대공사" xfId="2015"/>
    <cellStyle name="_조직표_조직표_1.측구공사-0_00.우수공_07.부대공사_07.부대공사" xfId="2016"/>
    <cellStyle name="_조직표_조직표_1.측구공사-0_00.우수공_07.포장공" xfId="2017"/>
    <cellStyle name="_조직표_조직표_1.측구공사-0_04.우수공(단지부)" xfId="2018"/>
    <cellStyle name="_조직표_조직표_1.측구공사-0_04.우수공(단지부)_07.부대공사" xfId="2019"/>
    <cellStyle name="_조직표_조직표_1.측구공사-0_04.우수공(단지부)_07.부대공사_07.부대공사" xfId="2020"/>
    <cellStyle name="_조직표_조직표_1.측구공사-0_04.우수공(단지부)_07.포장공" xfId="2021"/>
    <cellStyle name="_조직표_조직표_1.측구공사-0_05.오수공" xfId="2022"/>
    <cellStyle name="_조직표_조직표_1.측구공사-0_05.오수공_07.부대공사" xfId="2023"/>
    <cellStyle name="_조직표_조직표_1.측구공사-0_05.오수공_07.부대공사_07.부대공사" xfId="2024"/>
    <cellStyle name="_조직표_조직표_1.측구공사-0_05.오수공_07.포장공" xfId="2025"/>
    <cellStyle name="_조직표_조직표_1.측구공사-0_07.부대공사" xfId="2026"/>
    <cellStyle name="_조직표_조직표_1.측구공사-0_07.부대공사_07.부대공사" xfId="2027"/>
    <cellStyle name="_조직표_조직표_1.측구공사-0_07.포장공" xfId="2028"/>
    <cellStyle name="_조직표_조직표_2.배수시설" xfId="2029"/>
    <cellStyle name="_조직표_조직표_2.배수시설_00.오수공(최종)" xfId="2030"/>
    <cellStyle name="_조직표_조직표_2.배수시설_00.오수공(최종)_07.부대공사" xfId="2031"/>
    <cellStyle name="_조직표_조직표_2.배수시설_00.오수공(최종)_07.부대공사_07.부대공사" xfId="2032"/>
    <cellStyle name="_조직표_조직표_2.배수시설_00.오수공(최종)_07.포장공" xfId="2033"/>
    <cellStyle name="_조직표_조직표_2.배수시설_00.우수공" xfId="2034"/>
    <cellStyle name="_조직표_조직표_2.배수시설_00.우수공_07.부대공사" xfId="2035"/>
    <cellStyle name="_조직표_조직표_2.배수시설_00.우수공_07.부대공사_07.부대공사" xfId="2036"/>
    <cellStyle name="_조직표_조직표_2.배수시설_00.우수공_07.포장공" xfId="2037"/>
    <cellStyle name="_조직표_조직표_2.배수시설_01.측구공사" xfId="2038"/>
    <cellStyle name="_조직표_조직표_2.배수시설_01.측구공사_00.오수공(최종)" xfId="2039"/>
    <cellStyle name="_조직표_조직표_2.배수시설_01.측구공사_00.오수공(최종)_07.부대공사" xfId="2040"/>
    <cellStyle name="_조직표_조직표_2.배수시설_01.측구공사_00.오수공(최종)_07.부대공사_07.부대공사" xfId="2041"/>
    <cellStyle name="_조직표_조직표_2.배수시설_01.측구공사_00.오수공(최종)_07.포장공" xfId="2042"/>
    <cellStyle name="_조직표_조직표_2.배수시설_01.측구공사_00.우수공" xfId="2043"/>
    <cellStyle name="_조직표_조직표_2.배수시설_01.측구공사_00.우수공_07.부대공사" xfId="2044"/>
    <cellStyle name="_조직표_조직표_2.배수시설_01.측구공사_00.우수공_07.부대공사_07.부대공사" xfId="2045"/>
    <cellStyle name="_조직표_조직표_2.배수시설_01.측구공사_00.우수공_07.포장공" xfId="2046"/>
    <cellStyle name="_조직표_조직표_2.배수시설_01.측구공사_04.우수공(단지부)" xfId="2047"/>
    <cellStyle name="_조직표_조직표_2.배수시설_01.측구공사_04.우수공(단지부)_07.부대공사" xfId="2048"/>
    <cellStyle name="_조직표_조직표_2.배수시설_01.측구공사_04.우수공(단지부)_07.부대공사_07.부대공사" xfId="2049"/>
    <cellStyle name="_조직표_조직표_2.배수시설_01.측구공사_04.우수공(단지부)_07.포장공" xfId="2050"/>
    <cellStyle name="_조직표_조직표_2.배수시설_01.측구공사_05.오수공" xfId="2051"/>
    <cellStyle name="_조직표_조직표_2.배수시설_01.측구공사_05.오수공_07.부대공사" xfId="2052"/>
    <cellStyle name="_조직표_조직표_2.배수시설_01.측구공사_05.오수공_07.부대공사_07.부대공사" xfId="2053"/>
    <cellStyle name="_조직표_조직표_2.배수시설_01.측구공사_05.오수공_07.포장공" xfId="2054"/>
    <cellStyle name="_조직표_조직표_2.배수시설_01.측구공사_07.부대공사" xfId="2055"/>
    <cellStyle name="_조직표_조직표_2.배수시설_01.측구공사_07.부대공사_07.부대공사" xfId="2056"/>
    <cellStyle name="_조직표_조직표_2.배수시설_01.측구공사_07.포장공" xfId="2057"/>
    <cellStyle name="_조직표_조직표_2.배수시설_04.우수공(단지부)" xfId="2058"/>
    <cellStyle name="_조직표_조직표_2.배수시설_04.우수공(단지부)_07.부대공사" xfId="2059"/>
    <cellStyle name="_조직표_조직표_2.배수시설_04.우수공(단지부)_07.부대공사_07.부대공사" xfId="2060"/>
    <cellStyle name="_조직표_조직표_2.배수시설_04.우수공(단지부)_07.포장공" xfId="2061"/>
    <cellStyle name="_조직표_조직표_2.배수시설_05.오수공" xfId="2062"/>
    <cellStyle name="_조직표_조직표_2.배수시설_05.오수공_07.부대공사" xfId="2063"/>
    <cellStyle name="_조직표_조직표_2.배수시설_05.오수공_07.부대공사_07.부대공사" xfId="2064"/>
    <cellStyle name="_조직표_조직표_2.배수시설_05.오수공_07.포장공" xfId="2065"/>
    <cellStyle name="_조직표_조직표_2.배수시설_07.부대공사" xfId="2066"/>
    <cellStyle name="_조직표_조직표_2.배수시설_07.부대공사_07.부대공사" xfId="2067"/>
    <cellStyle name="_조직표_조직표_2.배수시설_07.포장공" xfId="2068"/>
    <cellStyle name="_조직표_조직표_2.배수시설_1.측구공사" xfId="2069"/>
    <cellStyle name="_조직표_조직표_2.배수시설_1.측구공사_00.오수공(최종)" xfId="2070"/>
    <cellStyle name="_조직표_조직표_2.배수시설_1.측구공사_00.오수공(최종)_07.부대공사" xfId="2071"/>
    <cellStyle name="_조직표_조직표_2.배수시설_1.측구공사_00.오수공(최종)_07.부대공사_07.부대공사" xfId="2072"/>
    <cellStyle name="_조직표_조직표_2.배수시설_1.측구공사_00.오수공(최종)_07.포장공" xfId="2073"/>
    <cellStyle name="_조직표_조직표_2.배수시설_1.측구공사_00.우수공" xfId="2074"/>
    <cellStyle name="_조직표_조직표_2.배수시설_1.측구공사_00.우수공_07.부대공사" xfId="2075"/>
    <cellStyle name="_조직표_조직표_2.배수시설_1.측구공사_00.우수공_07.부대공사_07.부대공사" xfId="2076"/>
    <cellStyle name="_조직표_조직표_2.배수시설_1.측구공사_00.우수공_07.포장공" xfId="2077"/>
    <cellStyle name="_조직표_조직표_2.배수시설_1.측구공사_04.우수공(단지부)" xfId="2078"/>
    <cellStyle name="_조직표_조직표_2.배수시설_1.측구공사_04.우수공(단지부)_07.부대공사" xfId="2079"/>
    <cellStyle name="_조직표_조직표_2.배수시설_1.측구공사_04.우수공(단지부)_07.부대공사_07.부대공사" xfId="2080"/>
    <cellStyle name="_조직표_조직표_2.배수시설_1.측구공사_04.우수공(단지부)_07.포장공" xfId="2081"/>
    <cellStyle name="_조직표_조직표_2.배수시설_1.측구공사_05.오수공" xfId="2082"/>
    <cellStyle name="_조직표_조직표_2.배수시설_1.측구공사_05.오수공_07.부대공사" xfId="2083"/>
    <cellStyle name="_조직표_조직표_2.배수시설_1.측구공사_05.오수공_07.부대공사_07.부대공사" xfId="2084"/>
    <cellStyle name="_조직표_조직표_2.배수시설_1.측구공사_05.오수공_07.포장공" xfId="2085"/>
    <cellStyle name="_조직표_조직표_2.배수시설_1.측구공사_07.부대공사" xfId="2086"/>
    <cellStyle name="_조직표_조직표_2.배수시설_1.측구공사_07.부대공사_07.부대공사" xfId="2087"/>
    <cellStyle name="_조직표_조직표_2.배수시설_1.측구공사_07.포장공" xfId="2088"/>
    <cellStyle name="_조직표_조직표_2.배수시설_1.측구공사-0" xfId="2089"/>
    <cellStyle name="_조직표_조직표_2.배수시설_1.측구공사-0_00.오수공(최종)" xfId="2090"/>
    <cellStyle name="_조직표_조직표_2.배수시설_1.측구공사-0_00.오수공(최종)_07.부대공사" xfId="2091"/>
    <cellStyle name="_조직표_조직표_2.배수시설_1.측구공사-0_00.오수공(최종)_07.부대공사_07.부대공사" xfId="2092"/>
    <cellStyle name="_조직표_조직표_2.배수시설_1.측구공사-0_00.오수공(최종)_07.포장공" xfId="2093"/>
    <cellStyle name="_조직표_조직표_2.배수시설_1.측구공사-0_00.우수공" xfId="2094"/>
    <cellStyle name="_조직표_조직표_2.배수시설_1.측구공사-0_00.우수공_07.부대공사" xfId="2095"/>
    <cellStyle name="_조직표_조직표_2.배수시설_1.측구공사-0_00.우수공_07.부대공사_07.부대공사" xfId="2096"/>
    <cellStyle name="_조직표_조직표_2.배수시설_1.측구공사-0_00.우수공_07.포장공" xfId="2097"/>
    <cellStyle name="_조직표_조직표_2.배수시설_1.측구공사-0_04.우수공(단지부)" xfId="2098"/>
    <cellStyle name="_조직표_조직표_2.배수시설_1.측구공사-0_04.우수공(단지부)_07.부대공사" xfId="2099"/>
    <cellStyle name="_조직표_조직표_2.배수시설_1.측구공사-0_04.우수공(단지부)_07.부대공사_07.부대공사" xfId="2100"/>
    <cellStyle name="_조직표_조직표_2.배수시설_1.측구공사-0_04.우수공(단지부)_07.포장공" xfId="2101"/>
    <cellStyle name="_조직표_조직표_2.배수시설_1.측구공사-0_05.오수공" xfId="2102"/>
    <cellStyle name="_조직표_조직표_2.배수시설_1.측구공사-0_05.오수공_07.부대공사" xfId="2103"/>
    <cellStyle name="_조직표_조직표_2.배수시설_1.측구공사-0_05.오수공_07.부대공사_07.부대공사" xfId="2104"/>
    <cellStyle name="_조직표_조직표_2.배수시설_1.측구공사-0_05.오수공_07.포장공" xfId="2105"/>
    <cellStyle name="_조직표_조직표_2.배수시설_1.측구공사-0_07.부대공사" xfId="2106"/>
    <cellStyle name="_조직표_조직표_2.배수시설_1.측구공사-0_07.부대공사_07.부대공사" xfId="2107"/>
    <cellStyle name="_조직표_조직표_2.배수시설_1.측구공사-0_07.포장공" xfId="2108"/>
    <cellStyle name="_조직표_조직표_3.그린 조성공사" xfId="2109"/>
    <cellStyle name="_조직표_조직표_3.그린 조성공사_00.오수공(최종)" xfId="2110"/>
    <cellStyle name="_조직표_조직표_3.그린 조성공사_00.오수공(최종)_07.부대공사" xfId="2111"/>
    <cellStyle name="_조직표_조직표_3.그린 조성공사_00.오수공(최종)_07.부대공사_07.부대공사" xfId="2112"/>
    <cellStyle name="_조직표_조직표_3.그린 조성공사_00.오수공(최종)_07.포장공" xfId="2113"/>
    <cellStyle name="_조직표_조직표_3.그린 조성공사_00.우수공" xfId="2114"/>
    <cellStyle name="_조직표_조직표_3.그린 조성공사_00.우수공_07.부대공사" xfId="2115"/>
    <cellStyle name="_조직표_조직표_3.그린 조성공사_00.우수공_07.부대공사_07.부대공사" xfId="2116"/>
    <cellStyle name="_조직표_조직표_3.그린 조성공사_00.우수공_07.포장공" xfId="2117"/>
    <cellStyle name="_조직표_조직표_3.그린 조성공사_04.우수공(단지부)" xfId="2118"/>
    <cellStyle name="_조직표_조직표_3.그린 조성공사_04.우수공(단지부)_07.부대공사" xfId="2119"/>
    <cellStyle name="_조직표_조직표_3.그린 조성공사_04.우수공(단지부)_07.부대공사_07.부대공사" xfId="2120"/>
    <cellStyle name="_조직표_조직표_3.그린 조성공사_04.우수공(단지부)_07.포장공" xfId="2121"/>
    <cellStyle name="_조직표_조직표_3.그린 조성공사_05.오수공" xfId="2122"/>
    <cellStyle name="_조직표_조직표_3.그린 조성공사_05.오수공_07.부대공사" xfId="2123"/>
    <cellStyle name="_조직표_조직표_3.그린 조성공사_05.오수공_07.부대공사_07.부대공사" xfId="2124"/>
    <cellStyle name="_조직표_조직표_3.그린 조성공사_05.오수공_07.포장공" xfId="2125"/>
    <cellStyle name="_조직표_조직표_3.그린 조성공사_07.부대공사" xfId="2126"/>
    <cellStyle name="_조직표_조직표_3.그린 조성공사_07.부대공사_07.부대공사" xfId="2127"/>
    <cellStyle name="_조직표_조직표_3.그린 조성공사_07.포장공" xfId="2128"/>
    <cellStyle name="_조직표_조직표_3.그린 조성공사-0" xfId="2129"/>
    <cellStyle name="_조직표_조직표_3.그린 조성공사-0_00.오수공(최종)" xfId="2130"/>
    <cellStyle name="_조직표_조직표_3.그린 조성공사-0_00.오수공(최종)_07.부대공사" xfId="2131"/>
    <cellStyle name="_조직표_조직표_3.그린 조성공사-0_00.오수공(최종)_07.부대공사_07.부대공사" xfId="2132"/>
    <cellStyle name="_조직표_조직표_3.그린 조성공사-0_00.오수공(최종)_07.포장공" xfId="2133"/>
    <cellStyle name="_조직표_조직표_3.그린 조성공사-0_00.우수공" xfId="2134"/>
    <cellStyle name="_조직표_조직표_3.그린 조성공사-0_00.우수공_07.부대공사" xfId="2135"/>
    <cellStyle name="_조직표_조직표_3.그린 조성공사-0_00.우수공_07.부대공사_07.부대공사" xfId="2136"/>
    <cellStyle name="_조직표_조직표_3.그린 조성공사-0_00.우수공_07.포장공" xfId="2137"/>
    <cellStyle name="_조직표_조직표_3.그린 조성공사-0_04.우수공(단지부)" xfId="2138"/>
    <cellStyle name="_조직표_조직표_3.그린 조성공사-0_04.우수공(단지부)_07.부대공사" xfId="2139"/>
    <cellStyle name="_조직표_조직표_3.그린 조성공사-0_04.우수공(단지부)_07.부대공사_07.부대공사" xfId="2140"/>
    <cellStyle name="_조직표_조직표_3.그린 조성공사-0_04.우수공(단지부)_07.포장공" xfId="2141"/>
    <cellStyle name="_조직표_조직표_3.그린 조성공사-0_05.오수공" xfId="2142"/>
    <cellStyle name="_조직표_조직표_3.그린 조성공사-0_05.오수공_07.부대공사" xfId="2143"/>
    <cellStyle name="_조직표_조직표_3.그린 조성공사-0_05.오수공_07.부대공사_07.부대공사" xfId="2144"/>
    <cellStyle name="_조직표_조직표_3.그린 조성공사-0_05.오수공_07.포장공" xfId="2145"/>
    <cellStyle name="_조직표_조직표_3.그린 조성공사-0_07.부대공사" xfId="2146"/>
    <cellStyle name="_조직표_조직표_3.그린 조성공사-0_07.부대공사_07.부대공사" xfId="2147"/>
    <cellStyle name="_조직표_조직표_3.그린 조성공사-0_07.포장공" xfId="2148"/>
    <cellStyle name="_조직표_조직표_3.그린조성공사" xfId="2149"/>
    <cellStyle name="_조직표_조직표_3.그린조성공사_00.오수공(최종)" xfId="2150"/>
    <cellStyle name="_조직표_조직표_3.그린조성공사_00.오수공(최종)_07.부대공사" xfId="2151"/>
    <cellStyle name="_조직표_조직표_3.그린조성공사_00.오수공(최종)_07.부대공사_07.부대공사" xfId="2152"/>
    <cellStyle name="_조직표_조직표_3.그린조성공사_00.오수공(최종)_07.포장공" xfId="2153"/>
    <cellStyle name="_조직표_조직표_3.그린조성공사_00.우수공" xfId="2154"/>
    <cellStyle name="_조직표_조직표_3.그린조성공사_00.우수공_07.부대공사" xfId="2155"/>
    <cellStyle name="_조직표_조직표_3.그린조성공사_00.우수공_07.부대공사_07.부대공사" xfId="2156"/>
    <cellStyle name="_조직표_조직표_3.그린조성공사_00.우수공_07.포장공" xfId="2157"/>
    <cellStyle name="_조직표_조직표_3.그린조성공사_04.우수공(단지부)" xfId="2158"/>
    <cellStyle name="_조직표_조직표_3.그린조성공사_04.우수공(단지부)_07.부대공사" xfId="2159"/>
    <cellStyle name="_조직표_조직표_3.그린조성공사_04.우수공(단지부)_07.부대공사_07.부대공사" xfId="2160"/>
    <cellStyle name="_조직표_조직표_3.그린조성공사_04.우수공(단지부)_07.포장공" xfId="2161"/>
    <cellStyle name="_조직표_조직표_3.그린조성공사_05.오수공" xfId="2162"/>
    <cellStyle name="_조직표_조직표_3.그린조성공사_05.오수공_07.부대공사" xfId="2163"/>
    <cellStyle name="_조직표_조직표_3.그린조성공사_05.오수공_07.부대공사_07.부대공사" xfId="2164"/>
    <cellStyle name="_조직표_조직표_3.그린조성공사_05.오수공_07.포장공" xfId="2165"/>
    <cellStyle name="_조직표_조직표_3.그린조성공사_07.부대공사" xfId="2166"/>
    <cellStyle name="_조직표_조직표_3.그린조성공사_07.부대공사_07.부대공사" xfId="2167"/>
    <cellStyle name="_조직표_조직표_3.그린조성공사_07.포장공" xfId="2168"/>
    <cellStyle name="_조직표_조직표_4.TEE조성" xfId="2169"/>
    <cellStyle name="_조직표_조직표_4.TEE조성_00.오수공(최종)" xfId="2170"/>
    <cellStyle name="_조직표_조직표_4.TEE조성_00.오수공(최종)_07.부대공사" xfId="2171"/>
    <cellStyle name="_조직표_조직표_4.TEE조성_00.오수공(최종)_07.부대공사_07.부대공사" xfId="2172"/>
    <cellStyle name="_조직표_조직표_4.TEE조성_00.오수공(최종)_07.포장공" xfId="2173"/>
    <cellStyle name="_조직표_조직표_4.TEE조성_00.우수공" xfId="2174"/>
    <cellStyle name="_조직표_조직표_4.TEE조성_00.우수공_07.부대공사" xfId="2175"/>
    <cellStyle name="_조직표_조직표_4.TEE조성_00.우수공_07.부대공사_07.부대공사" xfId="2176"/>
    <cellStyle name="_조직표_조직표_4.TEE조성_00.우수공_07.포장공" xfId="2177"/>
    <cellStyle name="_조직표_조직표_4.TEE조성_04.우수공(단지부)" xfId="2178"/>
    <cellStyle name="_조직표_조직표_4.TEE조성_04.우수공(단지부)_07.부대공사" xfId="2179"/>
    <cellStyle name="_조직표_조직표_4.TEE조성_04.우수공(단지부)_07.부대공사_07.부대공사" xfId="2180"/>
    <cellStyle name="_조직표_조직표_4.TEE조성_04.우수공(단지부)_07.포장공" xfId="2181"/>
    <cellStyle name="_조직표_조직표_4.TEE조성_05.오수공" xfId="2182"/>
    <cellStyle name="_조직표_조직표_4.TEE조성_05.오수공_07.부대공사" xfId="2183"/>
    <cellStyle name="_조직표_조직표_4.TEE조성_05.오수공_07.부대공사_07.부대공사" xfId="2184"/>
    <cellStyle name="_조직표_조직표_4.TEE조성_05.오수공_07.포장공" xfId="2185"/>
    <cellStyle name="_조직표_조직표_4.TEE조성_07.부대공사" xfId="2186"/>
    <cellStyle name="_조직표_조직표_4.TEE조성_07.부대공사_07.부대공사" xfId="2187"/>
    <cellStyle name="_조직표_조직표_4.TEE조성_07.포장공" xfId="2188"/>
    <cellStyle name="_조직표_조직표_Book2" xfId="2189"/>
    <cellStyle name="_조직표_조직표_Book2_00.오수공(최종)" xfId="2190"/>
    <cellStyle name="_조직표_조직표_Book2_00.오수공(최종)_07.부대공사" xfId="2191"/>
    <cellStyle name="_조직표_조직표_Book2_00.오수공(최종)_07.부대공사_07.부대공사" xfId="2192"/>
    <cellStyle name="_조직표_조직표_Book2_00.오수공(최종)_07.포장공" xfId="2193"/>
    <cellStyle name="_조직표_조직표_Book2_00.우수공" xfId="2194"/>
    <cellStyle name="_조직표_조직표_Book2_00.우수공_07.부대공사" xfId="2195"/>
    <cellStyle name="_조직표_조직표_Book2_00.우수공_07.부대공사_07.부대공사" xfId="2196"/>
    <cellStyle name="_조직표_조직표_Book2_00.우수공_07.포장공" xfId="2197"/>
    <cellStyle name="_조직표_조직표_Book2_04.우수공(단지부)" xfId="2198"/>
    <cellStyle name="_조직표_조직표_Book2_04.우수공(단지부)_07.부대공사" xfId="2199"/>
    <cellStyle name="_조직표_조직표_Book2_04.우수공(단지부)_07.부대공사_07.부대공사" xfId="2200"/>
    <cellStyle name="_조직표_조직표_Book2_04.우수공(단지부)_07.포장공" xfId="2201"/>
    <cellStyle name="_조직표_조직표_Book2_05.오수공" xfId="2202"/>
    <cellStyle name="_조직표_조직표_Book2_05.오수공_07.부대공사" xfId="2203"/>
    <cellStyle name="_조직표_조직표_Book2_05.오수공_07.부대공사_07.부대공사" xfId="2204"/>
    <cellStyle name="_조직표_조직표_Book2_05.오수공_07.포장공" xfId="2205"/>
    <cellStyle name="_조직표_조직표_Book2_07.부대공사" xfId="2206"/>
    <cellStyle name="_조직표_조직표_Book2_07.부대공사_07.부대공사" xfId="2207"/>
    <cellStyle name="_조직표_조직표_Book2_07.포장공" xfId="2208"/>
    <cellStyle name="_지장물 철거(2차)" xfId="2209"/>
    <cellStyle name="_지장물 철거공사" xfId="2210"/>
    <cellStyle name="_지장물 철거공사0304" xfId="2211"/>
    <cellStyle name="_지장물철거1차" xfId="2212"/>
    <cellStyle name="_지정과제1분기실적(확정990408)" xfId="2213"/>
    <cellStyle name="_지정과제1분기실적(확정990408)_1" xfId="2214"/>
    <cellStyle name="_지정과제2차심의list" xfId="2215"/>
    <cellStyle name="_지정과제2차심의list_1" xfId="2216"/>
    <cellStyle name="_지정과제2차심의list_2" xfId="2217"/>
    <cellStyle name="_지정과제2차심의결과" xfId="2218"/>
    <cellStyle name="_지정과제2차심의결과(금액조정후최종)" xfId="2219"/>
    <cellStyle name="_지정과제2차심의결과(금액조정후최종)_1" xfId="2220"/>
    <cellStyle name="_지정과제2차심의결과(금액조정후최종)_1_경영개선실적보고(전주공장)" xfId="2221"/>
    <cellStyle name="_지정과제2차심의결과(금액조정후최종)_1_별첨1_2" xfId="2222"/>
    <cellStyle name="_지정과제2차심의결과(금액조정후최종)_1_제안과제집계표(공장전체)" xfId="2223"/>
    <cellStyle name="_지정과제2차심의결과(금액조정후최종)_경영개선실적보고(전주공장)" xfId="2224"/>
    <cellStyle name="_지정과제2차심의결과(금액조정후최종)_별첨1_2" xfId="2225"/>
    <cellStyle name="_지정과제2차심의결과(금액조정후최종)_제안과제집계표(공장전체)" xfId="2226"/>
    <cellStyle name="_지정과제2차심의결과_1" xfId="2227"/>
    <cellStyle name="_집중관리(981231)" xfId="2228"/>
    <cellStyle name="_집중관리(981231)_1" xfId="2229"/>
    <cellStyle name="_집중관리(지정과제및 양식)" xfId="2230"/>
    <cellStyle name="_집중관리(지정과제및 양식)_1" xfId="2231"/>
    <cellStyle name="_총괄수량총괄집계" xfId="2232"/>
    <cellStyle name="_총괄수량총괄집계_총괄수량총괄집계" xfId="2233"/>
    <cellStyle name="_타공종이월수량(교량공)-던지고" xfId="2234"/>
    <cellStyle name="_포장공-000-포장공수량집계" xfId="2235"/>
    <cellStyle name="_포장수량" xfId="2236"/>
    <cellStyle name="´þ" xfId="2237"/>
    <cellStyle name="´þ·¯" xfId="2238"/>
    <cellStyle name="’E‰Y [0.00]_laroux" xfId="2239"/>
    <cellStyle name="’E‰Y_laroux" xfId="2240"/>
    <cellStyle name="¤@?e_TEST-1 " xfId="2241"/>
    <cellStyle name="+,-,0" xfId="2242"/>
    <cellStyle name="△ []" xfId="2243"/>
    <cellStyle name="△ [0]" xfId="2244"/>
    <cellStyle name="°ia¤¼o " xfId="2245"/>
    <cellStyle name="°íá¤¼ò¼ýá¡" xfId="2246"/>
    <cellStyle name="°ia¤aa " xfId="2247"/>
    <cellStyle name="°íá¤ãâ·â1" xfId="2248"/>
    <cellStyle name="°íá¤ãâ·â2" xfId="2249"/>
    <cellStyle name="0" xfId="2250"/>
    <cellStyle name="00" xfId="2251"/>
    <cellStyle name="1" xfId="2252"/>
    <cellStyle name="1_laroux" xfId="2253"/>
    <cellStyle name="1_laroux_ATC-YOON1" xfId="2254"/>
    <cellStyle name="1_단가조사표" xfId="2255"/>
    <cellStyle name="1_단가조사표_1011소각" xfId="2256"/>
    <cellStyle name="1_단가조사표_1113교~1" xfId="2257"/>
    <cellStyle name="1_단가조사표_121내역" xfId="2258"/>
    <cellStyle name="1_단가조사표_객토량" xfId="2259"/>
    <cellStyle name="1_단가조사표_교통센~1" xfId="2260"/>
    <cellStyle name="1_단가조사표_교통센터412" xfId="2261"/>
    <cellStyle name="1_단가조사표_교통수" xfId="2262"/>
    <cellStyle name="1_단가조사표_교통수량산출서" xfId="2263"/>
    <cellStyle name="1_단가조사표_구조물대가 (2)" xfId="2264"/>
    <cellStyle name="1_단가조사표_내역서 (2)" xfId="2265"/>
    <cellStyle name="1_단가조사표_대전관저지구" xfId="2266"/>
    <cellStyle name="1_단가조사표_동측지~1" xfId="2267"/>
    <cellStyle name="1_단가조사표_동측지원422" xfId="2268"/>
    <cellStyle name="1_단가조사표_동측지원512" xfId="2269"/>
    <cellStyle name="1_단가조사표_동측지원524" xfId="2270"/>
    <cellStyle name="1_단가조사표_부대422" xfId="2271"/>
    <cellStyle name="1_단가조사표_부대시설" xfId="2272"/>
    <cellStyle name="1_단가조사표_소각수~1" xfId="2273"/>
    <cellStyle name="1_단가조사표_소각수내역서" xfId="2274"/>
    <cellStyle name="1_단가조사표_소각수목2" xfId="2275"/>
    <cellStyle name="1_단가조사표_수량산출서 (2)" xfId="2276"/>
    <cellStyle name="1_단가조사표_엑스포~1" xfId="2277"/>
    <cellStyle name="1_단가조사표_엑스포한빛1" xfId="2278"/>
    <cellStyle name="1_단가조사표_여객터미널331" xfId="2279"/>
    <cellStyle name="1_단가조사표_여객터미널513" xfId="2280"/>
    <cellStyle name="1_단가조사표_여객터미널629" xfId="2281"/>
    <cellStyle name="1_단가조사표_외곽도로616" xfId="2282"/>
    <cellStyle name="1_단가조사표_용인죽전수량" xfId="2283"/>
    <cellStyle name="1_단가조사표_원가계~1" xfId="2284"/>
    <cellStyle name="1_단가조사표_유기질" xfId="2285"/>
    <cellStyle name="1_단가조사표_자재조서 (2)" xfId="2286"/>
    <cellStyle name="1_단가조사표_총괄내역" xfId="2287"/>
    <cellStyle name="1_단가조사표_총괄내역 (2)" xfId="2288"/>
    <cellStyle name="1_단가조사표_터미널도로403" xfId="2289"/>
    <cellStyle name="1_단가조사표_터미널도로429" xfId="2290"/>
    <cellStyle name="1_단가조사표_포장일위" xfId="2291"/>
    <cellStyle name="2" xfId="2292"/>
    <cellStyle name="2)" xfId="2293"/>
    <cellStyle name="2_laroux" xfId="2294"/>
    <cellStyle name="2_laroux_ATC-YOON1" xfId="2295"/>
    <cellStyle name="2_단가조사표" xfId="2296"/>
    <cellStyle name="2_단가조사표_1011소각" xfId="2297"/>
    <cellStyle name="2_단가조사표_1113교~1" xfId="2298"/>
    <cellStyle name="2_단가조사표_121내역" xfId="2299"/>
    <cellStyle name="2_단가조사표_객토량" xfId="2300"/>
    <cellStyle name="2_단가조사표_교통센~1" xfId="2301"/>
    <cellStyle name="2_단가조사표_교통센터412" xfId="2302"/>
    <cellStyle name="2_단가조사표_교통수" xfId="2303"/>
    <cellStyle name="2_단가조사표_교통수량산출서" xfId="2304"/>
    <cellStyle name="2_단가조사표_구조물대가 (2)" xfId="2305"/>
    <cellStyle name="2_단가조사표_내역서 (2)" xfId="2306"/>
    <cellStyle name="2_단가조사표_대전관저지구" xfId="2307"/>
    <cellStyle name="2_단가조사표_동측지~1" xfId="2308"/>
    <cellStyle name="2_단가조사표_동측지원422" xfId="2309"/>
    <cellStyle name="2_단가조사표_동측지원512" xfId="2310"/>
    <cellStyle name="2_단가조사표_동측지원524" xfId="2311"/>
    <cellStyle name="2_단가조사표_부대422" xfId="2312"/>
    <cellStyle name="2_단가조사표_부대시설" xfId="2313"/>
    <cellStyle name="2_단가조사표_소각수~1" xfId="2314"/>
    <cellStyle name="2_단가조사표_소각수내역서" xfId="2315"/>
    <cellStyle name="2_단가조사표_소각수목2" xfId="2316"/>
    <cellStyle name="2_단가조사표_수량산출서 (2)" xfId="2317"/>
    <cellStyle name="2_단가조사표_엑스포~1" xfId="2318"/>
    <cellStyle name="2_단가조사표_엑스포한빛1" xfId="2319"/>
    <cellStyle name="2_단가조사표_여객터미널331" xfId="2320"/>
    <cellStyle name="2_단가조사표_여객터미널513" xfId="2321"/>
    <cellStyle name="2_단가조사표_여객터미널629" xfId="2322"/>
    <cellStyle name="2_단가조사표_외곽도로616" xfId="2323"/>
    <cellStyle name="2_단가조사표_용인죽전수량" xfId="2324"/>
    <cellStyle name="2_단가조사표_원가계~1" xfId="2325"/>
    <cellStyle name="2_단가조사표_유기질" xfId="2326"/>
    <cellStyle name="2_단가조사표_자재조서 (2)" xfId="2327"/>
    <cellStyle name="2_단가조사표_총괄내역" xfId="2328"/>
    <cellStyle name="2_단가조사표_총괄내역 (2)" xfId="2329"/>
    <cellStyle name="2_단가조사표_터미널도로403" xfId="2330"/>
    <cellStyle name="2_단가조사표_터미널도로429" xfId="2331"/>
    <cellStyle name="2_단가조사표_포장일위" xfId="2332"/>
    <cellStyle name="20% - 강조색1" xfId="2333" builtinId="30" customBuiltin="1"/>
    <cellStyle name="20% - 강조색2" xfId="2334" builtinId="34" customBuiltin="1"/>
    <cellStyle name="20% - 강조색3" xfId="2335" builtinId="38" customBuiltin="1"/>
    <cellStyle name="20% - 강조색4" xfId="2336" builtinId="42" customBuiltin="1"/>
    <cellStyle name="20% - 강조색5" xfId="2337" builtinId="46" customBuiltin="1"/>
    <cellStyle name="20% - 강조색6" xfId="2338" builtinId="50" customBuiltin="1"/>
    <cellStyle name="3" xfId="2339"/>
    <cellStyle name="³?a" xfId="2340"/>
    <cellStyle name="³¯â¥" xfId="2341"/>
    <cellStyle name="40% - 강조색1" xfId="2342" builtinId="31" customBuiltin="1"/>
    <cellStyle name="40% - 강조색2" xfId="2343" builtinId="35" customBuiltin="1"/>
    <cellStyle name="40% - 강조색3" xfId="2344" builtinId="39" customBuiltin="1"/>
    <cellStyle name="40% - 강조색4" xfId="2345" builtinId="43" customBuiltin="1"/>
    <cellStyle name="40% - 강조색5" xfId="2346" builtinId="47" customBuiltin="1"/>
    <cellStyle name="40% - 강조색6" xfId="2347" builtinId="51" customBuiltin="1"/>
    <cellStyle name="6" xfId="2348"/>
    <cellStyle name="60% - 강조색1" xfId="2349" builtinId="32" customBuiltin="1"/>
    <cellStyle name="60% - 강조색2" xfId="2350" builtinId="36" customBuiltin="1"/>
    <cellStyle name="60% - 강조색3" xfId="2351" builtinId="40" customBuiltin="1"/>
    <cellStyle name="60% - 강조색4" xfId="2352" builtinId="44" customBuiltin="1"/>
    <cellStyle name="60% - 강조색5" xfId="2353" builtinId="48" customBuiltin="1"/>
    <cellStyle name="60% - 강조색6" xfId="2354" builtinId="52" customBuiltin="1"/>
    <cellStyle name="96" xfId="2355"/>
    <cellStyle name="a)" xfId="2356"/>
    <cellStyle name="A¨­￠￢￠O [0]_AO¨uRCN¡¾U " xfId="2357"/>
    <cellStyle name="A¨­￠￢￠O_AO¨uRCN¡¾U " xfId="2358"/>
    <cellStyle name="aaa" xfId="2359"/>
    <cellStyle name="AeE­ [0]_ 2ÆAAþº° " xfId="2360"/>
    <cellStyle name="ÅëÈ­ [0]_»óºÎ¼ö·®Áý°è " xfId="2361"/>
    <cellStyle name="AeE­ [0]_A¾CO½A¼³ " xfId="2362"/>
    <cellStyle name="ÅëÈ­ [0]_Sheet1" xfId="2363"/>
    <cellStyle name="AeE­_ 2ÆAAþº° " xfId="2364"/>
    <cellStyle name="ÅëÈ­_»óºÎ¼ö·®Áý°è " xfId="2365"/>
    <cellStyle name="AeE­_A¾CO½A¼³ " xfId="2366"/>
    <cellStyle name="ÅëÈ­_Sheet1" xfId="2367"/>
    <cellStyle name="AeE¡ⓒ [0]_AO¨uRCN¡¾U " xfId="2368"/>
    <cellStyle name="AeE¡ⓒ_AO¨uRCN¡¾U " xfId="2369"/>
    <cellStyle name="Æu¼ " xfId="2370"/>
    <cellStyle name="Æû¼¾æ®" xfId="2371"/>
    <cellStyle name="ALIGNMENT" xfId="2372"/>
    <cellStyle name="AÞ¸¶ [0]_ 2ÆAAþº° " xfId="2373"/>
    <cellStyle name="ÄÞ¸¶ [0]_»óºÎ¼ö·®Áý°è " xfId="2374"/>
    <cellStyle name="AÞ¸¶ [0]_A¾CO½A¼³ " xfId="2375"/>
    <cellStyle name="ÄÞ¸¶ [0]_Sheet1" xfId="2376"/>
    <cellStyle name="AÞ¸¶_ 2ÆAAþº° " xfId="2377"/>
    <cellStyle name="ÄÞ¸¶_»óºÎ¼ö·®Áý°è " xfId="2378"/>
    <cellStyle name="AÞ¸¶_A¾CO½A¼³ " xfId="2379"/>
    <cellStyle name="ÄÞ¸¶_Sheet1" xfId="2380"/>
    <cellStyle name="Àú¸®¼ö" xfId="2381"/>
    <cellStyle name="Àú¸®¼ö0" xfId="2382"/>
    <cellStyle name="Au¸r " xfId="2383"/>
    <cellStyle name="Au¸r¼" xfId="2384"/>
    <cellStyle name="b椬ៜ_x000c_Comma_ODCOS " xfId="2385"/>
    <cellStyle name="C¡IA¨ª_¡ic¨u¡A¨￢I¨￢¡Æ AN¡Æe " xfId="2386"/>
    <cellStyle name="C￥AØ_ 2ÆAAþº° " xfId="2387"/>
    <cellStyle name="Ç¥ÁØ_»óºÎ¼ö·®Áý°è " xfId="2388"/>
    <cellStyle name="C￥AØ_≫c¾÷ºIº° AN°e " xfId="2389"/>
    <cellStyle name="Ç¥ÁØ_ÀÏÀ§´ë°¡ (2)" xfId="2390"/>
    <cellStyle name="Calc Currency (0)" xfId="2391"/>
    <cellStyle name="category" xfId="2392"/>
    <cellStyle name="Çõ»ê" xfId="2393"/>
    <cellStyle name="Co≫" xfId="2394"/>
    <cellStyle name="Comma" xfId="2395"/>
    <cellStyle name="Comma [0]" xfId="2396"/>
    <cellStyle name="comma zerodec" xfId="2397"/>
    <cellStyle name="Comma_ SG&amp;A Bridge " xfId="2398"/>
    <cellStyle name="Comma0" xfId="2399"/>
    <cellStyle name="Curren" xfId="2400"/>
    <cellStyle name="Currenby_Cash&amp;DSO Chart" xfId="2401"/>
    <cellStyle name="Currency" xfId="2402"/>
    <cellStyle name="Currency [0]" xfId="2403"/>
    <cellStyle name="Currency [ﺜ]_P&amp;L_laroux" xfId="2404"/>
    <cellStyle name="Currency_ SG&amp;A Bridge " xfId="2405"/>
    <cellStyle name="Currency0" xfId="2406"/>
    <cellStyle name="Currency1" xfId="2407"/>
    <cellStyle name="Date" xfId="2408"/>
    <cellStyle name="de" xfId="2409"/>
    <cellStyle name="Dezimal [0]_Compiling Utility Macros" xfId="2410"/>
    <cellStyle name="Dezimal_Compiling Utility Macros" xfId="2411"/>
    <cellStyle name="Dollar (zero dec)" xfId="2412"/>
    <cellStyle name="EA" xfId="2413"/>
    <cellStyle name="E­æo±" xfId="2414"/>
    <cellStyle name="E­æo±a" xfId="2415"/>
    <cellStyle name="È­æó±âè£" xfId="2416"/>
    <cellStyle name="È­æó±âè£0" xfId="2417"/>
    <cellStyle name="Euro" xfId="2418"/>
    <cellStyle name="F2" xfId="2419"/>
    <cellStyle name="F3" xfId="2420"/>
    <cellStyle name="F4" xfId="2421"/>
    <cellStyle name="F5" xfId="2422"/>
    <cellStyle name="F6" xfId="2423"/>
    <cellStyle name="F7" xfId="2424"/>
    <cellStyle name="F8" xfId="2425"/>
    <cellStyle name="Fixed" xfId="2426"/>
    <cellStyle name="g" xfId="2427"/>
    <cellStyle name="Grey" xfId="2428"/>
    <cellStyle name="H1" xfId="2429"/>
    <cellStyle name="H2" xfId="2430"/>
    <cellStyle name="HEADER" xfId="2431"/>
    <cellStyle name="Header1" xfId="2432"/>
    <cellStyle name="Header2" xfId="2433"/>
    <cellStyle name="Heading 1" xfId="2434"/>
    <cellStyle name="Heading 2" xfId="2435"/>
    <cellStyle name="Heading1" xfId="2436"/>
    <cellStyle name="Heading2" xfId="2437"/>
    <cellStyle name="Hyperlink_NEGS" xfId="2438"/>
    <cellStyle name="Input [yellow]" xfId="2439"/>
    <cellStyle name="Midtitle" xfId="2440"/>
    <cellStyle name="Milliers [0]_399GC10" xfId="2441"/>
    <cellStyle name="Milliers_399GC10" xfId="2442"/>
    <cellStyle name="mmm" xfId="2443"/>
    <cellStyle name="Model" xfId="2444"/>
    <cellStyle name="Mon?aire [0]_399GC10" xfId="2445"/>
    <cellStyle name="Mon?aire_399GC10" xfId="2446"/>
    <cellStyle name="n" xfId="2447"/>
    <cellStyle name="no dec" xfId="2448"/>
    <cellStyle name="normal" xfId="2449"/>
    <cellStyle name="Normal - Style1" xfId="2450"/>
    <cellStyle name="Normal - 유형1" xfId="2451"/>
    <cellStyle name="Normal_ SG&amp;A Bridge" xfId="2452"/>
    <cellStyle name="O" xfId="2453"/>
    <cellStyle name="OD" xfId="2454"/>
    <cellStyle name="Œ…?æ맖?e [0.00]_laroux" xfId="2455"/>
    <cellStyle name="Œ…?æ맖?e_laroux" xfId="2456"/>
    <cellStyle name="Percent" xfId="2457"/>
    <cellStyle name="Percent [2]" xfId="2458"/>
    <cellStyle name="Percent_(범이줄거)부대공수량0211" xfId="2459"/>
    <cellStyle name="Q1" xfId="2460"/>
    <cellStyle name="Q4" xfId="2461"/>
    <cellStyle name="s" xfId="2462"/>
    <cellStyle name="S " xfId="2463"/>
    <cellStyle name="Standard_Anpassen der Amortisation" xfId="2464"/>
    <cellStyle name="subhead" xfId="2465"/>
    <cellStyle name="t1" xfId="2466"/>
    <cellStyle name="testtitle" xfId="2467"/>
    <cellStyle name="Title" xfId="2468"/>
    <cellStyle name="title [1]" xfId="2469"/>
    <cellStyle name="title [2]" xfId="2470"/>
    <cellStyle name="ton" xfId="2471"/>
    <cellStyle name="Total" xfId="2472"/>
    <cellStyle name="UM" xfId="2473"/>
    <cellStyle name="W?rung [0]_Compiling Utility Macros" xfId="2474"/>
    <cellStyle name="W?rung_Compiling Utility Macros" xfId="2475"/>
    <cellStyle name="강조색1" xfId="2476" builtinId="29" customBuiltin="1"/>
    <cellStyle name="강조색2" xfId="2477" builtinId="33" customBuiltin="1"/>
    <cellStyle name="강조색3" xfId="2478" builtinId="37" customBuiltin="1"/>
    <cellStyle name="강조색4" xfId="2479" builtinId="41" customBuiltin="1"/>
    <cellStyle name="강조색5" xfId="2480" builtinId="45" customBuiltin="1"/>
    <cellStyle name="강조색6" xfId="2481" builtinId="49" customBuiltin="1"/>
    <cellStyle name="경고문" xfId="2482" builtinId="11" customBuiltin="1"/>
    <cellStyle name="계산" xfId="2483" builtinId="22" customBuiltin="1"/>
    <cellStyle name="고정소숫점" xfId="2484"/>
    <cellStyle name="고정출력1" xfId="2485"/>
    <cellStyle name="고정출력2" xfId="2486"/>
    <cellStyle name="공사원가계산서(조경)" xfId="2487"/>
    <cellStyle name="그림" xfId="2488"/>
    <cellStyle name="나쁨" xfId="2489" builtinId="27" customBuiltin="1"/>
    <cellStyle name="날짜" xfId="2490"/>
    <cellStyle name="내역서" xfId="2491"/>
    <cellStyle name="내역서적용수량_공종번호" xfId="2492"/>
    <cellStyle name="단위" xfId="2493"/>
    <cellStyle name="달러" xfId="2494"/>
    <cellStyle name="뒤에 오는 하이퍼링크" xfId="2495"/>
    <cellStyle name="똿떓죶Ø괻 [0.00]_PRODUCT DETAIL Q1" xfId="2496"/>
    <cellStyle name="똿떓죶Ø괻_PRODUCT DETAIL Q1" xfId="2497"/>
    <cellStyle name="똿뗦먛귟 [0.00]_PRODUCT DETAIL Q1" xfId="2498"/>
    <cellStyle name="똿뗦먛귟_PRODUCT DETAIL Q1" xfId="2499"/>
    <cellStyle name="라인" xfId="2500"/>
    <cellStyle name="ㅁㅁㅁ" xfId="2501"/>
    <cellStyle name="마이너스키" xfId="2502"/>
    <cellStyle name="메모" xfId="2503" builtinId="10" customBuiltin="1"/>
    <cellStyle name="묮뎋 [0.00]_PRODUCT DETAIL Q1" xfId="2504"/>
    <cellStyle name="묮뎋_PRODUCT DETAIL Q1" xfId="2505"/>
    <cellStyle name="믅됞 [0.00]_PRODUCT DETAIL Q1" xfId="2506"/>
    <cellStyle name="믅됞_PRODUCT DETAIL Q1" xfId="2507"/>
    <cellStyle name="배분" xfId="2508"/>
    <cellStyle name="백" xfId="2509"/>
    <cellStyle name="백 " xfId="2510"/>
    <cellStyle name="백분율 [△1]" xfId="2511"/>
    <cellStyle name="백분율 [△2]" xfId="2512"/>
    <cellStyle name="백분율 [0]" xfId="2513"/>
    <cellStyle name="백분율 [2]" xfId="2514"/>
    <cellStyle name="백분율［△1］" xfId="2515"/>
    <cellStyle name="백분율［△2］" xfId="2516"/>
    <cellStyle name="보통" xfId="2517" builtinId="28" customBuiltin="1"/>
    <cellStyle name="뷭?_BOOKSHIP" xfId="2518"/>
    <cellStyle name="선택영역" xfId="2519"/>
    <cellStyle name="선택영역의 가운데로" xfId="2520"/>
    <cellStyle name="설명 텍스트" xfId="2521" builtinId="53" customBuiltin="1"/>
    <cellStyle name="셀 확인" xfId="2522" builtinId="23" customBuiltin="1"/>
    <cellStyle name="소숫점0" xfId="2523"/>
    <cellStyle name="소숫점3" xfId="2524"/>
    <cellStyle name="수량산출" xfId="2525"/>
    <cellStyle name="숫자(R)" xfId="2526"/>
    <cellStyle name="쉼표 [0] 2" xfId="2527"/>
    <cellStyle name="쉼표 [0] 3" xfId="2528"/>
    <cellStyle name="쉼표 [0] 4" xfId="2529"/>
    <cellStyle name="스타일 1" xfId="2530"/>
    <cellStyle name="스타일 2" xfId="2531"/>
    <cellStyle name="스타일 3" xfId="2532"/>
    <cellStyle name="스타일 4" xfId="2533"/>
    <cellStyle name="안건회계법인" xfId="2534"/>
    <cellStyle name="연결된 셀" xfId="2535" builtinId="24" customBuiltin="1"/>
    <cellStyle name="요약" xfId="2536" builtinId="25" customBuiltin="1"/>
    <cellStyle name="우괄호_박심배수구조물공" xfId="2537"/>
    <cellStyle name="우측양괄호" xfId="2538"/>
    <cellStyle name="유1" xfId="2539"/>
    <cellStyle name="일반" xfId="2540"/>
    <cellStyle name="입력" xfId="2541" builtinId="20" customBuiltin="1"/>
    <cellStyle name="자리수" xfId="2542"/>
    <cellStyle name="자리수0" xfId="2543"/>
    <cellStyle name="제곱" xfId="2544"/>
    <cellStyle name="제목" xfId="2545" builtinId="15" customBuiltin="1"/>
    <cellStyle name="제목 1" xfId="2546" builtinId="16" customBuiltin="1"/>
    <cellStyle name="제목 2" xfId="2547" builtinId="17" customBuiltin="1"/>
    <cellStyle name="제목 3" xfId="2548" builtinId="18" customBuiltin="1"/>
    <cellStyle name="제목 4" xfId="2549" builtinId="19" customBuiltin="1"/>
    <cellStyle name="좋음" xfId="2550" builtinId="26" customBuiltin="1"/>
    <cellStyle name="좌괄호_박심배수구조물공" xfId="2551"/>
    <cellStyle name="좌측양괄호" xfId="2552"/>
    <cellStyle name="지정되지 않음" xfId="2553"/>
    <cellStyle name="출력" xfId="2554" builtinId="21" customBuiltin="1"/>
    <cellStyle name="콤" xfId="2555"/>
    <cellStyle name="콤_02.토공사(자연생태복원)" xfId="2556"/>
    <cellStyle name="콤_02.토공사(자연생태복원)_001.연약지반개량공_" xfId="2557"/>
    <cellStyle name="콤_02.토공사(자연생태복원)_001.연약지반개량공-완료" xfId="2558"/>
    <cellStyle name="콤_02.토공사(자연생태복원)_001.연약지반개량공-작업중" xfId="2559"/>
    <cellStyle name="콤_02-5.비옥토" xfId="2560"/>
    <cellStyle name="콤_02-5.비옥토_001.연약지반개량공_" xfId="2561"/>
    <cellStyle name="콤_02-5.비옥토_001.연약지반개량공-완료" xfId="2562"/>
    <cellStyle name="콤_02-5.비옥토_001.연약지반개량공-작업중" xfId="2563"/>
    <cellStyle name="콤_Book1" xfId="2564"/>
    <cellStyle name="콤_Book1_1" xfId="2565"/>
    <cellStyle name="콤_건축물깨기조서(시산지구최종)" xfId="2566"/>
    <cellStyle name="콤_복사본 03.연약지반처리공사(다짐말뚝)" xfId="2567"/>
    <cellStyle name="콤_산업단지-건설폐기물처리공사" xfId="2568"/>
    <cellStyle name="콤_우수공사(j)" xfId="2569"/>
    <cellStyle name="콤_폐기물수량_070820" xfId="2570"/>
    <cellStyle name="콤_폐스레트수량산출" xfId="2571"/>
    <cellStyle name="콤마 [" xfId="2572"/>
    <cellStyle name="콤마 [#]" xfId="2573"/>
    <cellStyle name="콤마 []" xfId="2574"/>
    <cellStyle name="콤마 [_02.토공사(자연생태복원)" xfId="2575"/>
    <cellStyle name="콤마 [0]_ 4.하중계산  " xfId="2576"/>
    <cellStyle name="콤마 [000]" xfId="2577"/>
    <cellStyle name="콤마 [1]" xfId="2578"/>
    <cellStyle name="콤마 [2]" xfId="2579"/>
    <cellStyle name="콤마 [금액]" xfId="2580"/>
    <cellStyle name="콤마 [소수]" xfId="2581"/>
    <cellStyle name="콤마 [수량]" xfId="2582"/>
    <cellStyle name="콤마[ ]" xfId="2583"/>
    <cellStyle name="콤마[*]" xfId="2584"/>
    <cellStyle name="콤마[,]" xfId="2585"/>
    <cellStyle name="콤마[.]" xfId="2586"/>
    <cellStyle name="콤마[0]" xfId="2587"/>
    <cellStyle name="콤마_ 4.하중계산  " xfId="2588"/>
    <cellStyle name="타이틀" xfId="2589"/>
    <cellStyle name="토공" xfId="2590"/>
    <cellStyle name="통" xfId="2591"/>
    <cellStyle name="통_02.토공사(자연생태복원)" xfId="2592"/>
    <cellStyle name="통_02.토공사(자연생태복원)_001.연약지반개량공_" xfId="2593"/>
    <cellStyle name="통_02.토공사(자연생태복원)_001.연약지반개량공-완료" xfId="2594"/>
    <cellStyle name="통_02.토공사(자연생태복원)_001.연약지반개량공-작업중" xfId="2595"/>
    <cellStyle name="통_02-5.비옥토" xfId="2596"/>
    <cellStyle name="통_02-5.비옥토_001.연약지반개량공_" xfId="2597"/>
    <cellStyle name="통_02-5.비옥토_001.연약지반개량공-완료" xfId="2598"/>
    <cellStyle name="통_02-5.비옥토_001.연약지반개량공-작업중" xfId="2599"/>
    <cellStyle name="통_Book1" xfId="2600"/>
    <cellStyle name="통_Book1_1" xfId="2601"/>
    <cellStyle name="통_건축물깨기조서(시산지구최종)" xfId="2602"/>
    <cellStyle name="통_복사본 03.연약지반처리공사(다짐말뚝)" xfId="2603"/>
    <cellStyle name="통_산업단지-건설폐기물처리공사" xfId="2604"/>
    <cellStyle name="통_우수공사(j)" xfId="2605"/>
    <cellStyle name="통_폐기물수량_070820" xfId="2606"/>
    <cellStyle name="통_폐스레트수량산출" xfId="2607"/>
    <cellStyle name="통화 [" xfId="2608"/>
    <cellStyle name="통화 [0㉝〸" xfId="2609"/>
    <cellStyle name="퍼센트" xfId="2610"/>
    <cellStyle name="표" xfId="2611"/>
    <cellStyle name="표_02.토공사(자연생태복원)" xfId="2612"/>
    <cellStyle name="표_02.토공사(자연생태복원)_001.연약지반개량공_" xfId="2613"/>
    <cellStyle name="표_02.토공사(자연생태복원)_001.연약지반개량공-완료" xfId="2614"/>
    <cellStyle name="표_02.토공사(자연생태복원)_001.연약지반개량공-작업중" xfId="2615"/>
    <cellStyle name="표_02-5.비옥토" xfId="2616"/>
    <cellStyle name="표_02-5.비옥토_001.연약지반개량공_" xfId="2617"/>
    <cellStyle name="표_02-5.비옥토_001.연약지반개량공-완료" xfId="2618"/>
    <cellStyle name="표_02-5.비옥토_001.연약지반개량공-작업중" xfId="2619"/>
    <cellStyle name="표_Book1" xfId="2620"/>
    <cellStyle name="표_Book1_1" xfId="2621"/>
    <cellStyle name="표_건축물깨기조서(시산지구최종)" xfId="2622"/>
    <cellStyle name="표_복사본 03.연약지반처리공사(다짐말뚝)" xfId="2623"/>
    <cellStyle name="표_산업단지-건설폐기물처리공사" xfId="2624"/>
    <cellStyle name="표_우수공사(j)" xfId="2625"/>
    <cellStyle name="표_폐기물수량_070820" xfId="2626"/>
    <cellStyle name="표_폐스레트수량산출" xfId="2627"/>
    <cellStyle name="표준" xfId="0" builtinId="0"/>
    <cellStyle name="표준 2" xfId="2628"/>
    <cellStyle name="표준 2 2" xfId="2629"/>
    <cellStyle name="표준 2_식만-사상_연약지반 처리공(ve반영)-간접비적용" xfId="2630"/>
    <cellStyle name="표준 3" xfId="2631"/>
    <cellStyle name="표준 4" xfId="2632"/>
    <cellStyle name="표준 5" xfId="2633"/>
    <cellStyle name="표준 6" xfId="2634"/>
    <cellStyle name="표준_07 상수도공사" xfId="2635"/>
    <cellStyle name="標準_Akia(F）-8" xfId="2636"/>
    <cellStyle name="표준_sheet" xfId="2637"/>
    <cellStyle name="표준_복사본 03.연약지반처리공사(다짐말뚝)" xfId="2638"/>
    <cellStyle name="표준1" xfId="2639"/>
    <cellStyle name="표준2" xfId="2640"/>
    <cellStyle name="합산" xfId="2641"/>
    <cellStyle name="화폐기호" xfId="2642"/>
    <cellStyle name="화폐기호0" xfId="26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295" name="Line 1"/>
        <xdr:cNvSpPr>
          <a:spLocks noChangeShapeType="1"/>
        </xdr:cNvSpPr>
      </xdr:nvSpPr>
      <xdr:spPr bwMode="auto">
        <a:xfrm flipV="1">
          <a:off x="5734050" y="1143000"/>
          <a:ext cx="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296" name="Line 2"/>
        <xdr:cNvSpPr>
          <a:spLocks noChangeShapeType="1"/>
        </xdr:cNvSpPr>
      </xdr:nvSpPr>
      <xdr:spPr bwMode="auto">
        <a:xfrm flipV="1">
          <a:off x="5734050" y="1143000"/>
          <a:ext cx="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297" name="Line 3"/>
        <xdr:cNvSpPr>
          <a:spLocks noChangeShapeType="1"/>
        </xdr:cNvSpPr>
      </xdr:nvSpPr>
      <xdr:spPr bwMode="auto">
        <a:xfrm flipV="1">
          <a:off x="5734050" y="1143000"/>
          <a:ext cx="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298" name="Line 4"/>
        <xdr:cNvSpPr>
          <a:spLocks noChangeShapeType="1"/>
        </xdr:cNvSpPr>
      </xdr:nvSpPr>
      <xdr:spPr bwMode="auto">
        <a:xfrm flipV="1">
          <a:off x="5734050" y="1143000"/>
          <a:ext cx="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0</xdr:colOff>
      <xdr:row>3</xdr:row>
      <xdr:rowOff>0</xdr:rowOff>
    </xdr:to>
    <xdr:sp macro="" textlink="">
      <xdr:nvSpPr>
        <xdr:cNvPr id="1299" name="Line 5"/>
        <xdr:cNvSpPr>
          <a:spLocks noChangeShapeType="1"/>
        </xdr:cNvSpPr>
      </xdr:nvSpPr>
      <xdr:spPr bwMode="auto">
        <a:xfrm flipV="1">
          <a:off x="5734050" y="1143000"/>
          <a:ext cx="0" cy="0"/>
        </a:xfrm>
        <a:prstGeom prst="line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8136" name="Line 1"/>
        <xdr:cNvSpPr>
          <a:spLocks noChangeShapeType="1"/>
        </xdr:cNvSpPr>
      </xdr:nvSpPr>
      <xdr:spPr bwMode="auto">
        <a:xfrm>
          <a:off x="12372975" y="68580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53</xdr:row>
      <xdr:rowOff>0</xdr:rowOff>
    </xdr:from>
    <xdr:to>
      <xdr:col>21</xdr:col>
      <xdr:colOff>0</xdr:colOff>
      <xdr:row>53</xdr:row>
      <xdr:rowOff>0</xdr:rowOff>
    </xdr:to>
    <xdr:sp macro="" textlink="">
      <xdr:nvSpPr>
        <xdr:cNvPr id="28137" name="Line 2"/>
        <xdr:cNvSpPr>
          <a:spLocks noChangeShapeType="1"/>
        </xdr:cNvSpPr>
      </xdr:nvSpPr>
      <xdr:spPr bwMode="auto">
        <a:xfrm>
          <a:off x="12372975" y="58864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3</xdr:row>
      <xdr:rowOff>0</xdr:rowOff>
    </xdr:from>
    <xdr:to>
      <xdr:col>21</xdr:col>
      <xdr:colOff>0</xdr:colOff>
      <xdr:row>3</xdr:row>
      <xdr:rowOff>0</xdr:rowOff>
    </xdr:to>
    <xdr:sp macro="" textlink="">
      <xdr:nvSpPr>
        <xdr:cNvPr id="28138" name="Line 3"/>
        <xdr:cNvSpPr>
          <a:spLocks noChangeShapeType="1"/>
        </xdr:cNvSpPr>
      </xdr:nvSpPr>
      <xdr:spPr bwMode="auto">
        <a:xfrm>
          <a:off x="12372975" y="68580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53</xdr:row>
      <xdr:rowOff>0</xdr:rowOff>
    </xdr:from>
    <xdr:to>
      <xdr:col>21</xdr:col>
      <xdr:colOff>0</xdr:colOff>
      <xdr:row>53</xdr:row>
      <xdr:rowOff>0</xdr:rowOff>
    </xdr:to>
    <xdr:sp macro="" textlink="">
      <xdr:nvSpPr>
        <xdr:cNvPr id="28139" name="Line 4"/>
        <xdr:cNvSpPr>
          <a:spLocks noChangeShapeType="1"/>
        </xdr:cNvSpPr>
      </xdr:nvSpPr>
      <xdr:spPr bwMode="auto">
        <a:xfrm>
          <a:off x="12372975" y="588645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53</xdr:row>
      <xdr:rowOff>0</xdr:rowOff>
    </xdr:from>
    <xdr:to>
      <xdr:col>21</xdr:col>
      <xdr:colOff>0</xdr:colOff>
      <xdr:row>53</xdr:row>
      <xdr:rowOff>0</xdr:rowOff>
    </xdr:to>
    <xdr:sp macro="" textlink="">
      <xdr:nvSpPr>
        <xdr:cNvPr id="28140" name="Line 5"/>
        <xdr:cNvSpPr>
          <a:spLocks noChangeShapeType="1"/>
        </xdr:cNvSpPr>
      </xdr:nvSpPr>
      <xdr:spPr bwMode="auto">
        <a:xfrm>
          <a:off x="12372975" y="588645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0</xdr:colOff>
      <xdr:row>3</xdr:row>
      <xdr:rowOff>0</xdr:rowOff>
    </xdr:from>
    <xdr:to>
      <xdr:col>36</xdr:col>
      <xdr:colOff>0</xdr:colOff>
      <xdr:row>3</xdr:row>
      <xdr:rowOff>0</xdr:rowOff>
    </xdr:to>
    <xdr:sp macro="" textlink="">
      <xdr:nvSpPr>
        <xdr:cNvPr id="28141" name="Line 6"/>
        <xdr:cNvSpPr>
          <a:spLocks noChangeShapeType="1"/>
        </xdr:cNvSpPr>
      </xdr:nvSpPr>
      <xdr:spPr bwMode="auto">
        <a:xfrm>
          <a:off x="15944850" y="68580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0</xdr:colOff>
      <xdr:row>53</xdr:row>
      <xdr:rowOff>0</xdr:rowOff>
    </xdr:from>
    <xdr:to>
      <xdr:col>36</xdr:col>
      <xdr:colOff>0</xdr:colOff>
      <xdr:row>53</xdr:row>
      <xdr:rowOff>0</xdr:rowOff>
    </xdr:to>
    <xdr:sp macro="" textlink="">
      <xdr:nvSpPr>
        <xdr:cNvPr id="28142" name="Line 7"/>
        <xdr:cNvSpPr>
          <a:spLocks noChangeShapeType="1"/>
        </xdr:cNvSpPr>
      </xdr:nvSpPr>
      <xdr:spPr bwMode="auto">
        <a:xfrm>
          <a:off x="15944850" y="58864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0</xdr:colOff>
      <xdr:row>3</xdr:row>
      <xdr:rowOff>0</xdr:rowOff>
    </xdr:from>
    <xdr:to>
      <xdr:col>36</xdr:col>
      <xdr:colOff>0</xdr:colOff>
      <xdr:row>3</xdr:row>
      <xdr:rowOff>0</xdr:rowOff>
    </xdr:to>
    <xdr:sp macro="" textlink="">
      <xdr:nvSpPr>
        <xdr:cNvPr id="28143" name="Line 8"/>
        <xdr:cNvSpPr>
          <a:spLocks noChangeShapeType="1"/>
        </xdr:cNvSpPr>
      </xdr:nvSpPr>
      <xdr:spPr bwMode="auto">
        <a:xfrm>
          <a:off x="15944850" y="68580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0</xdr:colOff>
      <xdr:row>53</xdr:row>
      <xdr:rowOff>0</xdr:rowOff>
    </xdr:from>
    <xdr:to>
      <xdr:col>36</xdr:col>
      <xdr:colOff>0</xdr:colOff>
      <xdr:row>53</xdr:row>
      <xdr:rowOff>0</xdr:rowOff>
    </xdr:to>
    <xdr:sp macro="" textlink="">
      <xdr:nvSpPr>
        <xdr:cNvPr id="28144" name="Line 9"/>
        <xdr:cNvSpPr>
          <a:spLocks noChangeShapeType="1"/>
        </xdr:cNvSpPr>
      </xdr:nvSpPr>
      <xdr:spPr bwMode="auto">
        <a:xfrm>
          <a:off x="15944850" y="588645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0</xdr:colOff>
      <xdr:row>53</xdr:row>
      <xdr:rowOff>0</xdr:rowOff>
    </xdr:from>
    <xdr:to>
      <xdr:col>36</xdr:col>
      <xdr:colOff>0</xdr:colOff>
      <xdr:row>53</xdr:row>
      <xdr:rowOff>0</xdr:rowOff>
    </xdr:to>
    <xdr:sp macro="" textlink="">
      <xdr:nvSpPr>
        <xdr:cNvPr id="28145" name="Line 10"/>
        <xdr:cNvSpPr>
          <a:spLocks noChangeShapeType="1"/>
        </xdr:cNvSpPr>
      </xdr:nvSpPr>
      <xdr:spPr bwMode="auto">
        <a:xfrm>
          <a:off x="15944850" y="5886450"/>
          <a:ext cx="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1221;&#50528;\C\&#46020;&#47732;\SAMPLE\&#44397;&#46020;\&#45224;&#49324;&#47560;&#51012;\02-&#49688;&#47049;\04-&#48512;&#45824;&#44277;(&#45224;&#49324;&#51648;&#4439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d010\01.&#44608;&#54644;&#45909;&#50516;2&#51068;&#48152;&#49328;&#50629;&#45800;&#51648;\&#50641;&#49472;DATA\&#54861;&#51452;&#51076;\Book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ivil410\04.&#48376;&#49328;%20&#51088;&#50672;&#51116;&#54644;&#50948;&#54744;&#44060;&#49440;&#51648;&#44396;%20&#51221;&#48708;&#49324;&#50629;\Documents%20and%20Settings\&#45432;&#44592;&#54872;\My%20Documents\Sap-dat\&#45800;&#48149;&#49828;m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532;&#47536;&#53552;\D\1999\GUNIL&#45824;&#44396;\PROJECT\QUANT\gasul\JB-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28\&#51228;&#51452;&#46020;&#47196;&#44277;&#49324;\31\DATA\DONGA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1\DATA\DONGA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&#44400;&#54252;\DATA\XLS\DONGA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31\&#53685;&#50689;&#46020;&#49884;&#44228;&#54925;\project1(&#51221;&#44288;~&#52384;&#47560;)\&#51221;&#44288;&#49328;&#50629;&#45800;&#51648;%20&#51652;&#51077;&#46020;&#47196;(&#51221;&#44288;~&#52384;&#47560;)%20&#44592;&#48376;%20&#48143;%20&#49892;&#49884;&#49444;&#44228;\2.&#49688;&#47049;&#49328;&#52636;&#49436;\3.&#48176;&#49688;&#44277;\&#48176;&#49688;&#44277;&#52509;&#442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-부대공(남사지구)"/>
      <sheetName val="DATA 입력란"/>
      <sheetName val="1. 설계조건 2.단면가정 3. 하중계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Sheet1"/>
      <sheetName val="Sheet2"/>
      <sheetName val="Sheet3"/>
      <sheetName val="VXXXXX"/>
      <sheetName val="000000"/>
      <sheetName val="집계표"/>
      <sheetName val="List"/>
      <sheetName val="단위수량"/>
      <sheetName val="구조물공"/>
      <sheetName val="토공 집계표"/>
      <sheetName val="작업구 토공 집계표 "/>
      <sheetName val=" 발진작업구 토공 "/>
      <sheetName val=" 도달작업구 토공"/>
      <sheetName val="그리드위치조서"/>
      <sheetName val="지선관로토공집계표"/>
      <sheetName val="수민1"/>
      <sheetName val="수민1-1"/>
      <sheetName val="수민1-2"/>
      <sheetName val="수민1-3"/>
      <sheetName val="수민1-4"/>
      <sheetName val="수민1-4-1"/>
      <sheetName val="수민1-5"/>
      <sheetName val="수민1-5-1"/>
      <sheetName val="수민1-6"/>
      <sheetName val="수민1-7"/>
      <sheetName val="수민1-8"/>
      <sheetName val="수민1-9"/>
      <sheetName val="수민1-9-1"/>
      <sheetName val="수민1-10"/>
      <sheetName val="소포내역"/>
      <sheetName val="소포내역 (2)"/>
      <sheetName val="신규(일위)"/>
      <sheetName val="개요"/>
      <sheetName val="표지 "/>
      <sheetName val="총괄표"/>
      <sheetName val="Sheet9"/>
      <sheetName val="Sheet8"/>
      <sheetName val="공통단가"/>
      <sheetName val="운반비"/>
      <sheetName val="Sheet1 (2)"/>
      <sheetName val="사업개요"/>
      <sheetName val="서류"/>
      <sheetName val="내역"/>
      <sheetName val="공사비 증감 구분"/>
      <sheetName val="개보수총공사비"/>
      <sheetName val="총괄"/>
      <sheetName val="덕례배수장"/>
      <sheetName val="스크린"/>
      <sheetName val="2002양배"/>
      <sheetName val="xxxxxx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000000000"/>
      <sheetName val="100000000"/>
      <sheetName val="200000000"/>
      <sheetName val="300000000"/>
      <sheetName val="400000000"/>
      <sheetName val="500000000"/>
      <sheetName val="600000000"/>
      <sheetName val="700000000"/>
      <sheetName val="800000000"/>
      <sheetName val="900000000"/>
      <sheetName val="손익금내역"/>
      <sheetName val="사업총괄"/>
      <sheetName val="Sheet4"/>
      <sheetName val="Sheet5"/>
      <sheetName val="Sheet6"/>
      <sheetName val="Sheet7"/>
      <sheetName val="Sheet10"/>
      <sheetName val="Sheet11"/>
      <sheetName val="Sheet12"/>
      <sheetName val="Sheet13"/>
      <sheetName val="Sheet14"/>
      <sheetName val="Sheet15"/>
      <sheetName val="Sheet16"/>
      <sheetName val="------"/>
      <sheetName val="한컴"/>
      <sheetName val="#REF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공BM"/>
      <sheetName val="갑지"/>
      <sheetName val="전기"/>
      <sheetName val="계장"/>
      <sheetName val="공구단가"/>
      <sheetName val="표지"/>
      <sheetName val="1안"/>
      <sheetName val="상번천 (2)"/>
      <sheetName val="상번천"/>
      <sheetName val="하번천"/>
      <sheetName val="******"/>
      <sheetName val="Sheet17"/>
      <sheetName val="Macro1"/>
      <sheetName val="결재"/>
      <sheetName val="자금결"/>
      <sheetName val="mark"/>
      <sheetName val="명판"/>
      <sheetName val="Sheet21"/>
      <sheetName val="Sheet20"/>
      <sheetName val="Sheet19"/>
      <sheetName val="Sheet18"/>
      <sheetName val="증감대비표 (2)"/>
      <sheetName val="증감대비표"/>
      <sheetName val="설계변경 1-3"/>
      <sheetName val="설계변경4-20"/>
      <sheetName val="실행예산품의서"/>
      <sheetName val="하도실행(전체)"/>
      <sheetName val="]_x0000_⃀摥屝尨"/>
      <sheetName val="실행갑지"/>
      <sheetName val="APT"/>
      <sheetName val="부대동"/>
      <sheetName val="특기사항"/>
      <sheetName val="견적기준"/>
      <sheetName val="세대현황"/>
      <sheetName val="VXXXXXX"/>
      <sheetName val="인쇄매크로"/>
      <sheetName val="Module1"/>
      <sheetName val="앞시트뒷시트"/>
      <sheetName val="수식붙이기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VVVVVa"/>
      <sheetName val="요약"/>
      <sheetName val="2001사업계획"/>
      <sheetName val="2001사업단가(내수)"/>
      <sheetName val="★2001사업계획(최종)"/>
      <sheetName val="접수건"/>
      <sheetName val="K동"/>
      <sheetName val="L직동"/>
      <sheetName val="최종욱MODULE"/>
      <sheetName val="수식복사"/>
      <sheetName val="0000000"/>
      <sheetName val="Sheet2 (2)"/>
      <sheetName val="주소"/>
      <sheetName val="NAMES"/>
      <sheetName val="stock"/>
      <sheetName val="XXuxrld WideServersrsIL Q12Actc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상품 데이타"/>
      <sheetName val="Chart1"/>
      <sheetName val="주간 영업표"/>
      <sheetName val="PERSONAL"/>
      <sheetName val="개발집계"/>
      <sheetName val="Diablos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MAIN"/>
      <sheetName val="ENG"/>
      <sheetName val="INST"/>
      <sheetName val="Sheet3 (2)"/>
      <sheetName val="Sheet3 (3)"/>
      <sheetName val="Sheet3 (4)"/>
      <sheetName val="_x0000__x0000__x0000__x0000__x0000__x0000_"/>
      <sheetName val="서식지우기"/>
      <sheetName val="open"/>
      <sheetName val="가운데"/>
      <sheetName val="그리기"/>
      <sheetName val="서식지정"/>
      <sheetName val="최신가-lc"/>
      <sheetName val="최신가-sm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PERSONAL (2)"/>
      <sheetName val="PERSONAL (3)"/>
      <sheetName val="인원표"/>
      <sheetName val="in"/>
      <sheetName val="List1"/>
      <sheetName val="공장LAY-OUT"/>
      <sheetName val="1"/>
      <sheetName val="이동"/>
      <sheetName val="선지우기"/>
      <sheetName val="KIT"/>
      <sheetName val="CON"/>
      <sheetName val="CON (2)"/>
      <sheetName val="코드치환"/>
      <sheetName val="유령문자"/>
      <sheetName val="Hoja1"/>
      <sheetName val="양식"/>
      <sheetName val="dd1834t"/>
      <sheetName val="DDA1564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철판사급"/>
      <sheetName val="PRES"/>
      <sheetName val="원가계산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Macro셀맞춤"/>
      <sheetName val="Macro개인도구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INDEX"/>
      <sheetName val="Arkusz1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철판"/>
      <sheetName val="가공비"/>
      <sheetName val="업체CODE"/>
      <sheetName val="현대PS"/>
      <sheetName val="목적"/>
      <sheetName val="Лист1"/>
      <sheetName val="Sheet1 (3)"/>
      <sheetName val="Macro2"/>
      <sheetName val="Macro3"/>
      <sheetName val="Macro4"/>
      <sheetName val="Macro5"/>
      <sheetName val="Macro6"/>
      <sheetName val="Macro7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내역 (2)"/>
      <sheetName val="정리"/>
      <sheetName val="rng"/>
      <sheetName val="Module1 (2)"/>
      <sheetName val="VXXX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경춘선투입금액"/>
      <sheetName val="산출양식-전화"/>
      <sheetName val="공량집계양식"/>
      <sheetName val="내역서-총괄집계표"/>
      <sheetName val="내역서-박물관"/>
      <sheetName val="요율"/>
      <sheetName val="산출"/>
      <sheetName val="소방"/>
      <sheetName val="EMS변환"/>
      <sheetName val="합계"/>
      <sheetName val="단가표"/>
      <sheetName val="원칙을 지키는 사람들"/>
      <sheetName val="QC스케줄"/>
      <sheetName val="광고10"/>
      <sheetName val="입고스케줄"/>
      <sheetName val="사이즈_자켓"/>
      <sheetName val="사이즈_스컷"/>
      <sheetName val="사이즈_바지"/>
      <sheetName val="사이즈_남방 (2)"/>
      <sheetName val="사이즈_남방"/>
      <sheetName val="성공하는 삶"/>
      <sheetName val="어록"/>
      <sheetName val="우븐패치"/>
      <sheetName val="클루자켓"/>
      <sheetName val="클루스컷"/>
      <sheetName val="OST"/>
      <sheetName val="SHEET"/>
      <sheetName val="아름다운글"/>
      <sheetName val="정산자료"/>
      <sheetName val="정명호작성프로그램"/>
      <sheetName val="기타"/>
      <sheetName val="업무일지양식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MOVE"/>
      <sheetName val="시작"/>
      <sheetName val="대우철판"/>
      <sheetName val="종합분석(분석내) (2)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월드(단중표)"/>
      <sheetName val="HMC PRESS"/>
      <sheetName val="철판가"/>
      <sheetName val="원가T-CODE"/>
      <sheetName val="원가계산서"/>
      <sheetName val="외주 PRESS"/>
      <sheetName val="VXX"/>
      <sheetName val="3차 대 최 최갑)"/>
      <sheetName val="1층(1안)"/>
      <sheetName val="1층(2안) "/>
      <sheetName val="1층(3안) "/>
      <sheetName val="2층(1안)"/>
      <sheetName val="2층(2안)"/>
      <sheetName val="2층(3안)"/>
      <sheetName val="HMC용접표준"/>
      <sheetName val="22.12.04"/>
      <sheetName val="구분양식 (3차 대 최종-"/>
      <sheetName val="전산롔인사용법"/>
      <sheetName val="Munka1"/>
      <sheetName val="쌍용재질표"/>
      <sheetName val="의사결정"/>
      <sheetName val="경영환경"/>
      <sheetName val="해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  <sheetName val="기업구조조정"/>
      <sheetName val="프로세스"/>
      <sheetName val="자산분류"/>
      <sheetName val="관리지표"/>
      <sheetName val="가입자현황"/>
      <sheetName val="매출액"/>
      <sheetName val="ARPU"/>
      <sheetName val="경비그룹"/>
      <sheetName val="구내통신"/>
      <sheetName val="시"/>
      <sheetName val="경영과제"/>
      <sheetName val="활동정리"/>
      <sheetName val="Tip"/>
      <sheetName val="EVA Tree"/>
      <sheetName val="사내유치"/>
      <sheetName val="2공구 가로수집계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유형삭제"/>
      <sheetName val="전화"/>
      <sheetName val="ABAP"/>
      <sheetName val="메시지제어"/>
      <sheetName val="SAP IP"/>
      <sheetName val="용어"/>
      <sheetName val="Tip(생산오더 Release)"/>
      <sheetName val="단어집"/>
      <sheetName val="Prog.Analy."/>
      <sheetName val="Progress Analysis"/>
      <sheetName val="이모티콘"/>
      <sheetName val="msn"/>
      <sheetName val="AssyProcsng"/>
      <sheetName val="카드"/>
      <sheetName val="BS"/>
      <sheetName val="AP Master"/>
      <sheetName val="AP"/>
      <sheetName val="To-Do"/>
      <sheetName val="To-Do (완료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/>
      <sheetData sheetId="199" refreshError="1"/>
      <sheetData sheetId="200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/>
      <sheetData sheetId="277"/>
      <sheetData sheetId="278"/>
      <sheetData sheetId="279"/>
      <sheetData sheetId="280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/>
      <sheetData sheetId="308" refreshError="1"/>
      <sheetData sheetId="309"/>
      <sheetData sheetId="310" refreshError="1"/>
      <sheetData sheetId="31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/>
      <sheetData sheetId="324" refreshError="1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 refreshError="1"/>
      <sheetData sheetId="613"/>
      <sheetData sheetId="614"/>
      <sheetData sheetId="615"/>
      <sheetData sheetId="616"/>
      <sheetData sheetId="617"/>
      <sheetData sheetId="618" refreshError="1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깨기"/>
      <sheetName val="구조물"/>
      <sheetName val="집계"/>
    </sheetNames>
    <sheetDataSet>
      <sheetData sheetId="0"/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X구조해석 설명서"/>
      <sheetName val="간지"/>
      <sheetName val="설계조건"/>
      <sheetName val="단면가정"/>
      <sheetName val="좌표단면SPRING"/>
      <sheetName val="하중산정"/>
      <sheetName val="하중조합"/>
      <sheetName val="INPUT"/>
      <sheetName val="OUTPUT"/>
      <sheetName val="부재력요약"/>
      <sheetName val="철근량 검토"/>
      <sheetName val="우각부검토"/>
      <sheetName val="안정성검토"/>
      <sheetName val="철근배근"/>
    </sheetNames>
    <sheetDataSet>
      <sheetData sheetId="0"/>
      <sheetData sheetId="1"/>
      <sheetData sheetId="2">
        <row r="9">
          <cell r="L9">
            <v>2.5</v>
          </cell>
        </row>
        <row r="33">
          <cell r="H33">
            <v>240</v>
          </cell>
        </row>
        <row r="35">
          <cell r="H35">
            <v>3000</v>
          </cell>
        </row>
      </sheetData>
      <sheetData sheetId="3">
        <row r="16">
          <cell r="C16">
            <v>400</v>
          </cell>
        </row>
        <row r="30">
          <cell r="C30">
            <v>450</v>
          </cell>
        </row>
        <row r="36">
          <cell r="G36">
            <v>400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화치수"/>
      <sheetName val="날개벽"/>
      <sheetName val="말뚝지지력산정"/>
      <sheetName val="차액보증"/>
      <sheetName val="기초공"/>
      <sheetName val="기둥(원형)"/>
      <sheetName val="ABUT수량-A1"/>
      <sheetName val="조명시설"/>
      <sheetName val="설계조건"/>
      <sheetName val="안정계산"/>
      <sheetName val="단면검토"/>
      <sheetName val="보도경계블럭"/>
      <sheetName val="집1"/>
      <sheetName val="안산기계장치"/>
    </sheetNames>
    <sheetDataSet>
      <sheetData sheetId="0" refreshError="1">
        <row r="46">
          <cell r="D46">
            <v>48</v>
          </cell>
        </row>
        <row r="49">
          <cell r="D49">
            <v>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炷舅?XLS]데이타'!$E$124"/>
      <sheetName val="ls]노임"/>
      <sheetName val="____"/>
      <sheetName val="___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AS포장복구 "/>
      <sheetName val="소일위대가코드표"/>
      <sheetName val="炷舅?XLS"/>
      <sheetName val="ls"/>
      <sheetName val="토공사"/>
      <sheetName val="데리네이타현황"/>
      <sheetName val="원가계산"/>
      <sheetName val="간접"/>
      <sheetName val="품셈집계표"/>
      <sheetName val="자재조사표(참고용)"/>
      <sheetName val="일반부표집계표"/>
      <sheetName val="수목일위"/>
      <sheetName val=""/>
      <sheetName val="가감수량"/>
      <sheetName val="맨홀수량산출"/>
      <sheetName val="수목데이타"/>
      <sheetName val="6호기"/>
      <sheetName val="Sheet1"/>
      <sheetName val="Customer Databas"/>
      <sheetName val="2000.11월설계내역"/>
      <sheetName val="품셈TABLE"/>
      <sheetName val="건축2"/>
      <sheetName val="기타 정보통신공사"/>
      <sheetName val="수목표준대가"/>
      <sheetName val="설명"/>
      <sheetName val="단가대비표"/>
      <sheetName val="공종단가"/>
      <sheetName val="참고"/>
      <sheetName val="공사개요"/>
      <sheetName val="1"/>
      <sheetName val="2"/>
      <sheetName val="3"/>
      <sheetName val="4"/>
      <sheetName val="5"/>
      <sheetName val="표지 (2)"/>
      <sheetName val="장비별표(오거보링)(Ø400)(12M)"/>
      <sheetName val="노임단가"/>
      <sheetName val="단가조사"/>
      <sheetName val="갑  지"/>
      <sheetName val="䈘목(중국단풍-)"/>
      <sheetName val="화재 탐지 설비"/>
      <sheetName val="Total"/>
      <sheetName val="시설물일위"/>
      <sheetName val="가설공사"/>
      <sheetName val="단가결정"/>
      <sheetName val="내역아"/>
      <sheetName val="울타리"/>
      <sheetName val="금액"/>
      <sheetName val="이름표지정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전익자재"/>
      <sheetName val="원내역"/>
      <sheetName val="문학간접"/>
      <sheetName val="기초일위"/>
      <sheetName val="시설일위"/>
      <sheetName val="조명일위"/>
      <sheetName val="가설공사비"/>
      <sheetName val="도로구조공사비"/>
      <sheetName val="도로토공공사비"/>
      <sheetName val="여수토공사비"/>
      <sheetName val="접속도로1"/>
      <sheetName val="평가데이터"/>
      <sheetName val="unit 4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수량산출서"/>
      <sheetName val="간선계산"/>
      <sheetName val="자재단가조사표-수목"/>
      <sheetName val="1차증가원가계산"/>
      <sheetName val="직재"/>
      <sheetName val="재집"/>
      <sheetName val="골조시행"/>
      <sheetName val="단가 및 재료비"/>
      <sheetName val="단가산출2"/>
      <sheetName val="49"/>
      <sheetName val="Sheet1 (2)"/>
      <sheetName val="9811"/>
      <sheetName val="일위대가(가설)"/>
      <sheetName val="기본단가표"/>
      <sheetName val="교사기준면적(초등)"/>
      <sheetName val="단가산출"/>
      <sheetName val="건축-물가변동"/>
      <sheetName val="현장관리비"/>
      <sheetName val="총괄내역서"/>
      <sheetName val="노무,재료"/>
      <sheetName val="2000년1차"/>
      <sheetName val="2000전체분"/>
      <sheetName val="남양내역"/>
      <sheetName val="금액내역서"/>
      <sheetName val="일위대가"/>
      <sheetName val="전체"/>
      <sheetName val="개인"/>
      <sheetName val="내역"/>
      <sheetName val="준검 내역서"/>
      <sheetName val="금융비용"/>
      <sheetName val="견적시담(송포2공구)"/>
      <sheetName val="DANGA"/>
      <sheetName val="단가"/>
      <sheetName val="산출내역서집계표"/>
      <sheetName val="DC-O-4-S(설명서)"/>
      <sheetName val="총괄내역"/>
      <sheetName val="data"/>
      <sheetName val="직접경비"/>
      <sheetName val="직접인건비"/>
      <sheetName val="노임이"/>
      <sheetName val="별표집계"/>
      <sheetName val="공종별원가계산"/>
      <sheetName val="공종목록표"/>
      <sheetName val="연습"/>
      <sheetName val="Sheet4"/>
      <sheetName val="단가산출1"/>
      <sheetName val="전주2本1"/>
      <sheetName val="조명시설"/>
      <sheetName val="1.설계조건"/>
      <sheetName val="시멘트"/>
      <sheetName val="Ⅶ-2.현장경비산출"/>
      <sheetName val="자재단가"/>
      <sheetName val="토공산출(주차장)"/>
      <sheetName val="현장관리"/>
      <sheetName val="공통가설"/>
      <sheetName val="매입"/>
      <sheetName val="토공산출 (아파트)"/>
      <sheetName val="EACT10"/>
      <sheetName val="Mc1"/>
      <sheetName val="횡배수관토공수량"/>
      <sheetName val="2공구산출내역"/>
      <sheetName val="A"/>
      <sheetName val="10공구일위"/>
      <sheetName val="9509"/>
      <sheetName val="철콘"/>
      <sheetName val="년도별시공"/>
      <sheetName val="기계경비적용기준"/>
      <sheetName val="참조"/>
      <sheetName val="품셈"/>
      <sheetName val="물가자료"/>
      <sheetName val="BID"/>
      <sheetName val="정렬"/>
      <sheetName val="입찰"/>
      <sheetName val="현경"/>
      <sheetName val="기초자료입력"/>
      <sheetName val="공내역"/>
      <sheetName val="노임(1차)"/>
      <sheetName val="일위대가-1"/>
      <sheetName val="참조M"/>
      <sheetName val="간접비"/>
      <sheetName val="평가내역"/>
      <sheetName val="INPUT"/>
      <sheetName val="5 일위목록"/>
      <sheetName val="7 단가조사"/>
      <sheetName val="6 일위대가"/>
      <sheetName val="수량산출"/>
      <sheetName val="E.P.T수량산출서"/>
      <sheetName val="파일의이용"/>
      <sheetName val="수목단가"/>
      <sheetName val="시설수량표"/>
      <sheetName val="식재수량표"/>
      <sheetName val="전기"/>
      <sheetName val="식재일위"/>
      <sheetName val="123"/>
      <sheetName val="비목군분류일위"/>
      <sheetName val="ABUT수량-A1"/>
      <sheetName val="배수내역"/>
      <sheetName val="DT"/>
      <sheetName val="롤러"/>
      <sheetName val="펌프차타설"/>
      <sheetName val="시설물기초"/>
      <sheetName val="계수시트"/>
      <sheetName val="공구원가계산"/>
      <sheetName val="전기혼잡제경비(45)"/>
      <sheetName val="현장"/>
      <sheetName val="토목주소"/>
      <sheetName val="공사비예산서(토목분)"/>
      <sheetName val="중기사용료산출근거"/>
      <sheetName val="조건"/>
      <sheetName val="내역(APT)"/>
      <sheetName val="골조대비내역"/>
      <sheetName val="지급자재"/>
      <sheetName val="인건비"/>
      <sheetName val="날개벽"/>
      <sheetName val="공사별 가중치 산출근거(토목)"/>
      <sheetName val="가중치근거(조경)"/>
      <sheetName val="기계설비-물가변동"/>
      <sheetName val="JUCKEYK"/>
      <sheetName val="단위단가"/>
      <sheetName val="관공일위대가"/>
      <sheetName val="일위대가목차"/>
      <sheetName val="수안보-MBR1"/>
      <sheetName val="일위"/>
      <sheetName val="식재"/>
      <sheetName val="시설물"/>
      <sheetName val="식재출력용"/>
      <sheetName val="유지관리"/>
      <sheetName val="부하계산서"/>
      <sheetName val="자재 집계표"/>
      <sheetName val="말고개터널조명전압강하"/>
      <sheetName val="세부내역"/>
      <sheetName val="일위목록"/>
      <sheetName val="제수"/>
      <sheetName val="공기"/>
      <sheetName val="교육종류"/>
      <sheetName val="예가표"/>
      <sheetName val="예산명세서"/>
      <sheetName val="설계명세서"/>
      <sheetName val="자료입력"/>
      <sheetName val="실행간접비용"/>
      <sheetName val="合成単価作成表-BLDG"/>
      <sheetName val="카렌스센터계량기설치공사"/>
      <sheetName val="삭제금지단가"/>
      <sheetName val="설계서"/>
      <sheetName val="공사기본내용입력"/>
      <sheetName val="공통"/>
      <sheetName val="부대공Ⅱ"/>
      <sheetName val="준공정산"/>
      <sheetName val="동해title"/>
      <sheetName val="개소별수량산출"/>
      <sheetName val="경산"/>
      <sheetName val="2.대외공문"/>
      <sheetName val="공사요율산출표"/>
      <sheetName val="에너지동"/>
      <sheetName val="총괄표"/>
      <sheetName val="대가표(품셈)"/>
      <sheetName val="설계내역일위"/>
      <sheetName val="가도공"/>
      <sheetName val="상 부"/>
      <sheetName val="현관"/>
      <sheetName val="인원"/>
      <sheetName val="전선 및 전선관"/>
      <sheetName val="금융"/>
      <sheetName val="귀래 설계 공내역서"/>
      <sheetName val="MOTOR"/>
      <sheetName val="지주목시비량산출서"/>
      <sheetName val="기초자료"/>
      <sheetName val="소야공정계획표"/>
      <sheetName val="설계예산서"/>
      <sheetName val="단가표 (2)"/>
      <sheetName val="충주"/>
      <sheetName val="운동장 (2)"/>
      <sheetName val="공종집계"/>
      <sheetName val="제잡비"/>
      <sheetName val="토집"/>
      <sheetName val="EQT-ESTN"/>
      <sheetName val="진주방향"/>
      <sheetName val="1차 내역서"/>
      <sheetName val="중기일위대가"/>
      <sheetName val="조명율표"/>
      <sheetName val="BH"/>
      <sheetName val="간지"/>
      <sheetName val="배수공"/>
      <sheetName val="퍼스트"/>
      <sheetName val="부대공1(65-77,93-95)"/>
      <sheetName val="부대공2(78-"/>
      <sheetName val="구조물공1(51~56)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입력자료"/>
      <sheetName val="GAS"/>
      <sheetName val="DB@Acess"/>
      <sheetName val="Civil"/>
      <sheetName val="견적"/>
      <sheetName val="입찰안"/>
      <sheetName val="토공수량"/>
      <sheetName val="설계내"/>
      <sheetName val="SG"/>
      <sheetName val="예산갑지"/>
      <sheetName val="견적율"/>
      <sheetName val="일반부표"/>
      <sheetName val="부하계산"/>
      <sheetName val="밸브설치"/>
      <sheetName val="자료"/>
      <sheetName val="간선"/>
      <sheetName val="전압"/>
      <sheetName val="조도"/>
      <sheetName val="동력"/>
      <sheetName val="D&amp;P특기사항"/>
      <sheetName val="토공집계"/>
      <sheetName val="지수"/>
      <sheetName val="대치판정"/>
      <sheetName val="SCHE"/>
      <sheetName val="설계내역서"/>
      <sheetName val="단가비교"/>
      <sheetName val="JUCK"/>
      <sheetName val="총괄표1"/>
      <sheetName val="퇴직금(울산천상)"/>
      <sheetName val="기성청구"/>
      <sheetName val="기타_정보통신공사"/>
      <sheetName val="Customer_Databas"/>
      <sheetName val="AS포장복구_"/>
      <sheetName val="2000_11월설계내역"/>
      <sheetName val="표지_(2)"/>
      <sheetName val="갑__지"/>
      <sheetName val="unit_4"/>
      <sheetName val="화재_탐지_설비"/>
      <sheetName val="준검_내역서"/>
      <sheetName val="Sheet1_(2)"/>
      <sheetName val="단가_및_재료비"/>
      <sheetName val="1_설계조건"/>
      <sheetName val="Ⅶ-2_현장경비산출"/>
      <sheetName val="토공산출_(아파트)"/>
      <sheetName val="5_일위목록"/>
      <sheetName val="7_단가조사"/>
      <sheetName val="6_일위대가"/>
      <sheetName val="E_P_T수량산출서"/>
      <sheetName val="기타_정보통신공사1"/>
      <sheetName val="Customer_Databas1"/>
      <sheetName val="AS포장복구_1"/>
      <sheetName val="2000_11월설계내역1"/>
      <sheetName val="표지_(2)1"/>
      <sheetName val="갑__지1"/>
      <sheetName val="unit_41"/>
      <sheetName val="화재_탐지_설비1"/>
      <sheetName val="준검_내역서1"/>
      <sheetName val="Sheet1_(2)1"/>
      <sheetName val="단가_및_재료비1"/>
      <sheetName val="1_설계조건1"/>
      <sheetName val="Ⅶ-2_현장경비산출1"/>
      <sheetName val="토공산출_(아파트)1"/>
      <sheetName val="5_일위목록1"/>
      <sheetName val="7_단가조사1"/>
      <sheetName val="6_일위대가1"/>
      <sheetName val="E_P_T수량산출서1"/>
      <sheetName val="노무비"/>
      <sheetName val="내역서01"/>
      <sheetName val="11월"/>
      <sheetName val="일위집계표"/>
      <sheetName val="기성내역"/>
      <sheetName val="산출근거"/>
      <sheetName val="WORK"/>
      <sheetName val="투찰금액"/>
      <sheetName val="주요항목별"/>
      <sheetName val="날개벽(좌,우=60도-4개)"/>
      <sheetName val="평교-내역"/>
      <sheetName val="3.바닥판  "/>
      <sheetName val="1안"/>
      <sheetName val="공통비총괄표"/>
      <sheetName val="내역서2안"/>
      <sheetName val="을"/>
      <sheetName val="평형별수량표"/>
      <sheetName val="가설개략"/>
      <sheetName val="을지"/>
      <sheetName val="평당"/>
      <sheetName val="매입세"/>
      <sheetName val="창호"/>
      <sheetName val="사급자재"/>
      <sheetName val="약품설비"/>
      <sheetName val="정화조방수미장"/>
      <sheetName val="코드"/>
      <sheetName val="설계내역"/>
      <sheetName val="03하반기내역서"/>
      <sheetName val="04상반기"/>
      <sheetName val="약품공급2"/>
      <sheetName val="공작물조직표(용배수)"/>
      <sheetName val="기기리스트"/>
      <sheetName val="자단"/>
      <sheetName val="인공산출"/>
      <sheetName val="신표지1"/>
      <sheetName val="참조(2)"/>
      <sheetName val="Sheet6"/>
      <sheetName val="설계예시"/>
      <sheetName val="주관사업"/>
      <sheetName val="시추주상도"/>
      <sheetName val="부안일위"/>
      <sheetName val="위치조서"/>
      <sheetName val="과세내역(세부)"/>
      <sheetName val="노무비단가"/>
      <sheetName val="정부노임단가"/>
      <sheetName val="천방교접속"/>
      <sheetName val="1차_내역서"/>
      <sheetName val="가로등"/>
      <sheetName val="잡비"/>
      <sheetName val=" 견적서"/>
      <sheetName val="6PILE  (돌출)"/>
      <sheetName val="1호인버트수량"/>
      <sheetName val="석축설면"/>
      <sheetName val="법면단"/>
      <sheetName val="설계조건"/>
      <sheetName val="안정계산"/>
      <sheetName val="단면검토"/>
      <sheetName val="수량계산서 집계표(가설 신설 및 철거-을지로3가 3호선)"/>
      <sheetName val="수량계산서 집계표(신설-을지로3가 3호선)"/>
      <sheetName val="수량계산서 집계표(철거-을지로3가 3호선)"/>
      <sheetName val="시공"/>
      <sheetName val="기초1"/>
      <sheetName val="설계"/>
      <sheetName val="실행철강하도"/>
      <sheetName val="공정코드"/>
      <sheetName val="계산내역(설비)"/>
      <sheetName val="적용기준"/>
      <sheetName val="9GNG운반"/>
      <sheetName val="재료단가"/>
      <sheetName val="전기일위대가"/>
      <sheetName val="날개벽수량표"/>
      <sheetName val="bearing"/>
      <sheetName val="4-10"/>
      <sheetName val="단가표_(2)"/>
      <sheetName val="FB25JN"/>
      <sheetName val="사전공사"/>
      <sheetName val="귀래_설계_공내역서"/>
      <sheetName val="자재_집계표"/>
      <sheetName val="전선_및_전선관"/>
      <sheetName val="GAS저장소"/>
      <sheetName val="라인마킹"/>
      <sheetName val="위험물저장소"/>
      <sheetName val="일반창고동"/>
      <sheetName val="자판실행"/>
      <sheetName val="Sheet13"/>
      <sheetName val="발전기"/>
      <sheetName val="Sheet14"/>
      <sheetName val="담장산출"/>
      <sheetName val="총괄"/>
      <sheetName val="건축내역서"/>
      <sheetName val="설비내역서"/>
      <sheetName val="전기내역서"/>
      <sheetName val="수량집계표"/>
      <sheetName val="공종별수량집계"/>
      <sheetName val="근거(기밀댐퍼)"/>
      <sheetName val="가설"/>
      <sheetName val="구조포설"/>
      <sheetName val="복구"/>
      <sheetName val="부대"/>
      <sheetName val="부호표"/>
      <sheetName val="토공"/>
      <sheetName val="전계가"/>
      <sheetName val="전기공사"/>
      <sheetName val="炷舅_XLS_데이타'!$E$124"/>
      <sheetName val="ls_노임"/>
      <sheetName val="炷舅_XLS"/>
      <sheetName val="가격비"/>
      <sheetName val="PAINT"/>
      <sheetName val="TEL"/>
      <sheetName val="실행"/>
      <sheetName val="배수판"/>
      <sheetName val="수목데이타 "/>
      <sheetName val="와동25-3(변경)"/>
      <sheetName val="PW3"/>
      <sheetName val="PW4"/>
      <sheetName val="SC1"/>
      <sheetName val="PE"/>
      <sheetName val="PM"/>
      <sheetName val="TR"/>
      <sheetName val="교대시점"/>
      <sheetName val="XL4Poppy"/>
      <sheetName val="1.가설"/>
      <sheetName val="4.목공사"/>
      <sheetName val="덕소내역"/>
      <sheetName val="邅☳"/>
      <sheetName val="수로단위수량"/>
      <sheetName val="동력부하계산"/>
      <sheetName val="가스내역"/>
      <sheetName val="품셈표"/>
      <sheetName val="공사발의서"/>
      <sheetName val="S0"/>
      <sheetName val="이름정의"/>
      <sheetName val="초기화면"/>
      <sheetName val="기계실 D200"/>
      <sheetName val="단면가정"/>
      <sheetName val="절감계산"/>
      <sheetName val="01"/>
      <sheetName val="설계가"/>
      <sheetName val="건축(을)"/>
      <sheetName val="토목"/>
      <sheetName val="가스(내역)"/>
      <sheetName val="EJ"/>
      <sheetName val="토공집계표"/>
      <sheetName val="자"/>
      <sheetName val="노"/>
      <sheetName val="EQUIP-H"/>
      <sheetName val="7단가"/>
      <sheetName val="견적서"/>
      <sheetName val="실행(표지,갑,을)"/>
      <sheetName val="현장관리비 "/>
      <sheetName val="당초내역서"/>
      <sheetName val="타견적(을)"/>
      <sheetName val="부시수량"/>
      <sheetName val="각종단가"/>
      <sheetName val="일위대가목록"/>
      <sheetName val="암거단위"/>
      <sheetName val="횡 연장"/>
      <sheetName val="인사자료총집계"/>
      <sheetName val="현장조사"/>
      <sheetName val="요약&amp;결과"/>
      <sheetName val="3.하중산정4.지지력"/>
      <sheetName val="하수급견적대비"/>
      <sheetName val="Ȁ_x0004_夁瓅"/>
      <sheetName val="22인공"/>
      <sheetName val="JOIN(2span)"/>
      <sheetName val="바닥판"/>
      <sheetName val="주빔의 설계"/>
      <sheetName val="철근량산정및사용성검토"/>
      <sheetName val="입력DATA"/>
      <sheetName val="계약내역서(을지)"/>
      <sheetName val="cable-data"/>
      <sheetName val="가격조사서"/>
      <sheetName val="부대내역"/>
      <sheetName val="제잡비집계"/>
      <sheetName val="가설건물"/>
      <sheetName val="70%"/>
      <sheetName val="ITEM"/>
      <sheetName val="터널조도"/>
      <sheetName val="수량집계"/>
      <sheetName val="기준액"/>
      <sheetName val="말뚝지지력산정"/>
      <sheetName val="List"/>
      <sheetName val="10"/>
      <sheetName val="11"/>
      <sheetName val="6"/>
      <sheetName val="7"/>
      <sheetName val="8"/>
      <sheetName val="9"/>
      <sheetName val="개요"/>
      <sheetName val="수량"/>
      <sheetName val="발생토"/>
      <sheetName val="2호맨홀공제수량"/>
      <sheetName val="인부신상자료"/>
      <sheetName val="직접공사비집계표_7"/>
      <sheetName val="공통가설_8"/>
      <sheetName val="기타시설"/>
      <sheetName val="아파트_9"/>
      <sheetName val="주민복지관"/>
      <sheetName val="지하주차장"/>
      <sheetName val="단목"/>
      <sheetName val="토목수량"/>
      <sheetName val="N賃率-職"/>
      <sheetName val="공사비산출내역"/>
      <sheetName val="부하(성남)"/>
      <sheetName val="기타공사"/>
      <sheetName val="단청(제외)"/>
      <sheetName val="목공집계"/>
      <sheetName val="미장(2)"/>
      <sheetName val="운반"/>
      <sheetName val="지붕(기와)"/>
      <sheetName val="COVER"/>
      <sheetName val="3차준공"/>
      <sheetName val="MAIN"/>
      <sheetName val="200"/>
      <sheetName val="코드표"/>
      <sheetName val="1.설계기준"/>
      <sheetName val="Y-WORK"/>
      <sheetName val="자재"/>
      <sheetName val="관리,공감"/>
      <sheetName val="단가 산출서(산근#1~#102)"/>
      <sheetName val="우수공"/>
      <sheetName val="98지급계획"/>
      <sheetName val="-배수구조물⳵토공"/>
      <sheetName val="경상비"/>
      <sheetName val="대공종"/>
      <sheetName val="자재표"/>
      <sheetName val="왕십리방향"/>
      <sheetName val="참고자료"/>
      <sheetName val="구조물철거타공정이월"/>
      <sheetName val="노 무 비"/>
      <sheetName val="중기사용료"/>
      <sheetName val="원가"/>
      <sheetName val="소요자재"/>
      <sheetName val="노무산출서"/>
      <sheetName val="횡배수관수량집계"/>
      <sheetName val="횡배수관기초"/>
      <sheetName val="Code"/>
      <sheetName val="계정"/>
      <sheetName val="남양시작동자105노65기1.3화1.2"/>
      <sheetName val="남양시작동010313100%"/>
      <sheetName val="조명율"/>
      <sheetName val="항목등록"/>
      <sheetName val="남양구조시험동"/>
      <sheetName val="공사원가"/>
      <sheetName val="sub"/>
      <sheetName val="기초공"/>
      <sheetName val="기둥(원형)"/>
      <sheetName val="실행대비"/>
    </sheetNames>
    <sheetDataSet>
      <sheetData sheetId="0" refreshError="1"/>
      <sheetData sheetId="1" refreshError="1"/>
      <sheetData sheetId="2" refreshError="1"/>
      <sheetData sheetId="3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 refreshError="1"/>
      <sheetData sheetId="5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[수목일위.XLS][수목일위.XLS]el\설계서\수목일위"/>
      <sheetName val="___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구조물공수량명세서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PACKING LIST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원가계산서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DATE"/>
      <sheetName val="수량집계A"/>
      <sheetName val="철근집계A"/>
      <sheetName val="진주방향"/>
      <sheetName val="총괄내역서"/>
      <sheetName val="물가시세"/>
      <sheetName val="일위대가표"/>
      <sheetName val="일위대가 "/>
      <sheetName val="한강운반비"/>
      <sheetName val="기계경비산출기준"/>
      <sheetName val="전차선로 물량표"/>
      <sheetName val="#REF"/>
      <sheetName val="자재"/>
      <sheetName val="공통(20-91)"/>
      <sheetName val="원가"/>
      <sheetName val="b_balju_cho"/>
      <sheetName val="가설공사비"/>
      <sheetName val="도로구조공사비"/>
      <sheetName val="도로토공공사비"/>
      <sheetName val="여수토공사비"/>
      <sheetName val="원가서"/>
      <sheetName val="내역서"/>
      <sheetName val="견적"/>
      <sheetName val="수목데이타"/>
      <sheetName val="1,2공구원가계산서"/>
      <sheetName val="2공구산출내역"/>
      <sheetName val="1공구산출내역서"/>
      <sheetName val="준검 내역서"/>
      <sheetName val="투찰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AS포장복구 "/>
      <sheetName val="1차증가원가계산"/>
      <sheetName val="제출내역 (2)"/>
      <sheetName val="계정"/>
      <sheetName val="관급자재"/>
      <sheetName val="폐기물"/>
      <sheetName val="수량산출"/>
      <sheetName val="토공"/>
      <sheetName val="조건"/>
      <sheetName val="건축2"/>
      <sheetName val="노무"/>
      <sheetName val="관접합및부설"/>
      <sheetName val="단가"/>
      <sheetName val="문학간접"/>
      <sheetName val="간접"/>
      <sheetName val="계산서(곡선부)"/>
      <sheetName val="포장재료집계표"/>
      <sheetName val="nys"/>
      <sheetName val="2호맨홀공제수량"/>
      <sheetName val="수목표준대가"/>
      <sheetName val="자재단가조사표-수목"/>
      <sheetName val="장비집계"/>
      <sheetName val="16-1"/>
      <sheetName val="공사비산출내역"/>
      <sheetName val="변수값"/>
      <sheetName val="중기상차"/>
      <sheetName val="AS복구"/>
      <sheetName val="중기터파기"/>
      <sheetName val="데리네이타현황"/>
      <sheetName val="Total"/>
      <sheetName val="기초단가"/>
      <sheetName val="기준액"/>
      <sheetName val="변경내역"/>
      <sheetName val="가시설"/>
      <sheetName val="건축-물가변동"/>
      <sheetName val="A-4"/>
      <sheetName val="부대내역"/>
      <sheetName val="별표집계"/>
      <sheetName val="실행(ALT1)"/>
      <sheetName val="연습"/>
      <sheetName val="BOJUNGGM"/>
      <sheetName val="실행(표지,갑,을)"/>
      <sheetName val="단가대비표"/>
      <sheetName val="금액"/>
      <sheetName val="수량산출서"/>
      <sheetName val="FB25JN"/>
      <sheetName val="일위목록"/>
      <sheetName val="카렌스센터계량기설치공사"/>
      <sheetName val="공사개요"/>
      <sheetName val="기초입력 DATA"/>
      <sheetName val="결재판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2003상반기노임기준"/>
      <sheetName val="공사설명서"/>
      <sheetName val="토공총괄표"/>
      <sheetName val="단가산출서"/>
      <sheetName val="단위단가"/>
      <sheetName val="공사요율산출표"/>
      <sheetName val="기본단가표"/>
      <sheetName val="요율"/>
      <sheetName val="노임단가"/>
      <sheetName val="갑지"/>
      <sheetName val="전기일위목록"/>
      <sheetName val="전기대가"/>
      <sheetName val="산출조서표지"/>
      <sheetName val="공량산출"/>
      <sheetName val="단가산출_목록"/>
      <sheetName val="-치수표(곡선부)"/>
      <sheetName val="2000.11월설계내역"/>
      <sheetName val="자료"/>
      <sheetName val="버스운행안내"/>
      <sheetName val="근태계획서"/>
      <sheetName val="예방접종계획"/>
      <sheetName val="일위산출"/>
      <sheetName val="설계서(본관)"/>
      <sheetName val="공구원가계산"/>
      <sheetName val="6호기"/>
      <sheetName val="시설물일위"/>
      <sheetName val="가설공사"/>
      <sheetName val="단가결정"/>
      <sheetName val="내역아"/>
      <sheetName val="울타리"/>
      <sheetName val="자판실행"/>
      <sheetName val="WORK"/>
      <sheetName val="값"/>
      <sheetName val="참조 (2)"/>
      <sheetName val="건축"/>
      <sheetName val="원가계산"/>
      <sheetName val="원가계산 (2)"/>
      <sheetName val="제잡비계산"/>
      <sheetName val="실행대비"/>
      <sheetName val="전익자재"/>
      <sheetName val="소비자가"/>
      <sheetName val="을지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노임이"/>
      <sheetName val="Recovered_Sheet1"/>
      <sheetName val="수량계표"/>
      <sheetName val="용역비내역-진짜"/>
      <sheetName val="식재"/>
      <sheetName val="시설물"/>
      <sheetName val="식재출력용"/>
      <sheetName val="유지관리"/>
      <sheetName val="입찰견적보고서"/>
      <sheetName val="세부내역"/>
      <sheetName val="기준비용"/>
      <sheetName val="70%"/>
      <sheetName val="설계예산서"/>
      <sheetName val="금액내역서"/>
      <sheetName val="중기조종사 단위단가"/>
      <sheetName val="배수장토목공사비"/>
      <sheetName val="도급기성"/>
      <sheetName val="삭제금지단가"/>
      <sheetName val="LP-S"/>
      <sheetName val="경영"/>
      <sheetName val="98년"/>
      <sheetName val="실적"/>
      <sheetName val="코드"/>
      <sheetName val="수목단가"/>
      <sheetName val="시설수량표"/>
      <sheetName val="식재수량표"/>
      <sheetName val="자재단가"/>
      <sheetName val="증감내역서"/>
      <sheetName val="콘크스"/>
      <sheetName val="전체"/>
      <sheetName val="대비표"/>
      <sheetName val="직재"/>
      <sheetName val="재집"/>
      <sheetName val="적용공정"/>
      <sheetName val="Sheet1 (2)"/>
      <sheetName val="가설건물"/>
      <sheetName val="시멘트"/>
      <sheetName val="Sheet5"/>
      <sheetName val="갈현동"/>
      <sheetName val="산출기초"/>
      <sheetName val="제경비적용기준"/>
      <sheetName val="공사자료입력"/>
      <sheetName val="기타 정보통신공사"/>
      <sheetName val="INDEX  LIST"/>
      <sheetName val="건축내역서"/>
      <sheetName val="우수받이"/>
      <sheetName val="케이블트레이"/>
      <sheetName val="월간관리비"/>
      <sheetName val="산출근거"/>
      <sheetName val="재료단가"/>
      <sheetName val="임금단가"/>
      <sheetName val="장비목록표"/>
      <sheetName val="장비운전경비"/>
      <sheetName val="설명"/>
      <sheetName val="터파기및재료"/>
      <sheetName val="106C0300"/>
      <sheetName val="1공구원가계산"/>
      <sheetName val="1공구원가계산서"/>
      <sheetName val="목차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기계경비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9811"/>
      <sheetName val="참조(2)"/>
      <sheetName val="참조"/>
      <sheetName val="팔당터널(1공구)"/>
      <sheetName val="인건비"/>
      <sheetName val="중기사용료산출근거"/>
      <sheetName val="단가산출2"/>
      <sheetName val="단가 및 재료비"/>
      <sheetName val="이름표지정"/>
      <sheetName val="iec"/>
      <sheetName val="ks"/>
      <sheetName val="DATA"/>
      <sheetName val="선로정수"/>
      <sheetName val="표_재료"/>
      <sheetName val="11-2.아파트내역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입력"/>
      <sheetName val="안내"/>
      <sheetName val="결재갑지"/>
      <sheetName val="신청서"/>
      <sheetName val="CC16-내역서"/>
      <sheetName val="설계"/>
      <sheetName val="골조-APT 갑지"/>
      <sheetName val="토사(PE)"/>
      <sheetName val="골조시행"/>
      <sheetName val="전등설비"/>
      <sheetName val="지급자재"/>
      <sheetName val="BID"/>
      <sheetName val="구조물5월기성내역"/>
      <sheetName val="기초코드"/>
      <sheetName val="노임,재료비"/>
      <sheetName val="예산내역서"/>
      <sheetName val="설명서 "/>
      <sheetName val="토목"/>
      <sheetName val="총괄"/>
      <sheetName val="전기"/>
      <sheetName val="소요자재"/>
      <sheetName val="노무산출서"/>
      <sheetName val="30집계표"/>
      <sheetName val="제경비율"/>
      <sheetName val="내역(APT)"/>
      <sheetName val="산출내역서집계표"/>
      <sheetName val="L_RPTB02_01"/>
      <sheetName val="플랜트 설치"/>
      <sheetName val="설계내역"/>
      <sheetName val="포장수량단위"/>
      <sheetName val="CON'C"/>
      <sheetName val="표지 (2)"/>
      <sheetName val="3.바닥판  "/>
      <sheetName val="년도별노임표"/>
      <sheetName val="중기목록표"/>
      <sheetName val="자재단가2007.10"/>
      <sheetName val="자재단가2008.4"/>
      <sheetName val="입찰"/>
      <sheetName val="현경"/>
      <sheetName val="FOB발"/>
      <sheetName val="빙장비사양"/>
      <sheetName val="장비사양"/>
      <sheetName val="해외(원화)"/>
      <sheetName val="총계"/>
      <sheetName val="물가대비표"/>
      <sheetName val="6-1. 관개량조서"/>
      <sheetName val="재료값"/>
      <sheetName val="경비"/>
      <sheetName val="부대tu"/>
      <sheetName val="경비_원본"/>
      <sheetName val="CTEMCOST"/>
      <sheetName val="아파트 내역"/>
      <sheetName val="설계총괄표"/>
      <sheetName val="공통가설"/>
      <sheetName val="설계예산"/>
      <sheetName val="정부노임단가"/>
      <sheetName val="토목검측서"/>
      <sheetName val="인건비 "/>
      <sheetName val="가감수량"/>
      <sheetName val="맨홀수량산출"/>
      <sheetName val="조명시설"/>
      <sheetName val="1안"/>
      <sheetName val="기초1"/>
      <sheetName val="토목내역서"/>
      <sheetName val="일위"/>
      <sheetName val="말고개터널조명전압강하"/>
      <sheetName val="2공구하도급내역서"/>
      <sheetName val="타공종이기"/>
      <sheetName val="적용기준"/>
      <sheetName val="00노임기준"/>
      <sheetName val="인제내역"/>
      <sheetName val="시중노임단가"/>
      <sheetName val="도급"/>
      <sheetName val="7월11일"/>
      <sheetName val="을-ATYPE"/>
      <sheetName val="판매시설"/>
      <sheetName val="노임단가표"/>
      <sheetName val="화성태안9공구내역(실행)"/>
      <sheetName val="토목(대안)"/>
      <sheetName val="화장실"/>
      <sheetName val="참고사항"/>
      <sheetName val="근로자자료입력"/>
      <sheetName val="2000년1차"/>
      <sheetName val="2000전체분"/>
      <sheetName val="JOIN(2span)"/>
      <sheetName val="바닥판"/>
      <sheetName val="주빔의 설계"/>
      <sheetName val="철근량산정및사용성검토"/>
      <sheetName val="입력DATA"/>
      <sheetName val="설계내역서"/>
      <sheetName val="01"/>
      <sheetName val="평가데이터"/>
      <sheetName val="연결임시"/>
      <sheetName val="Sheet15"/>
      <sheetName val="기계경비(시간당)"/>
      <sheetName val="램머"/>
      <sheetName val="DATA1"/>
      <sheetName val="CABLE SIZE-1"/>
      <sheetName val="1-4-2.관(약)"/>
      <sheetName val="투자비"/>
      <sheetName val="조성원가DATA"/>
      <sheetName val="사업비"/>
      <sheetName val="구조물공"/>
      <sheetName val="부대공"/>
      <sheetName val="배수공"/>
      <sheetName val="포장공"/>
      <sheetName val="자재 집계표"/>
      <sheetName val="산출근거(복구)"/>
      <sheetName val="단가표"/>
      <sheetName val="장비경비"/>
      <sheetName val="표  지"/>
      <sheetName val="고유코드_설계"/>
      <sheetName val="원가data"/>
      <sheetName val="단가목록"/>
      <sheetName val="자재목록"/>
      <sheetName val="노임목록"/>
      <sheetName val="산출(부하간선)"/>
      <sheetName val="전기공사"/>
      <sheetName val="평당공사비산정"/>
      <sheetName val="설계명세서"/>
      <sheetName val="날개벽"/>
      <sheetName val="암거단위"/>
      <sheetName val="횡 연장"/>
      <sheetName val="LOOKUP"/>
      <sheetName val="재료"/>
      <sheetName val="예가표"/>
      <sheetName val="21301동"/>
      <sheetName val="말뚝지지력산정"/>
      <sheetName val="토목주소"/>
      <sheetName val="프랜트면허"/>
      <sheetName val="내역서1999.8최종"/>
      <sheetName val="심사물량"/>
      <sheetName val="심사계산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el\설계서\수목일위_XLS]데이타"/>
      <sheetName val="1_토공"/>
      <sheetName val="2_배수공"/>
      <sheetName val="3_구조물공"/>
      <sheetName val="4_포장공"/>
      <sheetName val="PACKING_LIST"/>
      <sheetName val="지주목_및_비료산출기준"/>
      <sheetName val="el\설계서\수목일위_XLS"/>
      <sheetName val="준검_내역서"/>
      <sheetName val="일위대가_"/>
      <sheetName val="제출내역_(2)"/>
      <sheetName val="AS포장복구_"/>
      <sheetName val="전차선로_물량표"/>
      <sheetName val="1__설계예산서"/>
      <sheetName val="2__목차"/>
      <sheetName val="3_설계설명서"/>
      <sheetName val="4_시방서갑지"/>
      <sheetName val="5_시방서(일반시방서)"/>
      <sheetName val="6_시방서갑지(특기)"/>
      <sheetName val="7_예정공정표"/>
      <sheetName val="8__설계예산서"/>
      <sheetName val="16_설계서용지(갑)"/>
      <sheetName val="17__내역서갑지"/>
      <sheetName val="내_역_서"/>
      <sheetName val="일_위_대_가_표"/>
      <sheetName val="수_량_산_출_서"/>
      <sheetName val="참조_(2)"/>
      <sheetName val="원가계산_(2)"/>
      <sheetName val="기초입력_DATA"/>
      <sheetName val="2000_11월설계내역"/>
      <sheetName val="일위대가_(식재)"/>
      <sheetName val="중기조종사_단위단가"/>
      <sheetName val="기타_정보통신공사"/>
      <sheetName val="11-2_아파트내역"/>
      <sheetName val="단가_및_재료비"/>
      <sheetName val="Sheet1_(2)"/>
      <sheetName val="골조-APT_갑지"/>
      <sheetName val="플랜트_설치"/>
      <sheetName val="표지_(2)"/>
      <sheetName val="설명서_"/>
      <sheetName val="3_바닥판__"/>
      <sheetName val="6-1__관개량조서"/>
      <sheetName val="자재단가2007_10"/>
      <sheetName val="자재단가2008_4"/>
      <sheetName val="아파트_내역"/>
      <sheetName val="7_원가계산서(품셈)"/>
      <sheetName val="단가산출근거_목록표"/>
      <sheetName val="단_가_산_출_근_거"/>
      <sheetName val="중기_목록표"/>
      <sheetName val="시간당_중기사용료"/>
      <sheetName val="환율및_기초자료"/>
      <sheetName val="인건비_"/>
      <sheetName val="INDEX__LIST"/>
      <sheetName val="주빔의_설계"/>
      <sheetName val="CABLE_SIZE-1"/>
      <sheetName val="1-4-2_관(약)"/>
      <sheetName val="자재_집계표"/>
      <sheetName val="표__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6">
          <cell r="E46">
            <v>16300</v>
          </cell>
        </row>
        <row r="99">
          <cell r="E99">
            <v>35900</v>
          </cell>
        </row>
        <row r="104">
          <cell r="E104">
            <v>114000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※참고자료※"/>
      <sheetName val="비탈면보호공수량산출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코드표"/>
      <sheetName val="설계예산내역서(전체분)"/>
      <sheetName val="Sheet1"/>
      <sheetName val="본선"/>
      <sheetName val="교차로개선"/>
      <sheetName val="노임단가"/>
      <sheetName val="자재단가"/>
      <sheetName val="백호우계수"/>
      <sheetName val="노무비단가"/>
      <sheetName val="내역서(기계)"/>
      <sheetName val="노무비"/>
      <sheetName val="96노임기준"/>
      <sheetName val="토공유동표"/>
      <sheetName val="데이타"/>
      <sheetName val="관급"/>
      <sheetName val="DONGA4"/>
      <sheetName val="시설물일위"/>
      <sheetName val="소일위대가코드표"/>
      <sheetName val="변화치수"/>
      <sheetName val="노무단가"/>
      <sheetName val="실행대비"/>
      <sheetName val="내역서"/>
      <sheetName val="ⴭⴭⴭⴭⴭ"/>
      <sheetName val="6공구(당초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공구원가계산"/>
      <sheetName val="2공구산출내역"/>
      <sheetName val="2______"/>
      <sheetName val="을"/>
      <sheetName val="기자재비"/>
      <sheetName val="식재일위대가"/>
      <sheetName val="기초일위대가"/>
      <sheetName val="단가대비표"/>
      <sheetName val="데이타"/>
      <sheetName val="104동"/>
      <sheetName val="대목"/>
      <sheetName val="단가표"/>
      <sheetName val="내역"/>
      <sheetName val="일위대가"/>
      <sheetName val="2차1차"/>
      <sheetName val="일위대가표"/>
      <sheetName val="골조시행"/>
      <sheetName val="예산내역"/>
      <sheetName val="총괄수지표"/>
      <sheetName val="1차설계변경내역"/>
      <sheetName val="내역서2안"/>
      <sheetName val="b_balju"/>
      <sheetName val="공통가설"/>
      <sheetName val="10월"/>
      <sheetName val="덤프트럭계수"/>
      <sheetName val="자료"/>
      <sheetName val="견적서"/>
      <sheetName val="내역서"/>
      <sheetName val="Mc1"/>
      <sheetName val="토공사"/>
      <sheetName val="70%"/>
      <sheetName val="식재인부"/>
      <sheetName val="담장산출"/>
      <sheetName val="건축내역"/>
      <sheetName val="b_balju-단가단가단가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Macro1"/>
      <sheetName val="견적시담(송포2공구)"/>
      <sheetName val="적격점수&lt;300억미만&gt;"/>
      <sheetName val="일위대가목차"/>
      <sheetName val="수목표준대가"/>
      <sheetName val="노임단가"/>
      <sheetName val="QandAJunior"/>
      <sheetName val="단가"/>
      <sheetName val="환율"/>
      <sheetName val="기초단가"/>
      <sheetName val="설비2차"/>
      <sheetName val="기본단가"/>
      <sheetName val="Sheet5"/>
      <sheetName val="b_balju_cho"/>
      <sheetName val="Data&amp;Result"/>
      <sheetName val="COVER"/>
      <sheetName val="일위목록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백암비스타내역"/>
      <sheetName val="data2"/>
      <sheetName val="sheet1"/>
      <sheetName val="일위대가(건축)"/>
      <sheetName val="Sheet10"/>
      <sheetName val="FB25JN"/>
      <sheetName val="내역5"/>
      <sheetName val="회사정보"/>
      <sheetName val="기성내역"/>
      <sheetName val="★도급내역"/>
      <sheetName val="Y-WORK"/>
      <sheetName val="노임"/>
      <sheetName val="집계표"/>
      <sheetName val="단가비교표"/>
      <sheetName val="단가일람"/>
      <sheetName val="단위량당중기"/>
      <sheetName val="개요"/>
      <sheetName val="물가대비표"/>
      <sheetName val="요율"/>
      <sheetName val="일용노임단가"/>
      <sheetName val="중기사용료산출근거"/>
      <sheetName val="단가 및 재료비"/>
      <sheetName val="BID"/>
      <sheetName val="대가"/>
      <sheetName val="자재단가"/>
      <sheetName val="노원열병합  건축공사기성내역서"/>
      <sheetName val="공통가설공사"/>
      <sheetName val="건축공사실행"/>
      <sheetName val="직노"/>
      <sheetName val="제직재"/>
      <sheetName val="설직재-1"/>
      <sheetName val="EACT10"/>
      <sheetName val="건축"/>
      <sheetName val="공종목록표"/>
      <sheetName val="일위대가목록"/>
      <sheetName val="회사기초자료"/>
      <sheetName val="단가조사서"/>
      <sheetName val="#REF"/>
      <sheetName val="unit 4"/>
      <sheetName val="인건비단가"/>
      <sheetName val="수량산출"/>
      <sheetName val="터파기및재료"/>
      <sheetName val="실행철강하도"/>
      <sheetName val="설계"/>
      <sheetName val="몰탈재료산출"/>
      <sheetName val="CON'C"/>
      <sheetName val="단가표 (2)"/>
      <sheetName val="국별인원"/>
      <sheetName val="단가산출"/>
      <sheetName val="보할공정"/>
      <sheetName val="을지"/>
      <sheetName val="금액"/>
      <sheetName val="공사비대비표B(토공)"/>
      <sheetName val="일위대가(출입)"/>
      <sheetName val="증감대비"/>
      <sheetName val="연결임시"/>
      <sheetName val="선금급신청서"/>
      <sheetName val="공통단가"/>
      <sheetName val="운반비"/>
      <sheetName val="2000양배"/>
      <sheetName val="수목데이타 "/>
      <sheetName val="기초입력 DATA"/>
      <sheetName val="전기품산출"/>
      <sheetName val="안양동교 1안"/>
      <sheetName val="단가조사"/>
      <sheetName val="출력은 금물"/>
      <sheetName val="중기사용료"/>
      <sheetName val="원가계산서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투찰추정"/>
      <sheetName val="경비"/>
      <sheetName val="DATA1"/>
      <sheetName val="관리자"/>
      <sheetName val="대가10%"/>
      <sheetName val="중기조종사 단위단가"/>
      <sheetName val="일 위 대 가 표"/>
      <sheetName val="단가(1)"/>
      <sheetName val="기계경비(시간당)"/>
      <sheetName val="1,2공구원가계산서"/>
      <sheetName val="1공구산출내역서"/>
      <sheetName val="Total"/>
      <sheetName val="결재판"/>
      <sheetName val="장비"/>
      <sheetName val="산근1"/>
      <sheetName val="노무"/>
      <sheetName val="자재"/>
      <sheetName val="000000"/>
      <sheetName val="교사기준면적(초등)"/>
      <sheetName val="식재가격"/>
      <sheetName val="식재총괄"/>
      <sheetName val="코드표"/>
      <sheetName val="실행(1)"/>
      <sheetName val="기본단가표"/>
      <sheetName val="입력"/>
      <sheetName val="인건비"/>
      <sheetName val="일위대가 "/>
      <sheetName val="요약&amp;결과"/>
      <sheetName val="광양 3기 유입수"/>
      <sheetName val="전체"/>
      <sheetName val="제출내역"/>
      <sheetName val=" 갑지"/>
      <sheetName val="소비자가"/>
      <sheetName val="시설물기초"/>
      <sheetName val="단청공사"/>
      <sheetName val="단산목록"/>
      <sheetName val="에너지요금"/>
      <sheetName val="수지예산"/>
      <sheetName val="일위_파일"/>
      <sheetName val="도급"/>
      <sheetName val="변수값"/>
      <sheetName val="중기상차"/>
      <sheetName val="AS복구"/>
      <sheetName val="중기터파기"/>
      <sheetName val="9811"/>
      <sheetName val="기초내역"/>
      <sheetName val="작업금지"/>
      <sheetName val="DATA"/>
      <sheetName val="조명율표"/>
      <sheetName val="코드목록(시스템담당용)"/>
      <sheetName val="저수조"/>
      <sheetName val="집계표_식재"/>
      <sheetName val="장비종합부표"/>
      <sheetName val="부표"/>
      <sheetName val="공정집계_국별"/>
      <sheetName val="AV시스템"/>
      <sheetName val="기계경비일람"/>
      <sheetName val="재노경"/>
      <sheetName val="도급내역5+800"/>
      <sheetName val="A-4"/>
      <sheetName val="BSD _2_"/>
      <sheetName val="관로내역원"/>
      <sheetName val="노임단가표"/>
      <sheetName val="할증 "/>
      <sheetName val="장비사양"/>
      <sheetName val="급여대장"/>
      <sheetName val="직원 인적급여 카드"/>
      <sheetName val="4.일위대가목차"/>
      <sheetName val="일위대가(가설)"/>
      <sheetName val="위치조서"/>
      <sheetName val="EJ"/>
      <sheetName val="Sheet1 (2)"/>
      <sheetName val="현장경비"/>
      <sheetName val="등록업체(031124)"/>
      <sheetName val="BS"/>
      <sheetName val="실행내역"/>
      <sheetName val="대한주택보증(수보)"/>
      <sheetName val="대한주택보증(입보)"/>
      <sheetName val="DANGA"/>
      <sheetName val="Macro2"/>
      <sheetName val="2.냉난방설비공사"/>
      <sheetName val="7.자동제어공사"/>
      <sheetName val="DATE"/>
      <sheetName val="화재 탐지 설비"/>
      <sheetName val="물가시세표"/>
      <sheetName val="내부마감"/>
      <sheetName val="01"/>
      <sheetName val="공사개요"/>
      <sheetName val="제2호단위수량"/>
      <sheetName val="96노임기준"/>
      <sheetName val="상각비"/>
      <sheetName val="FAX"/>
      <sheetName val="4.공사별"/>
      <sheetName val="하부철근수량"/>
      <sheetName val="갑지"/>
      <sheetName val="단가비교"/>
      <sheetName val="별제권_정리담보권"/>
      <sheetName val="견적"/>
      <sheetName val="냉천부속동"/>
      <sheetName val="여과지동"/>
      <sheetName val="범례_(2)"/>
      <sheetName val="단가_및_재료비"/>
      <sheetName val="노원열병합__건축공사기성내역서"/>
      <sheetName val="안양동교_1안"/>
      <sheetName val="unit_4"/>
      <sheetName val="일_위_대_가_표"/>
      <sheetName val="설계예산서"/>
      <sheetName val="예산내역서"/>
      <sheetName val="원하대비"/>
      <sheetName val="원도급"/>
      <sheetName val="하도급"/>
      <sheetName val="대비2"/>
      <sheetName val="건축공사"/>
      <sheetName val="철콘공사"/>
      <sheetName val="재료"/>
      <sheetName val="포장복구집계"/>
      <sheetName val="북방3터널"/>
      <sheetName val="내역-2"/>
      <sheetName val="Sheet4"/>
      <sheetName val="물가시세"/>
      <sheetName val="웅진교-S2"/>
      <sheetName val="기계경비"/>
      <sheetName val="전력"/>
      <sheetName val="단가기준"/>
      <sheetName val="광주전남"/>
      <sheetName val="강병규"/>
      <sheetName val="I一般比"/>
      <sheetName val="N賃率-職"/>
      <sheetName val="J直材4"/>
      <sheetName val="보도공제면적"/>
      <sheetName val="ABUT수량-A1"/>
      <sheetName val="당사실시1"/>
      <sheetName val="수목데이타"/>
      <sheetName val="자단"/>
      <sheetName val="조명일위"/>
      <sheetName val="경산"/>
      <sheetName val="실행"/>
      <sheetName val="2000년1차"/>
      <sheetName val="신규일위"/>
      <sheetName val="계약내역(2)"/>
      <sheetName val="6-1. 관개량조서"/>
      <sheetName val="자료입력"/>
      <sheetName val="(전남)시범지구 운영실적 및 결과분석(8월까지)"/>
      <sheetName val="const."/>
      <sheetName val="기준액"/>
      <sheetName val="준검 내역서"/>
      <sheetName val="기본입력"/>
      <sheetName val="단가산출-기,교"/>
      <sheetName val="일위목록-기"/>
      <sheetName val="_갑지"/>
      <sheetName val="출력은_금물"/>
      <sheetName val="단가표_(2)"/>
      <sheetName val="할증_"/>
      <sheetName val="광양_3기_유입수"/>
      <sheetName val="수목데이타_"/>
      <sheetName val="중기조종사_단위단가"/>
      <sheetName val="공장동 지하1층"/>
      <sheetName val="용역동 및 154KV"/>
      <sheetName val="공장동 3층"/>
      <sheetName val="공장동 1층"/>
      <sheetName val="도급내역"/>
      <sheetName val="3련 BOX"/>
      <sheetName val="수량산출서"/>
      <sheetName val="일위대가 목록표"/>
      <sheetName val="입찰안"/>
      <sheetName val="대,유,램"/>
      <sheetName val="품셈TABLE"/>
      <sheetName val="주소록"/>
      <sheetName val="금액내역서"/>
      <sheetName val="재료집계표빽업"/>
      <sheetName val="암거수리계산서"/>
      <sheetName val="◀암거수리계산조서"/>
      <sheetName val="◀암거위치"/>
      <sheetName val="최종단면▶"/>
      <sheetName val="◀평균높이▶"/>
      <sheetName val="DATA 입력란"/>
      <sheetName val="1. 설계조건 2.단면가정 3. 하중계산"/>
      <sheetName val="덤프운반거리산출(토)"/>
      <sheetName val="덤프운반거리산출(풍)"/>
      <sheetName val="덤프운반거리산출(연)"/>
      <sheetName val="기초대가"/>
      <sheetName val="시설대가"/>
      <sheetName val="수목대가"/>
      <sheetName val="인공대가"/>
      <sheetName val="부표총괄"/>
      <sheetName val="VOR"/>
      <sheetName val="중기집계"/>
      <sheetName val="계산서(곡선부)"/>
      <sheetName val="포장재료집계표"/>
      <sheetName val="내 역 서(총괄)"/>
      <sheetName val="통장출금액"/>
      <sheetName val="우석문틀"/>
      <sheetName val="공내역"/>
      <sheetName val="ⴭⴭⴭⴭⴭ"/>
      <sheetName val="10월 (2)"/>
      <sheetName val="종합-임현"/>
      <sheetName val="단가산출(총괄)"/>
      <sheetName val="일위총괄"/>
      <sheetName val="토량1-1"/>
      <sheetName val="CABLE SIZE-1"/>
      <sheetName val="단"/>
      <sheetName val="기본1"/>
      <sheetName val="수정일위대가"/>
      <sheetName val="대가단최종"/>
      <sheetName val="단 box"/>
      <sheetName val="총 괄 표"/>
      <sheetName val="예산명세서"/>
      <sheetName val="설계명세서"/>
      <sheetName val="설계내역서"/>
      <sheetName val=" 견적서"/>
      <sheetName val="도급FORM"/>
      <sheetName val="내역서(전기)"/>
      <sheetName val="시멘트"/>
      <sheetName val="이토변실(A3-LINE)"/>
      <sheetName val="부대공"/>
      <sheetName val="배수공"/>
      <sheetName val="토공"/>
      <sheetName val="포장공"/>
      <sheetName val="비전경영계획"/>
      <sheetName val="공구"/>
      <sheetName val="1안"/>
      <sheetName val="총괄내역서"/>
      <sheetName val="견적단가"/>
      <sheetName val="비탈면보호공수량산출"/>
      <sheetName val="전차선로 물량표"/>
      <sheetName val="한강운반비"/>
      <sheetName val="공통(20-91)"/>
      <sheetName val="구의33고"/>
      <sheetName val="잡비"/>
      <sheetName val="자동제어"/>
      <sheetName val="원가계산서(남측)"/>
      <sheetName val="총공사비집계표"/>
      <sheetName val="기초자료"/>
      <sheetName val="1.우편집중내역서"/>
      <sheetName val="중기손료"/>
      <sheetName val="단위수량"/>
      <sheetName val="관급"/>
      <sheetName val="신고조서"/>
      <sheetName val="굴화내역"/>
      <sheetName val="기초입력_DATA"/>
      <sheetName val="경율산정.XLS"/>
      <sheetName val="실행예산"/>
      <sheetName val="06 일위대가목록"/>
      <sheetName val="기타 정보통신공사"/>
      <sheetName val="단가산출2"/>
      <sheetName val="종배수관면벽신"/>
      <sheetName val="피벗테이블데이터분석"/>
      <sheetName val="식재"/>
      <sheetName val="시설물"/>
      <sheetName val="식재출력용"/>
      <sheetName val="유지관리"/>
      <sheetName val="조경일람"/>
      <sheetName val="현장관리비"/>
      <sheetName val="일위대가표(DEEP)"/>
      <sheetName val="일위산출"/>
      <sheetName val="설비"/>
      <sheetName val="의왕내역"/>
      <sheetName val="가동비율"/>
      <sheetName val="예가표"/>
      <sheetName val="토사(PE)"/>
      <sheetName val="자재목록"/>
      <sheetName val="단가목록"/>
      <sheetName val="중기목록"/>
      <sheetName val="노임이"/>
      <sheetName val="archi(본사)"/>
      <sheetName val="가정조건"/>
      <sheetName val="공통"/>
      <sheetName val="장비경비"/>
      <sheetName val="빗물받이(910-510-410)"/>
      <sheetName val="노무비"/>
      <sheetName val="원가"/>
      <sheetName val="10"/>
      <sheetName val="11"/>
      <sheetName val="12"/>
      <sheetName val="13"/>
      <sheetName val="14"/>
      <sheetName val="15"/>
      <sheetName val="16"/>
      <sheetName val="3"/>
      <sheetName val="4"/>
      <sheetName val="5"/>
      <sheetName val="6"/>
      <sheetName val="7"/>
      <sheetName val="8"/>
      <sheetName val="9"/>
      <sheetName val="유원장"/>
      <sheetName val="놀이광장"/>
      <sheetName val="다목적광장"/>
      <sheetName val="투찰내역"/>
      <sheetName val="실행내역 "/>
      <sheetName val="단중표"/>
      <sheetName val="금융비용"/>
      <sheetName val="2000,9월 일위"/>
      <sheetName val="1공구원가계산서"/>
      <sheetName val="을 1"/>
      <sheetName val="을 2"/>
      <sheetName val="재료비"/>
      <sheetName val="납부서"/>
      <sheetName val="보고"/>
      <sheetName val="조건"/>
      <sheetName val="사업성"/>
      <sheetName val="계약서"/>
      <sheetName val="간접비 총괄표"/>
      <sheetName val="2.1  노무비 평균단가산출"/>
      <sheetName val="기초일위"/>
      <sheetName val="시설일위"/>
      <sheetName val="표준항목"/>
      <sheetName val="교각1"/>
      <sheetName val="식재일위"/>
      <sheetName val="말뚝지지력산정"/>
      <sheetName val="L_RPTB~1"/>
      <sheetName val="시작4"/>
      <sheetName val="단가산출서"/>
      <sheetName val="pier(각형)"/>
      <sheetName val="(A)내역서"/>
      <sheetName val="중기단가"/>
      <sheetName val="단가및재료비"/>
      <sheetName val="기능공인적사항"/>
      <sheetName val="내역표지"/>
      <sheetName val="유림골조"/>
      <sheetName val="조견표"/>
      <sheetName val="조도계산서 (도서)"/>
      <sheetName val="3.하중산정4.지지력"/>
      <sheetName val="단  가  대  비  표"/>
      <sheetName val="일  위  대  가  목  록"/>
      <sheetName val="2.대외공문"/>
      <sheetName val="-치수표(곡선부)"/>
      <sheetName val="반포2차"/>
      <sheetName val="기준FACTOR"/>
      <sheetName val="노무비 근거"/>
      <sheetName val="개인명세서"/>
      <sheetName val="토적단위"/>
      <sheetName val="중기작업량"/>
      <sheetName val="청천내"/>
      <sheetName val="교통대책내역"/>
      <sheetName val="일위대가(4층원격)"/>
      <sheetName val="변경내역"/>
      <sheetName val="단가견적조사표"/>
      <sheetName val="계정code"/>
      <sheetName val="정의"/>
      <sheetName val="투입비"/>
      <sheetName val="옥외외등집계표"/>
      <sheetName val="노견단위수량"/>
      <sheetName val="실행대비"/>
      <sheetName val="구간별현황"/>
      <sheetName val="배수량"/>
      <sheetName val="기본계획"/>
      <sheetName val="WORK"/>
      <sheetName val="공조기"/>
      <sheetName val="달대"/>
      <sheetName val="철거산출근거"/>
      <sheetName val="원가서"/>
      <sheetName val="실행기초"/>
      <sheetName val="개요입력"/>
      <sheetName val="수량기준"/>
      <sheetName val="APT내역"/>
      <sheetName val="부대시설"/>
      <sheetName val="일용노임단가2001상"/>
      <sheetName val="참조자료"/>
      <sheetName val="A갑지"/>
      <sheetName val="장비가동"/>
      <sheetName val="세부내역서(소방)"/>
      <sheetName val="간공설계서"/>
      <sheetName val="JUCKEYK"/>
      <sheetName val="16-1"/>
      <sheetName val="9-1차이내역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정산명세서"/>
      <sheetName val="동문건설"/>
      <sheetName val="설비내역서"/>
      <sheetName val="건축내역서"/>
      <sheetName val="전기내역서"/>
      <sheetName val="예총"/>
      <sheetName val="파일의이용"/>
      <sheetName val="설명서 "/>
      <sheetName val="토목"/>
      <sheetName val="수량집계"/>
      <sheetName val="토건"/>
      <sheetName val="작업일보"/>
      <sheetName val="간접비"/>
      <sheetName val="램머"/>
      <sheetName val="괴목육교"/>
      <sheetName val="옥외등신설"/>
      <sheetName val="저케CV22신설"/>
      <sheetName val="저케CV38신설"/>
      <sheetName val="저케CV8신설"/>
      <sheetName val="접지3종"/>
      <sheetName val="sub"/>
      <sheetName val="근로자"/>
      <sheetName val="세금자료"/>
      <sheetName val="총괄표"/>
      <sheetName val="인공산출"/>
      <sheetName val="산출기초"/>
      <sheetName val="DAN"/>
      <sheetName val="백호우계수"/>
      <sheetName val="공사비산출서"/>
      <sheetName val="원가data"/>
      <sheetName val="5직접"/>
      <sheetName val="장비단가"/>
      <sheetName val="4.2.1 마루높이 검토"/>
      <sheetName val="CODE"/>
      <sheetName val="철근콘크리트 (5)"/>
      <sheetName val="청주(철골발주의뢰서)"/>
      <sheetName val="품셈표"/>
      <sheetName val="일위대가(1)"/>
      <sheetName val="국민연금표"/>
      <sheetName val="자판실행"/>
      <sheetName val="단가_1_"/>
      <sheetName val="접속슬라브"/>
      <sheetName val="부대공Ⅱ"/>
      <sheetName val="내역_FILE"/>
      <sheetName val="규준틀"/>
      <sheetName val="배수내역"/>
      <sheetName val="제경비"/>
      <sheetName val="전선 및 전선관"/>
      <sheetName val="MCC제원"/>
      <sheetName val="제경비율"/>
      <sheetName val="내역1"/>
      <sheetName val="Baby일위대가"/>
      <sheetName val="남대문빌딩"/>
      <sheetName val="2003상반기노임기준"/>
      <sheetName val="일위대가집계"/>
      <sheetName val="변압기 및 발전기 용량"/>
      <sheetName val="적용단위길이"/>
      <sheetName val="특수기호강도거푸집"/>
      <sheetName val="종배수관(신)"/>
      <sheetName val="목록"/>
      <sheetName val="토목공사"/>
      <sheetName val="22단가"/>
      <sheetName val="22인공"/>
      <sheetName val="범례_(2)1"/>
      <sheetName val="단가_및_재료비1"/>
      <sheetName val="노원열병합__건축공사기성내역서1"/>
      <sheetName val="일_위_대_가_표1"/>
      <sheetName val="출력은_금물1"/>
      <sheetName val="unit_41"/>
      <sheetName val="_갑지1"/>
      <sheetName val="단가표_(2)1"/>
      <sheetName val="광양_3기_유입수1"/>
      <sheetName val="BSD__2_"/>
      <sheetName val="안양동교_1안1"/>
      <sheetName val="할증_1"/>
      <sheetName val="중기조종사_단위단가1"/>
      <sheetName val="수목데이타_1"/>
      <sheetName val="직원_인적급여_카드"/>
      <sheetName val="sheet1_(2)"/>
      <sheetName val="4_일위대가목차"/>
      <sheetName val="일위대가_"/>
      <sheetName val="2_냉난방설비공사"/>
      <sheetName val="7_자동제어공사"/>
      <sheetName val="화재_탐지_설비"/>
      <sheetName val="4_공사별"/>
      <sheetName val="(전남)시범지구_운영실적_및_결과분석(8월까지)"/>
      <sheetName val="준검_내역서"/>
      <sheetName val="3련_BOX"/>
      <sheetName val="공장동_지하1층"/>
      <sheetName val="용역동_및_154KV"/>
      <sheetName val="공장동_3층"/>
      <sheetName val="공장동_1층"/>
      <sheetName val="직접비"/>
      <sheetName val="시설물일위"/>
      <sheetName val="공내역서"/>
      <sheetName val="형틀공사"/>
      <sheetName val="기본일위"/>
      <sheetName val="분당임차변경"/>
      <sheetName val="지급자재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가"/>
      <sheetName val="총괄내"/>
      <sheetName val="내역서"/>
      <sheetName val="일위식재"/>
      <sheetName val="일위시설"/>
      <sheetName val="단가"/>
      <sheetName val="수량1"/>
      <sheetName val="수량2"/>
      <sheetName val="별산1"/>
      <sheetName val="별산2"/>
      <sheetName val="중기"/>
      <sheetName val="부표"/>
      <sheetName val="수량3"/>
      <sheetName val="수량4"/>
      <sheetName val="코드표"/>
      <sheetName val="Cell목록"/>
      <sheetName val="표지"/>
      <sheetName val="본선"/>
      <sheetName val="교차로개선"/>
      <sheetName val="조경"/>
      <sheetName val="전기"/>
      <sheetName val="단가산출서"/>
      <sheetName val="Sheet1"/>
      <sheetName val="집계표"/>
      <sheetName val="통보서"/>
      <sheetName val="청구서"/>
      <sheetName val="내역"/>
      <sheetName val="04 1"/>
      <sheetName val="DONGA3"/>
      <sheetName val="데리네이타현황"/>
      <sheetName val="단가산출"/>
      <sheetName val="노임"/>
      <sheetName val="백호우계수"/>
      <sheetName val="마산방향"/>
      <sheetName val="진주방향"/>
      <sheetName val="Sheet1 (2)"/>
      <sheetName val="단위수량"/>
      <sheetName val="동원(3)"/>
      <sheetName val="수량산출"/>
      <sheetName val="현황산출서"/>
      <sheetName val="노무비단가"/>
      <sheetName val="총괄내역"/>
      <sheetName val="식재일위대가"/>
      <sheetName val="인상효1"/>
      <sheetName val="#REF"/>
      <sheetName val="확약서"/>
      <sheetName val="수자재단위당"/>
      <sheetName val="원가계산서"/>
      <sheetName val="시운전연료"/>
      <sheetName val="내역(중앙)"/>
      <sheetName val="총집계표"/>
      <sheetName val="터파기및재료"/>
      <sheetName val="DAN"/>
      <sheetName val="노임단가"/>
      <sheetName val="수토공단위당"/>
      <sheetName val="Sheet2"/>
      <sheetName val="새공통"/>
      <sheetName val="현장관리비"/>
      <sheetName val="내부마감"/>
      <sheetName val="45,46"/>
      <sheetName val="BID"/>
      <sheetName val="PAINT"/>
      <sheetName val="식재가격"/>
      <sheetName val="식재총괄"/>
      <sheetName val="일위목록"/>
      <sheetName val="변화치수"/>
      <sheetName val="조명율표"/>
      <sheetName val="70%"/>
      <sheetName val="TYPE-A"/>
      <sheetName val="단가표"/>
      <sheetName val="설비"/>
      <sheetName val="장비가동"/>
      <sheetName val="맨홀수량"/>
      <sheetName val="입찰"/>
      <sheetName val="현경"/>
      <sheetName val="자재(원원+원대)"/>
      <sheetName val="여과지동"/>
      <sheetName val="기초자료"/>
      <sheetName val="일위대가목차"/>
      <sheetName val="본공사"/>
      <sheetName val="준검 내역서"/>
      <sheetName val="시점교대"/>
      <sheetName val="사  업  비  수  지  예  산  서"/>
      <sheetName val="투찰추정"/>
      <sheetName val="단위중량"/>
      <sheetName val="가도공"/>
      <sheetName val="DATE"/>
      <sheetName val="3월내역"/>
      <sheetName val="진천방향"/>
      <sheetName val="경영상태"/>
      <sheetName val="노무비"/>
      <sheetName val="건축"/>
      <sheetName val="하중계산"/>
      <sheetName val="내역(창신)"/>
      <sheetName val="6PILE  (돌출)"/>
      <sheetName val="총괄내역서"/>
      <sheetName val="내역서 (2)"/>
      <sheetName val="집계"/>
      <sheetName val="99 조정금액"/>
      <sheetName val="도급"/>
      <sheetName val="비탈면보호공수량산출"/>
      <sheetName val="간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A1" t="str">
            <v>*규격별 식재품</v>
          </cell>
        </row>
        <row r="2">
          <cell r="A2" t="str">
            <v>코드</v>
          </cell>
          <cell r="B2" t="str">
            <v>내용</v>
          </cell>
          <cell r="C2" t="str">
            <v>단위</v>
          </cell>
          <cell r="D2" t="str">
            <v>조경공</v>
          </cell>
          <cell r="E2" t="str">
            <v>보통인부</v>
          </cell>
          <cell r="F2" t="str">
            <v>단위</v>
          </cell>
        </row>
        <row r="3">
          <cell r="A3" t="str">
            <v>H010</v>
          </cell>
          <cell r="B3" t="str">
            <v>1.0이하</v>
          </cell>
          <cell r="C3" t="str">
            <v>M</v>
          </cell>
          <cell r="D3">
            <v>5.6000000000000008E-2</v>
          </cell>
          <cell r="E3">
            <v>4.8000000000000001E-2</v>
          </cell>
          <cell r="F3" t="str">
            <v>지주목무</v>
          </cell>
        </row>
        <row r="4">
          <cell r="A4" t="str">
            <v>H015</v>
          </cell>
          <cell r="B4">
            <v>1.5</v>
          </cell>
          <cell r="D4">
            <v>7.1999999999999995E-2</v>
          </cell>
          <cell r="E4">
            <v>5.6000000000000008E-2</v>
          </cell>
          <cell r="F4" t="str">
            <v>지주목무</v>
          </cell>
        </row>
        <row r="5">
          <cell r="A5" t="str">
            <v>H020</v>
          </cell>
          <cell r="B5">
            <v>2</v>
          </cell>
          <cell r="D5">
            <v>8.8000000000000009E-2</v>
          </cell>
          <cell r="E5">
            <v>7.1999999999999995E-2</v>
          </cell>
          <cell r="F5" t="str">
            <v>지주목무</v>
          </cell>
        </row>
        <row r="6">
          <cell r="A6" t="str">
            <v>H025</v>
          </cell>
          <cell r="B6">
            <v>2.5</v>
          </cell>
          <cell r="D6">
            <v>0.15</v>
          </cell>
          <cell r="E6">
            <v>0.12</v>
          </cell>
        </row>
        <row r="7">
          <cell r="A7" t="str">
            <v>H030</v>
          </cell>
          <cell r="B7">
            <v>3</v>
          </cell>
          <cell r="D7">
            <v>0.19</v>
          </cell>
          <cell r="E7">
            <v>0.14000000000000001</v>
          </cell>
        </row>
        <row r="8">
          <cell r="A8" t="str">
            <v>H035</v>
          </cell>
          <cell r="B8">
            <v>3.5</v>
          </cell>
          <cell r="D8">
            <v>0.23</v>
          </cell>
          <cell r="E8">
            <v>0.17</v>
          </cell>
        </row>
        <row r="9">
          <cell r="A9" t="str">
            <v>H040</v>
          </cell>
          <cell r="B9">
            <v>4</v>
          </cell>
          <cell r="D9">
            <v>0.28999999999999998</v>
          </cell>
          <cell r="E9">
            <v>0.2</v>
          </cell>
        </row>
        <row r="10">
          <cell r="A10" t="str">
            <v>H045</v>
          </cell>
          <cell r="B10">
            <v>4.5</v>
          </cell>
          <cell r="D10">
            <v>0.33</v>
          </cell>
          <cell r="E10">
            <v>0.23</v>
          </cell>
        </row>
        <row r="11">
          <cell r="A11" t="str">
            <v>H050</v>
          </cell>
          <cell r="B11">
            <v>5</v>
          </cell>
          <cell r="D11">
            <v>0.38</v>
          </cell>
          <cell r="E11">
            <v>0.27</v>
          </cell>
        </row>
        <row r="12">
          <cell r="A12" t="str">
            <v>H055</v>
          </cell>
          <cell r="B12">
            <v>5.5</v>
          </cell>
          <cell r="D12">
            <v>0.43</v>
          </cell>
          <cell r="E12">
            <v>0.31</v>
          </cell>
        </row>
        <row r="13">
          <cell r="A13" t="str">
            <v>H060</v>
          </cell>
          <cell r="B13">
            <v>6</v>
          </cell>
          <cell r="D13">
            <v>0.49</v>
          </cell>
          <cell r="E13">
            <v>0.36</v>
          </cell>
        </row>
        <row r="14">
          <cell r="A14" t="str">
            <v>B004</v>
          </cell>
          <cell r="B14">
            <v>4</v>
          </cell>
          <cell r="C14" t="str">
            <v>CM</v>
          </cell>
          <cell r="D14">
            <v>0.11200000000000002</v>
          </cell>
          <cell r="E14">
            <v>7.1999999999999995E-2</v>
          </cell>
          <cell r="F14" t="str">
            <v>지주목무</v>
          </cell>
        </row>
        <row r="15">
          <cell r="A15" t="str">
            <v>B005</v>
          </cell>
          <cell r="B15">
            <v>5</v>
          </cell>
          <cell r="D15">
            <v>0.23</v>
          </cell>
          <cell r="E15">
            <v>0.14000000000000001</v>
          </cell>
        </row>
        <row r="16">
          <cell r="A16" t="str">
            <v>B006</v>
          </cell>
          <cell r="B16">
            <v>6</v>
          </cell>
          <cell r="D16">
            <v>0.32</v>
          </cell>
          <cell r="E16">
            <v>0.19</v>
          </cell>
        </row>
        <row r="17">
          <cell r="A17" t="str">
            <v>B007</v>
          </cell>
          <cell r="B17">
            <v>7</v>
          </cell>
          <cell r="D17">
            <v>0.41</v>
          </cell>
          <cell r="E17">
            <v>0.24</v>
          </cell>
        </row>
        <row r="18">
          <cell r="A18" t="str">
            <v>B008</v>
          </cell>
          <cell r="B18">
            <v>8</v>
          </cell>
          <cell r="D18">
            <v>0.5</v>
          </cell>
          <cell r="E18">
            <v>0.28999999999999998</v>
          </cell>
        </row>
        <row r="19">
          <cell r="A19" t="str">
            <v>B009</v>
          </cell>
          <cell r="B19">
            <v>9</v>
          </cell>
          <cell r="D19">
            <v>0.59</v>
          </cell>
          <cell r="E19">
            <v>0.35</v>
          </cell>
        </row>
        <row r="20">
          <cell r="A20" t="str">
            <v>B010</v>
          </cell>
          <cell r="B20">
            <v>10</v>
          </cell>
          <cell r="D20">
            <v>0.68</v>
          </cell>
          <cell r="E20">
            <v>0.39</v>
          </cell>
        </row>
        <row r="21">
          <cell r="A21" t="str">
            <v>B011</v>
          </cell>
          <cell r="B21">
            <v>11</v>
          </cell>
          <cell r="D21">
            <v>0.77</v>
          </cell>
          <cell r="E21">
            <v>0.45</v>
          </cell>
        </row>
        <row r="22">
          <cell r="A22" t="str">
            <v>B012</v>
          </cell>
          <cell r="B22">
            <v>12</v>
          </cell>
          <cell r="D22">
            <v>0.86</v>
          </cell>
          <cell r="E22">
            <v>0.5</v>
          </cell>
        </row>
        <row r="23">
          <cell r="A23" t="str">
            <v>B013</v>
          </cell>
          <cell r="B23">
            <v>13</v>
          </cell>
          <cell r="D23">
            <v>0.95</v>
          </cell>
          <cell r="E23">
            <v>0.55000000000000004</v>
          </cell>
        </row>
        <row r="24">
          <cell r="A24" t="str">
            <v>B014</v>
          </cell>
          <cell r="B24">
            <v>14</v>
          </cell>
          <cell r="D24">
            <v>1.03</v>
          </cell>
          <cell r="E24">
            <v>0.61</v>
          </cell>
        </row>
        <row r="25">
          <cell r="A25" t="str">
            <v>B015</v>
          </cell>
          <cell r="B25">
            <v>15</v>
          </cell>
          <cell r="D25">
            <v>1.1200000000000001</v>
          </cell>
          <cell r="E25">
            <v>0.66</v>
          </cell>
        </row>
        <row r="26">
          <cell r="A26" t="str">
            <v>B016</v>
          </cell>
          <cell r="B26">
            <v>16</v>
          </cell>
          <cell r="D26">
            <v>1.21</v>
          </cell>
          <cell r="E26">
            <v>0.71</v>
          </cell>
        </row>
        <row r="27">
          <cell r="A27" t="str">
            <v>B017</v>
          </cell>
          <cell r="B27">
            <v>17</v>
          </cell>
          <cell r="D27">
            <v>1.3</v>
          </cell>
          <cell r="E27">
            <v>0.77</v>
          </cell>
        </row>
        <row r="28">
          <cell r="A28" t="str">
            <v>B018</v>
          </cell>
          <cell r="B28">
            <v>18</v>
          </cell>
          <cell r="D28">
            <v>1.39</v>
          </cell>
          <cell r="E28">
            <v>0.83</v>
          </cell>
        </row>
        <row r="29">
          <cell r="A29" t="str">
            <v>B019</v>
          </cell>
          <cell r="B29">
            <v>19</v>
          </cell>
          <cell r="D29">
            <v>1.48</v>
          </cell>
          <cell r="E29">
            <v>0.88</v>
          </cell>
        </row>
        <row r="30">
          <cell r="A30" t="str">
            <v>B020</v>
          </cell>
          <cell r="B30">
            <v>20</v>
          </cell>
          <cell r="D30">
            <v>1.57</v>
          </cell>
          <cell r="E30">
            <v>0.94</v>
          </cell>
        </row>
        <row r="31">
          <cell r="A31" t="str">
            <v>B021</v>
          </cell>
          <cell r="B31">
            <v>21</v>
          </cell>
          <cell r="D31">
            <v>1.66</v>
          </cell>
          <cell r="E31">
            <v>0.99</v>
          </cell>
        </row>
        <row r="32">
          <cell r="A32" t="str">
            <v>B022</v>
          </cell>
          <cell r="B32">
            <v>22</v>
          </cell>
          <cell r="D32">
            <v>1.75</v>
          </cell>
          <cell r="E32">
            <v>1.05</v>
          </cell>
        </row>
        <row r="33">
          <cell r="A33" t="str">
            <v>B023</v>
          </cell>
          <cell r="B33">
            <v>23</v>
          </cell>
          <cell r="D33">
            <v>1.84</v>
          </cell>
          <cell r="E33">
            <v>1.1000000000000001</v>
          </cell>
        </row>
        <row r="34">
          <cell r="A34" t="str">
            <v>B024</v>
          </cell>
          <cell r="B34">
            <v>24</v>
          </cell>
          <cell r="D34">
            <v>1.93</v>
          </cell>
          <cell r="E34">
            <v>1.1599999999999999</v>
          </cell>
        </row>
        <row r="35">
          <cell r="A35" t="str">
            <v>B025</v>
          </cell>
          <cell r="B35">
            <v>25</v>
          </cell>
          <cell r="D35">
            <v>2.0099999999999998</v>
          </cell>
          <cell r="E35">
            <v>1.22</v>
          </cell>
        </row>
        <row r="36">
          <cell r="A36" t="str">
            <v>B026</v>
          </cell>
          <cell r="B36">
            <v>26</v>
          </cell>
          <cell r="D36">
            <v>2.1</v>
          </cell>
          <cell r="E36">
            <v>1.28</v>
          </cell>
        </row>
        <row r="37">
          <cell r="A37" t="str">
            <v>B027</v>
          </cell>
          <cell r="B37">
            <v>27</v>
          </cell>
          <cell r="D37">
            <v>2.19</v>
          </cell>
          <cell r="E37">
            <v>1.33</v>
          </cell>
        </row>
        <row r="38">
          <cell r="A38" t="str">
            <v>B028</v>
          </cell>
          <cell r="B38">
            <v>28</v>
          </cell>
          <cell r="D38">
            <v>2.2799999999999998</v>
          </cell>
          <cell r="E38">
            <v>1.37</v>
          </cell>
        </row>
        <row r="39">
          <cell r="A39" t="str">
            <v>B029</v>
          </cell>
          <cell r="B39">
            <v>29</v>
          </cell>
          <cell r="D39">
            <v>2.34</v>
          </cell>
          <cell r="E39">
            <v>1.4</v>
          </cell>
        </row>
        <row r="40">
          <cell r="A40" t="str">
            <v>B030</v>
          </cell>
          <cell r="B40">
            <v>30</v>
          </cell>
          <cell r="D40">
            <v>2.39</v>
          </cell>
          <cell r="E40">
            <v>1.44</v>
          </cell>
        </row>
        <row r="41">
          <cell r="A41" t="str">
            <v>R004</v>
          </cell>
          <cell r="B41">
            <v>4</v>
          </cell>
          <cell r="C41" t="str">
            <v>CM</v>
          </cell>
          <cell r="D41">
            <v>8.8000000000000009E-2</v>
          </cell>
          <cell r="E41">
            <v>5.6000000000000008E-2</v>
          </cell>
          <cell r="F41" t="str">
            <v>지주목무</v>
          </cell>
        </row>
        <row r="42">
          <cell r="A42" t="str">
            <v>R005</v>
          </cell>
          <cell r="B42">
            <v>5</v>
          </cell>
          <cell r="D42">
            <v>0.13600000000000001</v>
          </cell>
          <cell r="E42">
            <v>8.0000000000000016E-2</v>
          </cell>
          <cell r="F42" t="str">
            <v>지주목무</v>
          </cell>
        </row>
        <row r="43">
          <cell r="A43" t="str">
            <v>R006</v>
          </cell>
          <cell r="B43">
            <v>6</v>
          </cell>
          <cell r="D43">
            <v>0.23</v>
          </cell>
          <cell r="E43">
            <v>0.14000000000000001</v>
          </cell>
        </row>
        <row r="44">
          <cell r="A44" t="str">
            <v>R007</v>
          </cell>
          <cell r="B44">
            <v>7</v>
          </cell>
          <cell r="D44">
            <v>0.3</v>
          </cell>
          <cell r="E44">
            <v>0.18</v>
          </cell>
        </row>
        <row r="45">
          <cell r="A45" t="str">
            <v>R008</v>
          </cell>
          <cell r="B45">
            <v>8</v>
          </cell>
          <cell r="D45">
            <v>0.37</v>
          </cell>
          <cell r="E45">
            <v>0.22</v>
          </cell>
        </row>
        <row r="46">
          <cell r="A46" t="str">
            <v>R009</v>
          </cell>
          <cell r="B46">
            <v>9</v>
          </cell>
          <cell r="D46">
            <v>0.44</v>
          </cell>
          <cell r="E46">
            <v>0.26</v>
          </cell>
        </row>
        <row r="47">
          <cell r="A47" t="str">
            <v>R010</v>
          </cell>
          <cell r="B47">
            <v>10</v>
          </cell>
          <cell r="D47">
            <v>0.51</v>
          </cell>
          <cell r="E47">
            <v>0.3</v>
          </cell>
        </row>
        <row r="48">
          <cell r="A48" t="str">
            <v>R011</v>
          </cell>
          <cell r="B48">
            <v>11</v>
          </cell>
          <cell r="D48">
            <v>0.57999999999999996</v>
          </cell>
          <cell r="E48">
            <v>0.35</v>
          </cell>
        </row>
        <row r="49">
          <cell r="A49" t="str">
            <v>R012</v>
          </cell>
          <cell r="B49">
            <v>12</v>
          </cell>
          <cell r="D49">
            <v>0.65</v>
          </cell>
          <cell r="E49">
            <v>0.39</v>
          </cell>
        </row>
        <row r="50">
          <cell r="A50" t="str">
            <v>R013</v>
          </cell>
          <cell r="B50">
            <v>13</v>
          </cell>
          <cell r="D50">
            <v>0.72</v>
          </cell>
          <cell r="E50">
            <v>0.43</v>
          </cell>
        </row>
        <row r="51">
          <cell r="A51" t="str">
            <v>R014</v>
          </cell>
          <cell r="B51">
            <v>14</v>
          </cell>
          <cell r="D51">
            <v>0.8</v>
          </cell>
          <cell r="E51">
            <v>0.48</v>
          </cell>
        </row>
        <row r="52">
          <cell r="A52" t="str">
            <v>R015</v>
          </cell>
          <cell r="B52">
            <v>15</v>
          </cell>
          <cell r="D52">
            <v>0.87</v>
          </cell>
          <cell r="E52">
            <v>0.52</v>
          </cell>
        </row>
        <row r="53">
          <cell r="A53" t="str">
            <v>R016</v>
          </cell>
          <cell r="B53">
            <v>16</v>
          </cell>
          <cell r="D53">
            <v>0.94</v>
          </cell>
          <cell r="E53">
            <v>0.56999999999999995</v>
          </cell>
        </row>
        <row r="54">
          <cell r="A54" t="str">
            <v>R017</v>
          </cell>
          <cell r="B54">
            <v>17</v>
          </cell>
          <cell r="D54">
            <v>1.02</v>
          </cell>
          <cell r="E54">
            <v>0.62</v>
          </cell>
        </row>
        <row r="55">
          <cell r="A55" t="str">
            <v>R018</v>
          </cell>
          <cell r="B55">
            <v>18</v>
          </cell>
          <cell r="D55">
            <v>1.0900000000000001</v>
          </cell>
          <cell r="E55">
            <v>0.66</v>
          </cell>
        </row>
        <row r="56">
          <cell r="A56" t="str">
            <v>R019</v>
          </cell>
          <cell r="B56">
            <v>19</v>
          </cell>
          <cell r="D56">
            <v>1.17</v>
          </cell>
          <cell r="E56">
            <v>0.71</v>
          </cell>
        </row>
        <row r="57">
          <cell r="A57" t="str">
            <v>R020</v>
          </cell>
          <cell r="B57">
            <v>20</v>
          </cell>
          <cell r="D57">
            <v>1.25</v>
          </cell>
          <cell r="E57">
            <v>0.76</v>
          </cell>
        </row>
        <row r="58">
          <cell r="A58" t="str">
            <v>R021</v>
          </cell>
          <cell r="B58">
            <v>21</v>
          </cell>
          <cell r="D58">
            <v>1.32</v>
          </cell>
          <cell r="E58">
            <v>0.8</v>
          </cell>
        </row>
        <row r="59">
          <cell r="A59" t="str">
            <v>R022</v>
          </cell>
          <cell r="B59">
            <v>22</v>
          </cell>
          <cell r="D59">
            <v>1.4</v>
          </cell>
          <cell r="E59">
            <v>0.85</v>
          </cell>
        </row>
        <row r="60">
          <cell r="A60" t="str">
            <v>R023</v>
          </cell>
          <cell r="B60">
            <v>23</v>
          </cell>
          <cell r="D60">
            <v>1.47</v>
          </cell>
          <cell r="E60">
            <v>0.89</v>
          </cell>
        </row>
        <row r="61">
          <cell r="A61" t="str">
            <v>R024</v>
          </cell>
          <cell r="B61">
            <v>24</v>
          </cell>
          <cell r="D61">
            <v>1.55</v>
          </cell>
          <cell r="E61">
            <v>0.94</v>
          </cell>
        </row>
        <row r="62">
          <cell r="A62" t="str">
            <v>R025</v>
          </cell>
          <cell r="B62">
            <v>25</v>
          </cell>
          <cell r="D62">
            <v>1.62</v>
          </cell>
          <cell r="E62">
            <v>0.99</v>
          </cell>
        </row>
        <row r="63">
          <cell r="A63" t="str">
            <v>R026</v>
          </cell>
          <cell r="B63">
            <v>26</v>
          </cell>
          <cell r="D63">
            <v>1.7</v>
          </cell>
          <cell r="E63">
            <v>1.04</v>
          </cell>
        </row>
        <row r="64">
          <cell r="A64" t="str">
            <v>R027</v>
          </cell>
          <cell r="B64">
            <v>27</v>
          </cell>
          <cell r="D64">
            <v>1.78</v>
          </cell>
          <cell r="E64">
            <v>1.07</v>
          </cell>
        </row>
        <row r="65">
          <cell r="A65" t="str">
            <v>R028</v>
          </cell>
          <cell r="B65">
            <v>28</v>
          </cell>
          <cell r="D65">
            <v>1.83</v>
          </cell>
          <cell r="E65">
            <v>1.0900000000000001</v>
          </cell>
        </row>
        <row r="66">
          <cell r="A66" t="str">
            <v>R029</v>
          </cell>
          <cell r="B66">
            <v>29</v>
          </cell>
          <cell r="D66">
            <v>1.87</v>
          </cell>
          <cell r="E66">
            <v>1.1200000000000001</v>
          </cell>
        </row>
        <row r="67">
          <cell r="A67" t="str">
            <v>R030</v>
          </cell>
          <cell r="B67">
            <v>30</v>
          </cell>
          <cell r="D67">
            <v>1.91</v>
          </cell>
          <cell r="E67">
            <v>1.1499999999999999</v>
          </cell>
        </row>
        <row r="68">
          <cell r="A68" t="str">
            <v>HH03</v>
          </cell>
          <cell r="B68">
            <v>0.3</v>
          </cell>
          <cell r="D68">
            <v>0.01</v>
          </cell>
          <cell r="E68">
            <v>0.01</v>
          </cell>
        </row>
        <row r="69">
          <cell r="A69" t="str">
            <v>HH07</v>
          </cell>
          <cell r="B69">
            <v>0.7</v>
          </cell>
          <cell r="D69">
            <v>0.03</v>
          </cell>
          <cell r="E69">
            <v>0.02</v>
          </cell>
        </row>
        <row r="70">
          <cell r="A70" t="str">
            <v>HH11</v>
          </cell>
          <cell r="B70">
            <v>1.1000000000000001</v>
          </cell>
          <cell r="D70">
            <v>0.05</v>
          </cell>
          <cell r="E70">
            <v>0.03</v>
          </cell>
        </row>
        <row r="71">
          <cell r="A71" t="str">
            <v>HH15</v>
          </cell>
          <cell r="B71">
            <v>1.5</v>
          </cell>
          <cell r="D71">
            <v>0.09</v>
          </cell>
          <cell r="E71">
            <v>0.05</v>
          </cell>
        </row>
      </sheetData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적용수량"/>
      <sheetName val="주요자재집계표"/>
      <sheetName val="배수공 시멘트 및 골재량 산출"/>
      <sheetName val="배수공 레미콘집계표"/>
      <sheetName val="배수관 자재집계표"/>
      <sheetName val="배수공 철근집계표"/>
      <sheetName val="배수공터파기수량집계"/>
      <sheetName val="측구터파기공수량집계"/>
      <sheetName val="구조물터파기수량집계"/>
      <sheetName val="되메우기 수량집계표"/>
      <sheetName val="타공정이월수량집계표"/>
      <sheetName val="깨기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7"/>
  <sheetViews>
    <sheetView view="pageBreakPreview" zoomScaleNormal="100" workbookViewId="0">
      <selection activeCell="A5" sqref="A5:IV5"/>
    </sheetView>
  </sheetViews>
  <sheetFormatPr defaultColWidth="6.21875" defaultRowHeight="30" customHeight="1"/>
  <cols>
    <col min="1" max="1" width="5.77734375" style="1" customWidth="1"/>
    <col min="2" max="2" width="16.77734375" style="1" customWidth="1"/>
    <col min="3" max="3" width="22.77734375" style="1" customWidth="1"/>
    <col min="4" max="4" width="5.77734375" style="1" customWidth="1"/>
    <col min="5" max="5" width="15.77734375" style="1" customWidth="1"/>
    <col min="6" max="6" width="13.77734375" style="1" customWidth="1"/>
    <col min="7" max="16384" width="6.21875" style="1"/>
  </cols>
  <sheetData>
    <row r="1" spans="1:7" s="2" customFormat="1" ht="30" customHeight="1">
      <c r="A1" s="90" t="s">
        <v>0</v>
      </c>
      <c r="B1" s="90" t="s">
        <v>1</v>
      </c>
      <c r="C1" s="90" t="s">
        <v>17</v>
      </c>
      <c r="D1" s="90" t="s">
        <v>2</v>
      </c>
      <c r="E1" s="92" t="s">
        <v>19</v>
      </c>
      <c r="F1" s="90" t="s">
        <v>3</v>
      </c>
    </row>
    <row r="2" spans="1:7" s="2" customFormat="1" ht="30" customHeight="1">
      <c r="A2" s="90">
        <v>1</v>
      </c>
      <c r="B2" s="91" t="s">
        <v>42</v>
      </c>
      <c r="C2" s="15" t="s">
        <v>30</v>
      </c>
      <c r="D2" s="16" t="s">
        <v>8</v>
      </c>
      <c r="E2" s="85">
        <f>'D.C.M산출근거(본산)'!F36+'D.C.M산출근거(본산)'!E38</f>
        <v>560</v>
      </c>
      <c r="F2" s="15" t="s">
        <v>41</v>
      </c>
    </row>
    <row r="3" spans="1:7" s="2" customFormat="1" ht="30" customHeight="1">
      <c r="A3" s="90">
        <v>2</v>
      </c>
      <c r="B3" s="91" t="s">
        <v>43</v>
      </c>
      <c r="C3" s="14" t="s">
        <v>30</v>
      </c>
      <c r="D3" s="14" t="s">
        <v>8</v>
      </c>
      <c r="E3" s="79">
        <f>'D.C.M산출근거(본산)'!E40</f>
        <v>112</v>
      </c>
      <c r="F3" s="14" t="s">
        <v>29</v>
      </c>
      <c r="G3" s="4"/>
    </row>
    <row r="4" spans="1:7" s="2" customFormat="1" ht="30" customHeight="1">
      <c r="A4" s="14">
        <v>3</v>
      </c>
      <c r="B4" s="17" t="s">
        <v>44</v>
      </c>
      <c r="C4" s="15" t="s">
        <v>34</v>
      </c>
      <c r="D4" s="16" t="s">
        <v>14</v>
      </c>
      <c r="E4" s="86">
        <f>'D.C.M산출근거(본산)'!D53</f>
        <v>28</v>
      </c>
      <c r="F4" s="14"/>
    </row>
    <row r="5" spans="1:7" s="2" customFormat="1" ht="30" hidden="1" customHeight="1">
      <c r="A5" s="14">
        <v>4</v>
      </c>
      <c r="B5" s="14" t="s">
        <v>38</v>
      </c>
      <c r="C5" s="89" t="s">
        <v>39</v>
      </c>
      <c r="D5" s="16" t="s">
        <v>40</v>
      </c>
      <c r="E5" s="79">
        <f>'D.C.M산출근거(본산)'!F50</f>
        <v>0</v>
      </c>
      <c r="F5" s="18"/>
    </row>
    <row r="6" spans="1:7" s="2" customFormat="1" ht="30" customHeight="1">
      <c r="A6" s="14">
        <v>5</v>
      </c>
      <c r="B6" s="14" t="s">
        <v>32</v>
      </c>
      <c r="C6" s="89" t="s">
        <v>33</v>
      </c>
      <c r="D6" s="16" t="s">
        <v>9</v>
      </c>
      <c r="E6" s="85">
        <f>'D.C.M산출근거(본산)'!I45</f>
        <v>344.27</v>
      </c>
      <c r="F6" s="14"/>
      <c r="G6" s="4"/>
    </row>
    <row r="7" spans="1:7" s="2" customFormat="1" ht="30" customHeight="1">
      <c r="A7" s="14">
        <v>6</v>
      </c>
      <c r="B7" s="14" t="s">
        <v>28</v>
      </c>
      <c r="C7" s="89" t="s">
        <v>15</v>
      </c>
      <c r="D7" s="14" t="s">
        <v>4</v>
      </c>
      <c r="E7" s="79">
        <f>'D.C.M산출근거(본산)'!H42</f>
        <v>436.06</v>
      </c>
      <c r="F7" s="18" t="s">
        <v>18</v>
      </c>
    </row>
  </sheetData>
  <phoneticPr fontId="22" type="noConversion"/>
  <printOptions horizontalCentered="1"/>
  <pageMargins left="0.59055118110236227" right="0.59055118110236227" top="1.3779527559055118" bottom="0.39370078740157483" header="0.98425196850393704" footer="0.39370078740157483"/>
  <pageSetup paperSize="9" scale="97" orientation="portrait" r:id="rId1"/>
  <headerFooter alignWithMargins="0">
    <oddHeader>&amp;C&amp;"가는각진제목체,굵게"&amp;17심 층 혼 합 공 법 수 량 집 계 표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66"/>
  <sheetViews>
    <sheetView tabSelected="1" view="pageBreakPreview" zoomScaleNormal="100" zoomScaleSheetLayoutView="100" workbookViewId="0">
      <selection activeCell="E4" sqref="E4"/>
    </sheetView>
  </sheetViews>
  <sheetFormatPr defaultColWidth="2.109375" defaultRowHeight="15" customHeight="1"/>
  <cols>
    <col min="1" max="1" width="0.88671875" style="5" customWidth="1"/>
    <col min="2" max="2" width="10.77734375" style="5" customWidth="1"/>
    <col min="3" max="3" width="13.6640625" style="5" bestFit="1" customWidth="1"/>
    <col min="4" max="8" width="12.77734375" style="5" customWidth="1"/>
    <col min="9" max="9" width="13.6640625" style="5" bestFit="1" customWidth="1"/>
    <col min="10" max="10" width="12.77734375" style="5" customWidth="1"/>
    <col min="11" max="11" width="0.88671875" style="5" customWidth="1"/>
    <col min="12" max="36" width="2.77734375" style="5" customWidth="1"/>
    <col min="37" max="37" width="0.88671875" style="5" customWidth="1"/>
    <col min="38" max="16384" width="2.109375" style="5"/>
  </cols>
  <sheetData>
    <row r="1" spans="1:89" ht="30" customHeight="1">
      <c r="B1" s="112" t="s">
        <v>5</v>
      </c>
      <c r="C1" s="112"/>
      <c r="D1" s="112"/>
      <c r="E1" s="112"/>
      <c r="F1" s="112"/>
      <c r="G1" s="112"/>
      <c r="H1" s="112"/>
      <c r="I1" s="112"/>
      <c r="J1" s="112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</row>
    <row r="2" spans="1:89" ht="5.0999999999999996" customHeight="1">
      <c r="B2" s="19"/>
      <c r="C2" s="19"/>
      <c r="D2" s="19"/>
      <c r="E2" s="19"/>
      <c r="F2" s="19"/>
      <c r="G2" s="19"/>
      <c r="H2" s="19"/>
      <c r="I2" s="19"/>
      <c r="J2" s="19"/>
    </row>
    <row r="3" spans="1:89" ht="20.100000000000001" customHeight="1">
      <c r="A3" s="7"/>
      <c r="B3" s="20" t="s">
        <v>20</v>
      </c>
      <c r="C3" s="74"/>
      <c r="D3" s="75"/>
      <c r="E3" s="76"/>
      <c r="F3" s="87"/>
      <c r="G3" s="76">
        <f>D36</f>
        <v>10</v>
      </c>
      <c r="H3" s="87" t="s">
        <v>35</v>
      </c>
      <c r="I3" s="77"/>
      <c r="J3" s="7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13"/>
      <c r="AF3" s="113"/>
      <c r="AG3" s="113"/>
      <c r="AH3" s="113"/>
      <c r="AI3" s="113"/>
      <c r="AJ3" s="113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</row>
    <row r="4" spans="1:89" ht="20.100000000000001" customHeight="1">
      <c r="A4" s="7"/>
      <c r="B4" s="21" t="s">
        <v>25</v>
      </c>
      <c r="C4" s="22"/>
      <c r="D4" s="23"/>
      <c r="E4" s="24"/>
      <c r="F4" s="24"/>
      <c r="G4" s="25"/>
      <c r="H4" s="23"/>
      <c r="I4" s="25"/>
      <c r="J4" s="26"/>
      <c r="K4" s="114"/>
      <c r="L4" s="114"/>
      <c r="M4" s="114"/>
      <c r="N4" s="114"/>
      <c r="O4" s="113"/>
      <c r="P4" s="113"/>
      <c r="Q4" s="113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</row>
    <row r="5" spans="1:89" ht="20.100000000000001" hidden="1" customHeight="1">
      <c r="A5" s="7"/>
      <c r="B5" s="27" t="s">
        <v>48</v>
      </c>
      <c r="C5" s="80">
        <v>250.65</v>
      </c>
      <c r="D5" s="99">
        <f>J5</f>
        <v>3.024</v>
      </c>
      <c r="E5" s="100">
        <f>C5/D5</f>
        <v>82.886904761904759</v>
      </c>
      <c r="F5" s="83">
        <f>J6</f>
        <v>2.8</v>
      </c>
      <c r="G5" s="31"/>
      <c r="H5" s="23"/>
      <c r="I5" s="22" t="s">
        <v>22</v>
      </c>
      <c r="J5" s="81">
        <v>3.024</v>
      </c>
      <c r="K5" s="103"/>
      <c r="L5" s="103"/>
      <c r="M5" s="103"/>
      <c r="N5" s="3"/>
      <c r="O5" s="113"/>
      <c r="P5" s="113"/>
      <c r="Q5" s="113"/>
      <c r="R5" s="7"/>
      <c r="S5" s="7"/>
      <c r="T5" s="7"/>
      <c r="U5" s="7"/>
      <c r="V5" s="7"/>
      <c r="W5" s="7"/>
      <c r="X5" s="7"/>
      <c r="Y5" s="7"/>
      <c r="Z5" s="7"/>
      <c r="AA5" s="105"/>
      <c r="AB5" s="105"/>
      <c r="AC5" s="105"/>
      <c r="AD5" s="11"/>
      <c r="AE5" s="11"/>
      <c r="AF5" s="7"/>
      <c r="AG5" s="12"/>
      <c r="AH5" s="12"/>
      <c r="AI5" s="7"/>
      <c r="AJ5" s="12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</row>
    <row r="6" spans="1:89" ht="20.100000000000001" hidden="1" customHeight="1">
      <c r="A6" s="7"/>
      <c r="B6" s="27" t="s">
        <v>49</v>
      </c>
      <c r="C6" s="80">
        <v>250.65</v>
      </c>
      <c r="D6" s="99"/>
      <c r="E6" s="100"/>
      <c r="F6" s="83">
        <f>J6</f>
        <v>2.8</v>
      </c>
      <c r="G6" s="31"/>
      <c r="H6" s="23"/>
      <c r="I6" s="22" t="s">
        <v>23</v>
      </c>
      <c r="J6" s="82">
        <v>2.8</v>
      </c>
      <c r="K6" s="9"/>
      <c r="L6" s="9"/>
      <c r="M6" s="9"/>
      <c r="N6" s="3"/>
      <c r="O6" s="3"/>
      <c r="P6" s="3"/>
      <c r="Q6" s="3"/>
      <c r="R6" s="7"/>
      <c r="S6" s="7"/>
      <c r="T6" s="7"/>
      <c r="U6" s="7"/>
      <c r="V6" s="7"/>
      <c r="W6" s="7"/>
      <c r="X6" s="7"/>
      <c r="Y6" s="7"/>
      <c r="Z6" s="7"/>
      <c r="AA6" s="11"/>
      <c r="AB6" s="11"/>
      <c r="AC6" s="11"/>
      <c r="AD6" s="11"/>
      <c r="AE6" s="11"/>
      <c r="AF6" s="7"/>
      <c r="AG6" s="12"/>
      <c r="AH6" s="12"/>
      <c r="AI6" s="7"/>
      <c r="AJ6" s="12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</row>
    <row r="7" spans="1:89" ht="20.100000000000001" hidden="1" customHeight="1">
      <c r="A7" s="7"/>
      <c r="B7" s="27" t="s">
        <v>50</v>
      </c>
      <c r="C7" s="80">
        <v>250.65</v>
      </c>
      <c r="D7" s="99">
        <f>J7</f>
        <v>0</v>
      </c>
      <c r="E7" s="100" t="e">
        <f>C7/D7</f>
        <v>#DIV/0!</v>
      </c>
      <c r="F7" s="83">
        <f>J6</f>
        <v>2.8</v>
      </c>
      <c r="G7" s="31"/>
      <c r="H7" s="23"/>
      <c r="I7" s="22"/>
      <c r="J7" s="81"/>
      <c r="K7" s="9"/>
      <c r="L7" s="9"/>
      <c r="M7" s="9"/>
      <c r="N7" s="3"/>
      <c r="O7" s="3"/>
      <c r="P7" s="3"/>
      <c r="Q7" s="3"/>
      <c r="R7" s="7"/>
      <c r="S7" s="7"/>
      <c r="T7" s="7"/>
      <c r="U7" s="7"/>
      <c r="V7" s="7"/>
      <c r="W7" s="7"/>
      <c r="X7" s="7"/>
      <c r="Y7" s="7"/>
      <c r="Z7" s="7"/>
      <c r="AA7" s="11"/>
      <c r="AB7" s="11"/>
      <c r="AC7" s="11"/>
      <c r="AD7" s="11"/>
      <c r="AE7" s="11"/>
      <c r="AF7" s="7"/>
      <c r="AG7" s="12"/>
      <c r="AH7" s="12"/>
      <c r="AI7" s="7"/>
      <c r="AJ7" s="12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</row>
    <row r="8" spans="1:89" ht="20.100000000000001" hidden="1" customHeight="1">
      <c r="A8" s="7"/>
      <c r="B8" s="27" t="s">
        <v>51</v>
      </c>
      <c r="C8" s="80">
        <v>250.65</v>
      </c>
      <c r="D8" s="99">
        <f>J8</f>
        <v>0</v>
      </c>
      <c r="E8" s="100" t="e">
        <f>C8/D8</f>
        <v>#DIV/0!</v>
      </c>
      <c r="F8" s="83">
        <f>J6</f>
        <v>2.8</v>
      </c>
      <c r="G8" s="31"/>
      <c r="H8" s="23"/>
      <c r="I8" s="22"/>
      <c r="J8" s="81"/>
      <c r="K8" s="9"/>
      <c r="L8" s="9"/>
      <c r="M8" s="9"/>
      <c r="N8" s="3"/>
      <c r="O8" s="3"/>
      <c r="P8" s="3"/>
      <c r="Q8" s="3"/>
      <c r="R8" s="7"/>
      <c r="S8" s="7"/>
      <c r="T8" s="7"/>
      <c r="U8" s="7"/>
      <c r="V8" s="7"/>
      <c r="W8" s="7"/>
      <c r="X8" s="7"/>
      <c r="Y8" s="7"/>
      <c r="Z8" s="7"/>
      <c r="AA8" s="11"/>
      <c r="AB8" s="11"/>
      <c r="AC8" s="11"/>
      <c r="AD8" s="11"/>
      <c r="AE8" s="11"/>
      <c r="AF8" s="7"/>
      <c r="AG8" s="12"/>
      <c r="AH8" s="12"/>
      <c r="AI8" s="7"/>
      <c r="AJ8" s="12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</row>
    <row r="9" spans="1:89" ht="20.100000000000001" hidden="1" customHeight="1">
      <c r="A9" s="7"/>
      <c r="B9" s="27" t="s">
        <v>52</v>
      </c>
      <c r="C9" s="80">
        <v>250.65</v>
      </c>
      <c r="D9" s="99"/>
      <c r="E9" s="100"/>
      <c r="F9" s="83">
        <f>J6</f>
        <v>2.8</v>
      </c>
      <c r="G9" s="31"/>
      <c r="H9" s="23"/>
      <c r="I9" s="22"/>
      <c r="J9" s="81"/>
      <c r="K9" s="9"/>
      <c r="L9" s="9"/>
      <c r="M9" s="9"/>
      <c r="N9" s="3"/>
      <c r="O9" s="3"/>
      <c r="P9" s="3"/>
      <c r="Q9" s="3"/>
      <c r="R9" s="7"/>
      <c r="S9" s="7"/>
      <c r="T9" s="7"/>
      <c r="U9" s="7"/>
      <c r="V9" s="7"/>
      <c r="W9" s="7"/>
      <c r="X9" s="7"/>
      <c r="Y9" s="7"/>
      <c r="Z9" s="7"/>
      <c r="AA9" s="11"/>
      <c r="AB9" s="11"/>
      <c r="AC9" s="11"/>
      <c r="AD9" s="11"/>
      <c r="AE9" s="11"/>
      <c r="AF9" s="7"/>
      <c r="AG9" s="12"/>
      <c r="AH9" s="12"/>
      <c r="AI9" s="7"/>
      <c r="AJ9" s="12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</row>
    <row r="10" spans="1:89" ht="20.100000000000001" hidden="1" customHeight="1">
      <c r="A10" s="7"/>
      <c r="B10" s="27" t="s">
        <v>53</v>
      </c>
      <c r="C10" s="80">
        <v>250.65</v>
      </c>
      <c r="D10" s="99"/>
      <c r="E10" s="100"/>
      <c r="F10" s="83">
        <f>J6</f>
        <v>2.8</v>
      </c>
      <c r="G10" s="31"/>
      <c r="H10" s="23"/>
      <c r="I10" s="22"/>
      <c r="J10" s="81"/>
      <c r="K10" s="9"/>
      <c r="L10" s="9"/>
      <c r="M10" s="9"/>
      <c r="N10" s="3"/>
      <c r="O10" s="3"/>
      <c r="P10" s="3"/>
      <c r="Q10" s="3"/>
      <c r="R10" s="7"/>
      <c r="S10" s="7"/>
      <c r="T10" s="7"/>
      <c r="U10" s="7"/>
      <c r="V10" s="7"/>
      <c r="W10" s="7"/>
      <c r="X10" s="7"/>
      <c r="Y10" s="7"/>
      <c r="Z10" s="7"/>
      <c r="AA10" s="11"/>
      <c r="AB10" s="11"/>
      <c r="AC10" s="11"/>
      <c r="AD10" s="11"/>
      <c r="AE10" s="11"/>
      <c r="AF10" s="7"/>
      <c r="AG10" s="12"/>
      <c r="AH10" s="12"/>
      <c r="AI10" s="7"/>
      <c r="AJ10" s="12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</row>
    <row r="11" spans="1:89" ht="20.100000000000001" hidden="1" customHeight="1">
      <c r="A11" s="7"/>
      <c r="B11" s="27" t="s">
        <v>54</v>
      </c>
      <c r="C11" s="80">
        <v>250.65</v>
      </c>
      <c r="D11" s="99"/>
      <c r="E11" s="100"/>
      <c r="F11" s="83">
        <f>J6</f>
        <v>2.8</v>
      </c>
      <c r="G11" s="31"/>
      <c r="H11" s="23"/>
      <c r="I11" s="22"/>
      <c r="J11" s="81"/>
      <c r="K11" s="9"/>
      <c r="L11" s="9"/>
      <c r="M11" s="9"/>
      <c r="N11" s="3"/>
      <c r="O11" s="3"/>
      <c r="P11" s="3"/>
      <c r="Q11" s="3"/>
      <c r="R11" s="7"/>
      <c r="S11" s="7"/>
      <c r="T11" s="7"/>
      <c r="U11" s="7"/>
      <c r="V11" s="7"/>
      <c r="W11" s="7"/>
      <c r="X11" s="7"/>
      <c r="Y11" s="7"/>
      <c r="Z11" s="7"/>
      <c r="AA11" s="11"/>
      <c r="AB11" s="11"/>
      <c r="AC11" s="11"/>
      <c r="AD11" s="11"/>
      <c r="AE11" s="11"/>
      <c r="AF11" s="7"/>
      <c r="AG11" s="12"/>
      <c r="AH11" s="12"/>
      <c r="AI11" s="7"/>
      <c r="AJ11" s="12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</row>
    <row r="12" spans="1:89" ht="20.100000000000001" hidden="1" customHeight="1">
      <c r="A12" s="7"/>
      <c r="B12" s="27" t="s">
        <v>55</v>
      </c>
      <c r="C12" s="80">
        <v>250.65</v>
      </c>
      <c r="D12" s="99"/>
      <c r="E12" s="100"/>
      <c r="F12" s="83">
        <f>J6</f>
        <v>2.8</v>
      </c>
      <c r="G12" s="31"/>
      <c r="H12" s="23"/>
      <c r="I12" s="22"/>
      <c r="J12" s="81"/>
      <c r="K12" s="9"/>
      <c r="L12" s="9"/>
      <c r="M12" s="9"/>
      <c r="N12" s="3"/>
      <c r="O12" s="3"/>
      <c r="P12" s="3"/>
      <c r="Q12" s="3"/>
      <c r="R12" s="7"/>
      <c r="S12" s="7"/>
      <c r="T12" s="7"/>
      <c r="U12" s="7"/>
      <c r="V12" s="7"/>
      <c r="W12" s="7"/>
      <c r="X12" s="7"/>
      <c r="Y12" s="7"/>
      <c r="Z12" s="7"/>
      <c r="AA12" s="11"/>
      <c r="AB12" s="11"/>
      <c r="AC12" s="11"/>
      <c r="AD12" s="11"/>
      <c r="AE12" s="11"/>
      <c r="AF12" s="7"/>
      <c r="AG12" s="12"/>
      <c r="AH12" s="12"/>
      <c r="AI12" s="7"/>
      <c r="AJ12" s="12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</row>
    <row r="13" spans="1:89" ht="20.100000000000001" hidden="1" customHeight="1">
      <c r="A13" s="7"/>
      <c r="B13" s="27" t="s">
        <v>56</v>
      </c>
      <c r="C13" s="80">
        <v>250.65</v>
      </c>
      <c r="D13" s="99"/>
      <c r="E13" s="100"/>
      <c r="F13" s="83">
        <f>J6</f>
        <v>2.8</v>
      </c>
      <c r="G13" s="31"/>
      <c r="H13" s="23"/>
      <c r="I13" s="22"/>
      <c r="J13" s="81"/>
      <c r="K13" s="9"/>
      <c r="L13" s="9"/>
      <c r="M13" s="9"/>
      <c r="N13" s="3"/>
      <c r="O13" s="3"/>
      <c r="P13" s="3"/>
      <c r="Q13" s="3"/>
      <c r="R13" s="7"/>
      <c r="S13" s="7"/>
      <c r="T13" s="7"/>
      <c r="U13" s="7"/>
      <c r="V13" s="7"/>
      <c r="W13" s="7"/>
      <c r="X13" s="7"/>
      <c r="Y13" s="7"/>
      <c r="Z13" s="7"/>
      <c r="AA13" s="11"/>
      <c r="AB13" s="11"/>
      <c r="AC13" s="11"/>
      <c r="AD13" s="11"/>
      <c r="AE13" s="11"/>
      <c r="AF13" s="7"/>
      <c r="AG13" s="12"/>
      <c r="AH13" s="12"/>
      <c r="AI13" s="7"/>
      <c r="AJ13" s="12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</row>
    <row r="14" spans="1:89" ht="20.100000000000001" hidden="1" customHeight="1">
      <c r="A14" s="7"/>
      <c r="B14" s="27" t="s">
        <v>57</v>
      </c>
      <c r="C14" s="80">
        <v>250.65</v>
      </c>
      <c r="D14" s="99"/>
      <c r="E14" s="100"/>
      <c r="F14" s="83">
        <f>J6</f>
        <v>2.8</v>
      </c>
      <c r="G14" s="31"/>
      <c r="H14" s="23"/>
      <c r="I14" s="22"/>
      <c r="J14" s="81"/>
      <c r="K14" s="9"/>
      <c r="L14" s="9"/>
      <c r="M14" s="9"/>
      <c r="N14" s="3"/>
      <c r="O14" s="3"/>
      <c r="P14" s="3"/>
      <c r="Q14" s="3"/>
      <c r="R14" s="7"/>
      <c r="S14" s="7"/>
      <c r="T14" s="7"/>
      <c r="U14" s="7"/>
      <c r="V14" s="7"/>
      <c r="W14" s="7"/>
      <c r="X14" s="7"/>
      <c r="Y14" s="7"/>
      <c r="Z14" s="7"/>
      <c r="AA14" s="11"/>
      <c r="AB14" s="11"/>
      <c r="AC14" s="11"/>
      <c r="AD14" s="11"/>
      <c r="AE14" s="11"/>
      <c r="AF14" s="7"/>
      <c r="AG14" s="12"/>
      <c r="AH14" s="12"/>
      <c r="AI14" s="7"/>
      <c r="AJ14" s="12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</row>
    <row r="15" spans="1:89" ht="20.100000000000001" hidden="1" customHeight="1">
      <c r="A15" s="7"/>
      <c r="B15" s="27" t="s">
        <v>58</v>
      </c>
      <c r="C15" s="80">
        <v>250.65</v>
      </c>
      <c r="D15" s="99"/>
      <c r="E15" s="100"/>
      <c r="F15" s="83">
        <f>J6</f>
        <v>2.8</v>
      </c>
      <c r="G15" s="31"/>
      <c r="H15" s="23"/>
      <c r="I15" s="22"/>
      <c r="J15" s="81"/>
      <c r="K15" s="9"/>
      <c r="L15" s="9"/>
      <c r="M15" s="9"/>
      <c r="N15" s="3"/>
      <c r="O15" s="3"/>
      <c r="P15" s="3"/>
      <c r="Q15" s="3"/>
      <c r="R15" s="7"/>
      <c r="S15" s="7"/>
      <c r="T15" s="7"/>
      <c r="U15" s="7"/>
      <c r="V15" s="7"/>
      <c r="W15" s="7"/>
      <c r="X15" s="7"/>
      <c r="Y15" s="7"/>
      <c r="Z15" s="7"/>
      <c r="AA15" s="11"/>
      <c r="AB15" s="11"/>
      <c r="AC15" s="11"/>
      <c r="AD15" s="11"/>
      <c r="AE15" s="11"/>
      <c r="AF15" s="7"/>
      <c r="AG15" s="12"/>
      <c r="AH15" s="12"/>
      <c r="AI15" s="7"/>
      <c r="AJ15" s="12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</row>
    <row r="16" spans="1:89" ht="20.100000000000001" hidden="1" customHeight="1">
      <c r="A16" s="7"/>
      <c r="B16" s="27" t="s">
        <v>59</v>
      </c>
      <c r="C16" s="80">
        <v>250.65</v>
      </c>
      <c r="D16" s="99"/>
      <c r="E16" s="100"/>
      <c r="F16" s="83">
        <f>J6</f>
        <v>2.8</v>
      </c>
      <c r="G16" s="31"/>
      <c r="H16" s="23"/>
      <c r="I16" s="22"/>
      <c r="J16" s="81"/>
      <c r="K16" s="9"/>
      <c r="L16" s="9"/>
      <c r="M16" s="9"/>
      <c r="N16" s="3"/>
      <c r="O16" s="3"/>
      <c r="P16" s="3"/>
      <c r="Q16" s="3"/>
      <c r="R16" s="7"/>
      <c r="S16" s="7"/>
      <c r="T16" s="7"/>
      <c r="U16" s="7"/>
      <c r="V16" s="7"/>
      <c r="W16" s="7"/>
      <c r="X16" s="7"/>
      <c r="Y16" s="7"/>
      <c r="Z16" s="7"/>
      <c r="AA16" s="11"/>
      <c r="AB16" s="11"/>
      <c r="AC16" s="11"/>
      <c r="AD16" s="11"/>
      <c r="AE16" s="11"/>
      <c r="AF16" s="7"/>
      <c r="AG16" s="12"/>
      <c r="AH16" s="12"/>
      <c r="AI16" s="7"/>
      <c r="AJ16" s="12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</row>
    <row r="17" spans="1:89" ht="20.100000000000001" hidden="1" customHeight="1">
      <c r="A17" s="7"/>
      <c r="B17" s="27" t="s">
        <v>60</v>
      </c>
      <c r="C17" s="80">
        <v>250.65</v>
      </c>
      <c r="D17" s="99"/>
      <c r="E17" s="100"/>
      <c r="F17" s="83">
        <f>J6</f>
        <v>2.8</v>
      </c>
      <c r="G17" s="31"/>
      <c r="H17" s="23"/>
      <c r="I17" s="22"/>
      <c r="J17" s="81"/>
      <c r="K17" s="9"/>
      <c r="L17" s="9"/>
      <c r="M17" s="9"/>
      <c r="N17" s="3"/>
      <c r="O17" s="3"/>
      <c r="P17" s="3"/>
      <c r="Q17" s="3"/>
      <c r="R17" s="7"/>
      <c r="S17" s="7"/>
      <c r="T17" s="7"/>
      <c r="U17" s="7"/>
      <c r="V17" s="7"/>
      <c r="W17" s="7"/>
      <c r="X17" s="7"/>
      <c r="Y17" s="7"/>
      <c r="Z17" s="7"/>
      <c r="AA17" s="11"/>
      <c r="AB17" s="11"/>
      <c r="AC17" s="11"/>
      <c r="AD17" s="11"/>
      <c r="AE17" s="11"/>
      <c r="AF17" s="7"/>
      <c r="AG17" s="12"/>
      <c r="AH17" s="12"/>
      <c r="AI17" s="7"/>
      <c r="AJ17" s="12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</row>
    <row r="18" spans="1:89" ht="20.100000000000001" hidden="1" customHeight="1">
      <c r="A18" s="7"/>
      <c r="B18" s="27" t="s">
        <v>61</v>
      </c>
      <c r="C18" s="80">
        <v>250.65</v>
      </c>
      <c r="D18" s="99"/>
      <c r="E18" s="100"/>
      <c r="F18" s="83">
        <f>J6</f>
        <v>2.8</v>
      </c>
      <c r="G18" s="31"/>
      <c r="H18" s="23"/>
      <c r="I18" s="22"/>
      <c r="J18" s="81"/>
      <c r="K18" s="9"/>
      <c r="L18" s="9"/>
      <c r="M18" s="9"/>
      <c r="N18" s="3"/>
      <c r="O18" s="3"/>
      <c r="P18" s="3"/>
      <c r="Q18" s="3"/>
      <c r="R18" s="7"/>
      <c r="S18" s="7"/>
      <c r="T18" s="7"/>
      <c r="U18" s="7"/>
      <c r="V18" s="7"/>
      <c r="W18" s="7"/>
      <c r="X18" s="7"/>
      <c r="Y18" s="7"/>
      <c r="Z18" s="7"/>
      <c r="AA18" s="11"/>
      <c r="AB18" s="11"/>
      <c r="AC18" s="11"/>
      <c r="AD18" s="11"/>
      <c r="AE18" s="11"/>
      <c r="AF18" s="7"/>
      <c r="AG18" s="12"/>
      <c r="AH18" s="12"/>
      <c r="AI18" s="7"/>
      <c r="AJ18" s="12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</row>
    <row r="19" spans="1:89" ht="20.100000000000001" hidden="1" customHeight="1">
      <c r="A19" s="7"/>
      <c r="B19" s="27" t="s">
        <v>62</v>
      </c>
      <c r="C19" s="80">
        <v>250.65</v>
      </c>
      <c r="D19" s="99"/>
      <c r="E19" s="100"/>
      <c r="F19" s="83">
        <f>J6</f>
        <v>2.8</v>
      </c>
      <c r="G19" s="31"/>
      <c r="H19" s="23"/>
      <c r="I19" s="22"/>
      <c r="J19" s="81"/>
      <c r="K19" s="9"/>
      <c r="L19" s="9"/>
      <c r="M19" s="9"/>
      <c r="N19" s="3"/>
      <c r="O19" s="3"/>
      <c r="P19" s="3"/>
      <c r="Q19" s="3"/>
      <c r="R19" s="7"/>
      <c r="S19" s="7"/>
      <c r="T19" s="7"/>
      <c r="U19" s="7"/>
      <c r="V19" s="7"/>
      <c r="W19" s="7"/>
      <c r="X19" s="7"/>
      <c r="Y19" s="7"/>
      <c r="Z19" s="7"/>
      <c r="AA19" s="11"/>
      <c r="AB19" s="11"/>
      <c r="AC19" s="11"/>
      <c r="AD19" s="11"/>
      <c r="AE19" s="11"/>
      <c r="AF19" s="7"/>
      <c r="AG19" s="12"/>
      <c r="AH19" s="12"/>
      <c r="AI19" s="7"/>
      <c r="AJ19" s="12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</row>
    <row r="20" spans="1:89" ht="20.100000000000001" hidden="1" customHeight="1">
      <c r="A20" s="7"/>
      <c r="B20" s="27" t="s">
        <v>63</v>
      </c>
      <c r="C20" s="80">
        <v>250.65</v>
      </c>
      <c r="D20" s="99"/>
      <c r="E20" s="100"/>
      <c r="F20" s="83">
        <f>J6</f>
        <v>2.8</v>
      </c>
      <c r="G20" s="31"/>
      <c r="H20" s="23"/>
      <c r="I20" s="22"/>
      <c r="J20" s="81"/>
      <c r="K20" s="9"/>
      <c r="L20" s="9"/>
      <c r="M20" s="9"/>
      <c r="N20" s="3"/>
      <c r="O20" s="3"/>
      <c r="P20" s="3"/>
      <c r="Q20" s="3"/>
      <c r="R20" s="7"/>
      <c r="S20" s="7"/>
      <c r="T20" s="7"/>
      <c r="U20" s="7"/>
      <c r="V20" s="7"/>
      <c r="W20" s="7"/>
      <c r="X20" s="7"/>
      <c r="Y20" s="7"/>
      <c r="Z20" s="7"/>
      <c r="AA20" s="11"/>
      <c r="AB20" s="11"/>
      <c r="AC20" s="11"/>
      <c r="AD20" s="11"/>
      <c r="AE20" s="11"/>
      <c r="AF20" s="7"/>
      <c r="AG20" s="12"/>
      <c r="AH20" s="12"/>
      <c r="AI20" s="7"/>
      <c r="AJ20" s="12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</row>
    <row r="21" spans="1:89" ht="20.100000000000001" hidden="1" customHeight="1">
      <c r="A21" s="7"/>
      <c r="B21" s="27" t="s">
        <v>64</v>
      </c>
      <c r="C21" s="80">
        <v>250.65</v>
      </c>
      <c r="D21" s="99"/>
      <c r="E21" s="100"/>
      <c r="F21" s="83">
        <f>J6</f>
        <v>2.8</v>
      </c>
      <c r="G21" s="31"/>
      <c r="H21" s="23"/>
      <c r="I21" s="22"/>
      <c r="J21" s="81"/>
      <c r="K21" s="9"/>
      <c r="L21" s="9"/>
      <c r="M21" s="9"/>
      <c r="N21" s="3"/>
      <c r="O21" s="3"/>
      <c r="P21" s="3"/>
      <c r="Q21" s="3"/>
      <c r="R21" s="7"/>
      <c r="S21" s="7"/>
      <c r="T21" s="7"/>
      <c r="U21" s="7"/>
      <c r="V21" s="7"/>
      <c r="W21" s="7"/>
      <c r="X21" s="7"/>
      <c r="Y21" s="7"/>
      <c r="Z21" s="7"/>
      <c r="AA21" s="11"/>
      <c r="AB21" s="11"/>
      <c r="AC21" s="11"/>
      <c r="AD21" s="11"/>
      <c r="AE21" s="11"/>
      <c r="AF21" s="7"/>
      <c r="AG21" s="12"/>
      <c r="AH21" s="12"/>
      <c r="AI21" s="7"/>
      <c r="AJ21" s="12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</row>
    <row r="22" spans="1:89" ht="20.100000000000001" hidden="1" customHeight="1">
      <c r="A22" s="7"/>
      <c r="B22" s="27" t="s">
        <v>65</v>
      </c>
      <c r="C22" s="80">
        <v>250.65</v>
      </c>
      <c r="D22" s="99"/>
      <c r="E22" s="100"/>
      <c r="F22" s="83">
        <f>J6</f>
        <v>2.8</v>
      </c>
      <c r="G22" s="31"/>
      <c r="H22" s="23"/>
      <c r="I22" s="22"/>
      <c r="J22" s="81"/>
      <c r="K22" s="9"/>
      <c r="L22" s="9"/>
      <c r="M22" s="9"/>
      <c r="N22" s="3"/>
      <c r="O22" s="3"/>
      <c r="P22" s="3"/>
      <c r="Q22" s="3"/>
      <c r="R22" s="7"/>
      <c r="S22" s="7"/>
      <c r="T22" s="7"/>
      <c r="U22" s="7"/>
      <c r="V22" s="7"/>
      <c r="W22" s="7"/>
      <c r="X22" s="7"/>
      <c r="Y22" s="7"/>
      <c r="Z22" s="7"/>
      <c r="AA22" s="11"/>
      <c r="AB22" s="11"/>
      <c r="AC22" s="11"/>
      <c r="AD22" s="11"/>
      <c r="AE22" s="11"/>
      <c r="AF22" s="7"/>
      <c r="AG22" s="12"/>
      <c r="AH22" s="12"/>
      <c r="AI22" s="7"/>
      <c r="AJ22" s="12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</row>
    <row r="23" spans="1:89" ht="20.100000000000001" hidden="1" customHeight="1">
      <c r="A23" s="7"/>
      <c r="B23" s="27" t="s">
        <v>66</v>
      </c>
      <c r="C23" s="80">
        <v>250.65</v>
      </c>
      <c r="D23" s="99"/>
      <c r="E23" s="100"/>
      <c r="F23" s="83">
        <f>J6</f>
        <v>2.8</v>
      </c>
      <c r="G23" s="31"/>
      <c r="H23" s="23"/>
      <c r="I23" s="22"/>
      <c r="J23" s="81"/>
      <c r="K23" s="9"/>
      <c r="L23" s="9"/>
      <c r="M23" s="9"/>
      <c r="N23" s="3"/>
      <c r="O23" s="3"/>
      <c r="P23" s="3"/>
      <c r="Q23" s="3"/>
      <c r="R23" s="7"/>
      <c r="S23" s="7"/>
      <c r="T23" s="7"/>
      <c r="U23" s="7"/>
      <c r="V23" s="7"/>
      <c r="W23" s="7"/>
      <c r="X23" s="7"/>
      <c r="Y23" s="7"/>
      <c r="Z23" s="7"/>
      <c r="AA23" s="11"/>
      <c r="AB23" s="11"/>
      <c r="AC23" s="11"/>
      <c r="AD23" s="11"/>
      <c r="AE23" s="11"/>
      <c r="AF23" s="7"/>
      <c r="AG23" s="12"/>
      <c r="AH23" s="12"/>
      <c r="AI23" s="7"/>
      <c r="AJ23" s="12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</row>
    <row r="24" spans="1:89" ht="20.100000000000001" hidden="1" customHeight="1">
      <c r="A24" s="7"/>
      <c r="B24" s="27" t="s">
        <v>67</v>
      </c>
      <c r="C24" s="80">
        <v>250.65</v>
      </c>
      <c r="D24" s="99"/>
      <c r="E24" s="100"/>
      <c r="F24" s="83">
        <f>J6</f>
        <v>2.8</v>
      </c>
      <c r="G24" s="31"/>
      <c r="H24" s="23"/>
      <c r="I24" s="22"/>
      <c r="J24" s="81"/>
      <c r="K24" s="9"/>
      <c r="L24" s="9"/>
      <c r="M24" s="9"/>
      <c r="N24" s="3"/>
      <c r="O24" s="3"/>
      <c r="P24" s="3"/>
      <c r="Q24" s="3"/>
      <c r="R24" s="7"/>
      <c r="S24" s="7"/>
      <c r="T24" s="7"/>
      <c r="U24" s="7"/>
      <c r="V24" s="7"/>
      <c r="W24" s="7"/>
      <c r="X24" s="7"/>
      <c r="Y24" s="7"/>
      <c r="Z24" s="7"/>
      <c r="AA24" s="11"/>
      <c r="AB24" s="11"/>
      <c r="AC24" s="11"/>
      <c r="AD24" s="11"/>
      <c r="AE24" s="11"/>
      <c r="AF24" s="7"/>
      <c r="AG24" s="12"/>
      <c r="AH24" s="12"/>
      <c r="AI24" s="7"/>
      <c r="AJ24" s="12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</row>
    <row r="25" spans="1:89" ht="20.100000000000001" hidden="1" customHeight="1">
      <c r="A25" s="7"/>
      <c r="B25" s="27" t="s">
        <v>68</v>
      </c>
      <c r="C25" s="80">
        <v>250.65</v>
      </c>
      <c r="D25" s="99"/>
      <c r="E25" s="100"/>
      <c r="F25" s="83">
        <f>J6</f>
        <v>2.8</v>
      </c>
      <c r="G25" s="31"/>
      <c r="H25" s="23"/>
      <c r="I25" s="22"/>
      <c r="J25" s="81"/>
      <c r="K25" s="9"/>
      <c r="L25" s="9"/>
      <c r="M25" s="9"/>
      <c r="N25" s="3"/>
      <c r="O25" s="3"/>
      <c r="P25" s="3"/>
      <c r="Q25" s="3"/>
      <c r="R25" s="7"/>
      <c r="S25" s="7"/>
      <c r="T25" s="7"/>
      <c r="U25" s="7"/>
      <c r="V25" s="7"/>
      <c r="W25" s="7"/>
      <c r="X25" s="7"/>
      <c r="Y25" s="7"/>
      <c r="Z25" s="7"/>
      <c r="AA25" s="11"/>
      <c r="AB25" s="11"/>
      <c r="AC25" s="11"/>
      <c r="AD25" s="11"/>
      <c r="AE25" s="11"/>
      <c r="AF25" s="7"/>
      <c r="AG25" s="12"/>
      <c r="AH25" s="12"/>
      <c r="AI25" s="7"/>
      <c r="AJ25" s="12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</row>
    <row r="26" spans="1:89" ht="20.100000000000001" hidden="1" customHeight="1">
      <c r="A26" s="7"/>
      <c r="B26" s="27" t="s">
        <v>69</v>
      </c>
      <c r="C26" s="80">
        <v>250.65</v>
      </c>
      <c r="D26" s="99"/>
      <c r="E26" s="100"/>
      <c r="F26" s="83">
        <f>J6</f>
        <v>2.8</v>
      </c>
      <c r="G26" s="31"/>
      <c r="H26" s="23"/>
      <c r="I26" s="22"/>
      <c r="J26" s="81"/>
      <c r="K26" s="9"/>
      <c r="L26" s="9"/>
      <c r="M26" s="9"/>
      <c r="N26" s="3"/>
      <c r="O26" s="3"/>
      <c r="P26" s="3"/>
      <c r="Q26" s="3"/>
      <c r="R26" s="7"/>
      <c r="S26" s="7"/>
      <c r="T26" s="7"/>
      <c r="U26" s="7"/>
      <c r="V26" s="7"/>
      <c r="W26" s="7"/>
      <c r="X26" s="7"/>
      <c r="Y26" s="7"/>
      <c r="Z26" s="7"/>
      <c r="AA26" s="11"/>
      <c r="AB26" s="11"/>
      <c r="AC26" s="11"/>
      <c r="AD26" s="11"/>
      <c r="AE26" s="11"/>
      <c r="AF26" s="7"/>
      <c r="AG26" s="12"/>
      <c r="AH26" s="12"/>
      <c r="AI26" s="7"/>
      <c r="AJ26" s="12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</row>
    <row r="27" spans="1:89" ht="20.100000000000001" hidden="1" customHeight="1">
      <c r="A27" s="7"/>
      <c r="B27" s="27" t="s">
        <v>70</v>
      </c>
      <c r="C27" s="80">
        <v>250.65</v>
      </c>
      <c r="D27" s="99"/>
      <c r="E27" s="100"/>
      <c r="F27" s="83">
        <f>J6</f>
        <v>2.8</v>
      </c>
      <c r="G27" s="31"/>
      <c r="H27" s="23"/>
      <c r="I27" s="22"/>
      <c r="J27" s="81"/>
      <c r="K27" s="9"/>
      <c r="L27" s="9"/>
      <c r="M27" s="9"/>
      <c r="N27" s="3"/>
      <c r="O27" s="3"/>
      <c r="P27" s="3"/>
      <c r="Q27" s="3"/>
      <c r="R27" s="7"/>
      <c r="S27" s="7"/>
      <c r="T27" s="7"/>
      <c r="U27" s="7"/>
      <c r="V27" s="7"/>
      <c r="W27" s="7"/>
      <c r="X27" s="7"/>
      <c r="Y27" s="7"/>
      <c r="Z27" s="7"/>
      <c r="AA27" s="11"/>
      <c r="AB27" s="11"/>
      <c r="AC27" s="11"/>
      <c r="AD27" s="11"/>
      <c r="AE27" s="11"/>
      <c r="AF27" s="7"/>
      <c r="AG27" s="12"/>
      <c r="AH27" s="12"/>
      <c r="AI27" s="7"/>
      <c r="AJ27" s="12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</row>
    <row r="28" spans="1:89" ht="20.100000000000001" hidden="1" customHeight="1">
      <c r="A28" s="7"/>
      <c r="B28" s="27" t="s">
        <v>71</v>
      </c>
      <c r="C28" s="80">
        <v>250.65</v>
      </c>
      <c r="D28" s="99"/>
      <c r="E28" s="100"/>
      <c r="F28" s="83">
        <f>J6</f>
        <v>2.8</v>
      </c>
      <c r="G28" s="31"/>
      <c r="H28" s="23"/>
      <c r="I28" s="22"/>
      <c r="J28" s="81"/>
      <c r="K28" s="9"/>
      <c r="L28" s="9"/>
      <c r="M28" s="9"/>
      <c r="N28" s="3"/>
      <c r="O28" s="3"/>
      <c r="P28" s="3"/>
      <c r="Q28" s="3"/>
      <c r="R28" s="7"/>
      <c r="S28" s="7"/>
      <c r="T28" s="7"/>
      <c r="U28" s="7"/>
      <c r="V28" s="7"/>
      <c r="W28" s="7"/>
      <c r="X28" s="7"/>
      <c r="Y28" s="7"/>
      <c r="Z28" s="7"/>
      <c r="AA28" s="11"/>
      <c r="AB28" s="11"/>
      <c r="AC28" s="11"/>
      <c r="AD28" s="11"/>
      <c r="AE28" s="11"/>
      <c r="AF28" s="7"/>
      <c r="AG28" s="12"/>
      <c r="AH28" s="12"/>
      <c r="AI28" s="7"/>
      <c r="AJ28" s="12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</row>
    <row r="29" spans="1:89" ht="20.100000000000001" customHeight="1">
      <c r="A29" s="7"/>
      <c r="B29" s="27" t="s">
        <v>72</v>
      </c>
      <c r="C29" s="80">
        <v>250.65</v>
      </c>
      <c r="D29" s="99"/>
      <c r="E29" s="100"/>
      <c r="F29" s="83">
        <f>J6</f>
        <v>2.8</v>
      </c>
      <c r="G29" s="31">
        <v>28</v>
      </c>
      <c r="H29" s="23"/>
      <c r="I29" s="22"/>
      <c r="J29" s="81"/>
      <c r="K29" s="9"/>
      <c r="L29" s="9"/>
      <c r="M29" s="9"/>
      <c r="N29" s="3"/>
      <c r="O29" s="3"/>
      <c r="P29" s="3"/>
      <c r="Q29" s="3"/>
      <c r="R29" s="7"/>
      <c r="S29" s="7"/>
      <c r="T29" s="7"/>
      <c r="U29" s="7"/>
      <c r="V29" s="7"/>
      <c r="W29" s="7"/>
      <c r="X29" s="7"/>
      <c r="Y29" s="7"/>
      <c r="Z29" s="7"/>
      <c r="AA29" s="11"/>
      <c r="AB29" s="11"/>
      <c r="AC29" s="11"/>
      <c r="AD29" s="11"/>
      <c r="AE29" s="11"/>
      <c r="AF29" s="7"/>
      <c r="AG29" s="12"/>
      <c r="AH29" s="12"/>
      <c r="AI29" s="7"/>
      <c r="AJ29" s="12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</row>
    <row r="30" spans="1:89" ht="20.100000000000001" customHeight="1">
      <c r="A30" s="7"/>
      <c r="B30" s="27" t="s">
        <v>73</v>
      </c>
      <c r="C30" s="80">
        <v>250.65</v>
      </c>
      <c r="D30" s="99"/>
      <c r="E30" s="100"/>
      <c r="F30" s="83">
        <f>J6</f>
        <v>2.8</v>
      </c>
      <c r="G30" s="31">
        <v>28</v>
      </c>
      <c r="H30" s="23"/>
      <c r="I30" s="22"/>
      <c r="J30" s="81"/>
      <c r="K30" s="9"/>
      <c r="L30" s="9"/>
      <c r="M30" s="9"/>
      <c r="N30" s="3"/>
      <c r="O30" s="3"/>
      <c r="P30" s="3"/>
      <c r="Q30" s="3"/>
      <c r="R30" s="7"/>
      <c r="S30" s="7"/>
      <c r="T30" s="7"/>
      <c r="U30" s="7"/>
      <c r="V30" s="7"/>
      <c r="W30" s="7"/>
      <c r="X30" s="7"/>
      <c r="Y30" s="7"/>
      <c r="Z30" s="7"/>
      <c r="AA30" s="11"/>
      <c r="AB30" s="11"/>
      <c r="AC30" s="11"/>
      <c r="AD30" s="11"/>
      <c r="AE30" s="11"/>
      <c r="AF30" s="7"/>
      <c r="AG30" s="12"/>
      <c r="AH30" s="12"/>
      <c r="AI30" s="7"/>
      <c r="AJ30" s="12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</row>
    <row r="31" spans="1:89" ht="20.100000000000001" hidden="1" customHeight="1">
      <c r="A31" s="7"/>
      <c r="B31" s="27" t="s">
        <v>74</v>
      </c>
      <c r="C31" s="80">
        <v>250.65</v>
      </c>
      <c r="D31" s="99"/>
      <c r="E31" s="100"/>
      <c r="F31" s="83">
        <f>J6</f>
        <v>2.8</v>
      </c>
      <c r="G31" s="31"/>
      <c r="H31" s="23"/>
      <c r="I31" s="22"/>
      <c r="J31" s="81"/>
      <c r="K31" s="9"/>
      <c r="L31" s="9"/>
      <c r="M31" s="9"/>
      <c r="N31" s="3"/>
      <c r="O31" s="3"/>
      <c r="P31" s="3"/>
      <c r="Q31" s="3"/>
      <c r="R31" s="7"/>
      <c r="S31" s="7"/>
      <c r="T31" s="7"/>
      <c r="U31" s="7"/>
      <c r="V31" s="7"/>
      <c r="W31" s="7"/>
      <c r="X31" s="7"/>
      <c r="Y31" s="7"/>
      <c r="Z31" s="7"/>
      <c r="AA31" s="11"/>
      <c r="AB31" s="11"/>
      <c r="AC31" s="11"/>
      <c r="AD31" s="11"/>
      <c r="AE31" s="11"/>
      <c r="AF31" s="7"/>
      <c r="AG31" s="12"/>
      <c r="AH31" s="12"/>
      <c r="AI31" s="7"/>
      <c r="AJ31" s="12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</row>
    <row r="32" spans="1:89" ht="20.100000000000001" hidden="1" customHeight="1">
      <c r="A32" s="7"/>
      <c r="B32" s="27" t="s">
        <v>75</v>
      </c>
      <c r="C32" s="80">
        <v>250.65</v>
      </c>
      <c r="D32" s="99"/>
      <c r="E32" s="100"/>
      <c r="F32" s="83">
        <f>J6</f>
        <v>2.8</v>
      </c>
      <c r="G32" s="31"/>
      <c r="H32" s="23"/>
      <c r="I32" s="22"/>
      <c r="J32" s="81"/>
      <c r="K32" s="9"/>
      <c r="L32" s="9"/>
      <c r="M32" s="9"/>
      <c r="N32" s="3"/>
      <c r="O32" s="3"/>
      <c r="P32" s="3"/>
      <c r="Q32" s="3"/>
      <c r="R32" s="7"/>
      <c r="S32" s="7"/>
      <c r="T32" s="7"/>
      <c r="U32" s="7"/>
      <c r="V32" s="7"/>
      <c r="W32" s="7"/>
      <c r="X32" s="7"/>
      <c r="Y32" s="7"/>
      <c r="Z32" s="7"/>
      <c r="AA32" s="11"/>
      <c r="AB32" s="11"/>
      <c r="AC32" s="11"/>
      <c r="AD32" s="11"/>
      <c r="AE32" s="11"/>
      <c r="AF32" s="7"/>
      <c r="AG32" s="12"/>
      <c r="AH32" s="12"/>
      <c r="AI32" s="7"/>
      <c r="AJ32" s="12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</row>
    <row r="33" spans="1:89" ht="20.100000000000001" customHeight="1">
      <c r="A33" s="7"/>
      <c r="B33" s="27"/>
      <c r="C33" s="22" t="s">
        <v>6</v>
      </c>
      <c r="D33" s="28"/>
      <c r="E33" s="29"/>
      <c r="F33" s="30" t="s">
        <v>24</v>
      </c>
      <c r="G33" s="31">
        <f>SUM(G5:G32)</f>
        <v>56</v>
      </c>
      <c r="H33" s="23"/>
      <c r="I33" s="25"/>
      <c r="J33" s="26"/>
      <c r="K33" s="9"/>
      <c r="L33" s="9"/>
      <c r="M33" s="9"/>
      <c r="N33" s="3"/>
      <c r="O33" s="10"/>
      <c r="P33" s="10"/>
      <c r="Q33" s="10"/>
      <c r="R33" s="7"/>
      <c r="S33" s="7"/>
      <c r="T33" s="7"/>
      <c r="U33" s="7"/>
      <c r="V33" s="7"/>
      <c r="W33" s="7"/>
      <c r="X33" s="7"/>
      <c r="Y33" s="7"/>
      <c r="Z33" s="7"/>
      <c r="AA33" s="11"/>
      <c r="AB33" s="11"/>
      <c r="AC33" s="11"/>
      <c r="AD33" s="11"/>
      <c r="AE33" s="11"/>
      <c r="AF33" s="7"/>
      <c r="AG33" s="12"/>
      <c r="AH33" s="12"/>
      <c r="AI33" s="7"/>
      <c r="AJ33" s="12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</row>
    <row r="34" spans="1:89" ht="20.100000000000001" customHeight="1">
      <c r="A34" s="7"/>
      <c r="B34" s="27"/>
      <c r="C34" s="22"/>
      <c r="D34" s="23"/>
      <c r="E34" s="24"/>
      <c r="F34" s="24"/>
      <c r="G34" s="31"/>
      <c r="H34" s="23"/>
      <c r="I34" s="25"/>
      <c r="J34" s="26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</row>
    <row r="35" spans="1:89" ht="20.100000000000001" customHeight="1">
      <c r="A35" s="7"/>
      <c r="B35" s="21" t="s">
        <v>27</v>
      </c>
      <c r="C35" s="22"/>
      <c r="D35" s="23"/>
      <c r="E35" s="24"/>
      <c r="F35" s="24"/>
      <c r="G35" s="25"/>
      <c r="H35" s="23"/>
      <c r="I35" s="25"/>
      <c r="J35" s="26"/>
      <c r="K35" s="103"/>
      <c r="L35" s="103"/>
      <c r="M35" s="103"/>
      <c r="N35" s="3"/>
      <c r="O35" s="104"/>
      <c r="P35" s="104"/>
      <c r="Q35" s="104"/>
      <c r="R35" s="7"/>
      <c r="S35" s="7"/>
      <c r="T35" s="7"/>
      <c r="U35" s="7"/>
      <c r="V35" s="7"/>
      <c r="W35" s="7"/>
      <c r="X35" s="7"/>
      <c r="Y35" s="7"/>
      <c r="Z35" s="7"/>
      <c r="AA35" s="105"/>
      <c r="AB35" s="105"/>
      <c r="AC35" s="105"/>
      <c r="AD35" s="11"/>
      <c r="AE35" s="11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</row>
    <row r="36" spans="1:89" ht="20.100000000000001" customHeight="1">
      <c r="A36" s="7"/>
      <c r="B36" s="27"/>
      <c r="C36" s="32">
        <f>G33</f>
        <v>56</v>
      </c>
      <c r="D36" s="84">
        <v>10</v>
      </c>
      <c r="E36" s="32" t="s">
        <v>24</v>
      </c>
      <c r="F36" s="88">
        <f>C36*D36</f>
        <v>560</v>
      </c>
      <c r="G36" s="32"/>
      <c r="H36" s="33"/>
      <c r="I36" s="34"/>
      <c r="J36" s="26"/>
      <c r="K36" s="9"/>
      <c r="L36" s="9"/>
      <c r="M36" s="9"/>
      <c r="N36" s="3"/>
      <c r="O36" s="10"/>
      <c r="P36" s="10"/>
      <c r="Q36" s="10"/>
      <c r="R36" s="7"/>
      <c r="S36" s="7"/>
      <c r="T36" s="7"/>
      <c r="U36" s="7"/>
      <c r="V36" s="7"/>
      <c r="W36" s="7"/>
      <c r="X36" s="7"/>
      <c r="Y36" s="7"/>
      <c r="Z36" s="7"/>
      <c r="AA36" s="11"/>
      <c r="AB36" s="11"/>
      <c r="AC36" s="11"/>
      <c r="AD36" s="11"/>
      <c r="AE36" s="11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</row>
    <row r="37" spans="1:89" ht="20.100000000000001" customHeight="1">
      <c r="A37" s="7"/>
      <c r="B37" s="21" t="s">
        <v>31</v>
      </c>
      <c r="C37" s="24"/>
      <c r="D37" s="24"/>
      <c r="E37" s="25"/>
      <c r="F37" s="35"/>
      <c r="G37" s="32"/>
      <c r="H37" s="33"/>
      <c r="I37" s="34"/>
      <c r="J37" s="26"/>
      <c r="K37" s="9"/>
      <c r="L37" s="9"/>
      <c r="M37" s="9"/>
      <c r="N37" s="3"/>
      <c r="O37" s="10"/>
      <c r="P37" s="10"/>
      <c r="Q37" s="10"/>
      <c r="R37" s="7"/>
      <c r="S37" s="7"/>
      <c r="T37" s="7"/>
      <c r="U37" s="7"/>
      <c r="V37" s="7"/>
      <c r="W37" s="7"/>
      <c r="X37" s="7"/>
      <c r="Y37" s="7"/>
      <c r="Z37" s="7"/>
      <c r="AA37" s="11"/>
      <c r="AB37" s="11"/>
      <c r="AC37" s="11"/>
      <c r="AD37" s="11"/>
      <c r="AE37" s="11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</row>
    <row r="38" spans="1:89" ht="20.100000000000001" customHeight="1">
      <c r="A38" s="7"/>
      <c r="B38" s="27"/>
      <c r="C38" s="36">
        <v>0</v>
      </c>
      <c r="D38" s="33">
        <v>0</v>
      </c>
      <c r="E38" s="37">
        <f>C38*D38</f>
        <v>0</v>
      </c>
      <c r="F38" s="35"/>
      <c r="G38" s="32"/>
      <c r="H38" s="33"/>
      <c r="I38" s="34"/>
      <c r="J38" s="26"/>
      <c r="K38" s="9"/>
      <c r="L38" s="9"/>
      <c r="M38" s="9"/>
      <c r="N38" s="3"/>
      <c r="O38" s="10"/>
      <c r="P38" s="10"/>
      <c r="Q38" s="10"/>
      <c r="R38" s="7"/>
      <c r="S38" s="7"/>
      <c r="T38" s="7"/>
      <c r="U38" s="7"/>
      <c r="V38" s="7"/>
      <c r="W38" s="7"/>
      <c r="X38" s="7"/>
      <c r="Y38" s="7"/>
      <c r="Z38" s="7"/>
      <c r="AA38" s="11"/>
      <c r="AB38" s="11"/>
      <c r="AC38" s="11"/>
      <c r="AD38" s="11"/>
      <c r="AE38" s="11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</row>
    <row r="39" spans="1:89" ht="20.100000000000001" customHeight="1">
      <c r="A39" s="7"/>
      <c r="B39" s="21" t="s">
        <v>46</v>
      </c>
      <c r="C39" s="24"/>
      <c r="D39" s="24"/>
      <c r="E39" s="25"/>
      <c r="F39" s="23"/>
      <c r="G39" s="41"/>
      <c r="H39" s="41"/>
      <c r="I39" s="25"/>
      <c r="J39" s="26"/>
      <c r="K39" s="9"/>
      <c r="L39" s="9"/>
      <c r="M39" s="9"/>
      <c r="N39" s="3"/>
      <c r="O39" s="10"/>
      <c r="P39" s="10"/>
      <c r="Q39" s="10"/>
      <c r="R39" s="7"/>
      <c r="S39" s="7"/>
      <c r="T39" s="7"/>
      <c r="U39" s="7"/>
      <c r="V39" s="7"/>
      <c r="W39" s="7"/>
      <c r="X39" s="7"/>
      <c r="Y39" s="7"/>
      <c r="Z39" s="7"/>
      <c r="AA39" s="11"/>
      <c r="AB39" s="11"/>
      <c r="AC39" s="11"/>
      <c r="AD39" s="11"/>
      <c r="AE39" s="11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</row>
    <row r="40" spans="1:89" ht="20.100000000000001" customHeight="1">
      <c r="A40" s="7"/>
      <c r="B40" s="27"/>
      <c r="C40" s="36">
        <f>G33</f>
        <v>56</v>
      </c>
      <c r="D40" s="33">
        <v>2</v>
      </c>
      <c r="E40" s="37">
        <f>C40*D40</f>
        <v>112</v>
      </c>
      <c r="F40" s="38"/>
      <c r="G40" s="39"/>
      <c r="H40" s="38"/>
      <c r="I40" s="39"/>
      <c r="J40" s="40"/>
      <c r="K40" s="9"/>
      <c r="L40" s="9"/>
      <c r="M40" s="9"/>
      <c r="N40" s="3"/>
      <c r="O40" s="10"/>
      <c r="P40" s="10"/>
      <c r="Q40" s="10"/>
      <c r="R40" s="7"/>
      <c r="S40" s="7"/>
      <c r="T40" s="7"/>
      <c r="U40" s="7"/>
      <c r="V40" s="7"/>
      <c r="W40" s="7"/>
      <c r="X40" s="7"/>
      <c r="Y40" s="7"/>
      <c r="Z40" s="7"/>
      <c r="AA40" s="11"/>
      <c r="AB40" s="11"/>
      <c r="AC40" s="11"/>
      <c r="AD40" s="11"/>
      <c r="AE40" s="11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</row>
    <row r="41" spans="1:89" ht="20.100000000000001" customHeight="1">
      <c r="A41" s="7"/>
      <c r="B41" s="21" t="s">
        <v>16</v>
      </c>
      <c r="C41" s="41"/>
      <c r="D41" s="42"/>
      <c r="E41" s="24"/>
      <c r="F41" s="24"/>
      <c r="G41" s="43"/>
      <c r="H41" s="43"/>
      <c r="I41" s="41"/>
      <c r="J41" s="26"/>
      <c r="K41" s="9"/>
      <c r="L41" s="9"/>
      <c r="M41" s="9"/>
      <c r="N41" s="3"/>
      <c r="O41" s="10"/>
      <c r="P41" s="10"/>
      <c r="Q41" s="10"/>
      <c r="R41" s="7"/>
      <c r="S41" s="7"/>
      <c r="T41" s="7"/>
      <c r="U41" s="7"/>
      <c r="V41" s="7"/>
      <c r="W41" s="7"/>
      <c r="X41" s="7"/>
      <c r="Y41" s="7"/>
      <c r="Z41" s="7"/>
      <c r="AA41" s="11"/>
      <c r="AB41" s="11"/>
      <c r="AC41" s="11"/>
      <c r="AD41" s="11"/>
      <c r="AE41" s="11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</row>
    <row r="42" spans="1:89" ht="20.100000000000001" customHeight="1">
      <c r="A42" s="7"/>
      <c r="B42" s="44"/>
      <c r="C42" s="45">
        <f>F36+E38</f>
        <v>560</v>
      </c>
      <c r="D42" s="46">
        <v>3.024</v>
      </c>
      <c r="E42" s="47">
        <v>250</v>
      </c>
      <c r="F42" s="48">
        <v>1.03</v>
      </c>
      <c r="G42" s="49">
        <v>1000</v>
      </c>
      <c r="H42" s="50">
        <f>ROUND((C42*D42*E42*F42)/G42,2)</f>
        <v>436.06</v>
      </c>
      <c r="I42" s="51"/>
      <c r="J42" s="26"/>
      <c r="K42" s="9"/>
      <c r="L42" s="9"/>
      <c r="M42" s="9"/>
      <c r="N42" s="3"/>
      <c r="O42" s="10"/>
      <c r="P42" s="10"/>
      <c r="Q42" s="10"/>
      <c r="R42" s="7"/>
      <c r="S42" s="7"/>
      <c r="T42" s="7"/>
      <c r="U42" s="7"/>
      <c r="V42" s="7"/>
      <c r="W42" s="7"/>
      <c r="X42" s="7"/>
      <c r="Y42" s="7"/>
      <c r="Z42" s="7"/>
      <c r="AA42" s="11"/>
      <c r="AB42" s="11"/>
      <c r="AC42" s="11"/>
      <c r="AD42" s="11"/>
      <c r="AE42" s="11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</row>
    <row r="43" spans="1:89" ht="20.100000000000001" customHeight="1">
      <c r="A43" s="7"/>
      <c r="B43" s="21" t="s">
        <v>26</v>
      </c>
      <c r="C43" s="41"/>
      <c r="D43" s="22"/>
      <c r="E43" s="52"/>
      <c r="F43" s="43"/>
      <c r="G43" s="43"/>
      <c r="H43" s="43"/>
      <c r="I43" s="41"/>
      <c r="J43" s="26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</row>
    <row r="44" spans="1:89" ht="20.100000000000001" customHeight="1">
      <c r="A44" s="7"/>
      <c r="B44" s="21" t="s">
        <v>10</v>
      </c>
      <c r="C44" s="53"/>
      <c r="D44" s="53" t="s">
        <v>13</v>
      </c>
      <c r="E44" s="41"/>
      <c r="F44" s="41" t="s">
        <v>12</v>
      </c>
      <c r="G44" s="43"/>
      <c r="H44" s="41" t="s">
        <v>11</v>
      </c>
      <c r="I44" s="54" t="s">
        <v>7</v>
      </c>
      <c r="J44" s="26"/>
      <c r="K44" s="103"/>
      <c r="L44" s="103"/>
      <c r="M44" s="103"/>
      <c r="N44" s="3"/>
      <c r="O44" s="104"/>
      <c r="P44" s="104"/>
      <c r="Q44" s="104"/>
      <c r="R44" s="7"/>
      <c r="S44" s="7"/>
      <c r="T44" s="7"/>
      <c r="U44" s="7"/>
      <c r="V44" s="7"/>
      <c r="W44" s="7"/>
      <c r="X44" s="7"/>
      <c r="Y44" s="7"/>
      <c r="Z44" s="7"/>
      <c r="AA44" s="105"/>
      <c r="AB44" s="105"/>
      <c r="AC44" s="105"/>
      <c r="AD44" s="11"/>
      <c r="AE44" s="11"/>
      <c r="AF44" s="7"/>
      <c r="AG44" s="12"/>
      <c r="AH44" s="12"/>
      <c r="AI44" s="7"/>
      <c r="AJ44" s="12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</row>
    <row r="45" spans="1:89" ht="20.100000000000001" customHeight="1">
      <c r="A45" s="7"/>
      <c r="B45" s="27"/>
      <c r="C45" s="55">
        <f>H42</f>
        <v>436.06</v>
      </c>
      <c r="D45" s="56">
        <v>3.05</v>
      </c>
      <c r="E45" s="57">
        <f>H42</f>
        <v>436.06</v>
      </c>
      <c r="F45" s="58">
        <v>0.8</v>
      </c>
      <c r="G45" s="59">
        <v>1</v>
      </c>
      <c r="H45" s="60">
        <v>0.7</v>
      </c>
      <c r="I45" s="61">
        <f>ROUND((C45/D45+E45*F45 /G45)*H45,2)</f>
        <v>344.27</v>
      </c>
      <c r="J45" s="26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</row>
    <row r="46" spans="1:89" ht="20.100000000000001" customHeight="1">
      <c r="A46" s="7"/>
      <c r="B46" s="62"/>
      <c r="C46" s="41"/>
      <c r="D46" s="63">
        <f>I45</f>
        <v>344.27</v>
      </c>
      <c r="E46" s="64">
        <v>1.7</v>
      </c>
      <c r="F46" s="65">
        <f>D46*E46</f>
        <v>585.2589999999999</v>
      </c>
      <c r="G46" s="41"/>
      <c r="H46" s="41"/>
      <c r="I46" s="41"/>
      <c r="J46" s="66"/>
      <c r="K46" s="103"/>
      <c r="L46" s="103"/>
      <c r="M46" s="103"/>
      <c r="N46" s="3"/>
      <c r="O46" s="104"/>
      <c r="P46" s="104"/>
      <c r="Q46" s="104"/>
      <c r="R46" s="7"/>
      <c r="S46" s="7"/>
      <c r="T46" s="7"/>
      <c r="U46" s="7"/>
      <c r="V46" s="7"/>
      <c r="W46" s="7"/>
      <c r="X46" s="7"/>
      <c r="Y46" s="7"/>
      <c r="Z46" s="7"/>
      <c r="AA46" s="105"/>
      <c r="AB46" s="105"/>
      <c r="AC46" s="105"/>
      <c r="AD46" s="11"/>
      <c r="AE46" s="11"/>
      <c r="AF46" s="7"/>
      <c r="AG46" s="12"/>
      <c r="AH46" s="12"/>
      <c r="AI46" s="7"/>
      <c r="AJ46" s="12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</row>
    <row r="47" spans="1:89" ht="20.100000000000001" customHeight="1">
      <c r="A47" s="7"/>
      <c r="B47" s="101" t="s">
        <v>47</v>
      </c>
      <c r="C47" s="102"/>
      <c r="D47" s="98">
        <f>D46</f>
        <v>344.27</v>
      </c>
      <c r="E47" s="64"/>
      <c r="F47" s="65"/>
      <c r="G47" s="41"/>
      <c r="H47" s="41"/>
      <c r="I47" s="41"/>
      <c r="J47" s="66"/>
      <c r="K47" s="9"/>
      <c r="L47" s="9"/>
      <c r="M47" s="9"/>
      <c r="N47" s="3"/>
      <c r="O47" s="10"/>
      <c r="P47" s="10"/>
      <c r="Q47" s="10"/>
      <c r="R47" s="7"/>
      <c r="S47" s="7"/>
      <c r="T47" s="7"/>
      <c r="U47" s="7"/>
      <c r="V47" s="7"/>
      <c r="W47" s="7"/>
      <c r="X47" s="7"/>
      <c r="Y47" s="7"/>
      <c r="Z47" s="7"/>
      <c r="AA47" s="11"/>
      <c r="AB47" s="11"/>
      <c r="AC47" s="11"/>
      <c r="AD47" s="11"/>
      <c r="AE47" s="11"/>
      <c r="AF47" s="7"/>
      <c r="AG47" s="12"/>
      <c r="AH47" s="12"/>
      <c r="AI47" s="7"/>
      <c r="AJ47" s="12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</row>
    <row r="48" spans="1:89" ht="20.100000000000001" customHeight="1">
      <c r="A48" s="7"/>
      <c r="B48" s="62"/>
      <c r="C48" s="97"/>
      <c r="D48" s="63"/>
      <c r="E48" s="64"/>
      <c r="F48" s="65"/>
      <c r="G48" s="41"/>
      <c r="H48" s="41"/>
      <c r="I48" s="41"/>
      <c r="J48" s="66"/>
      <c r="K48" s="9"/>
      <c r="L48" s="9"/>
      <c r="M48" s="9"/>
      <c r="N48" s="3"/>
      <c r="O48" s="10"/>
      <c r="P48" s="10"/>
      <c r="Q48" s="10"/>
      <c r="R48" s="7"/>
      <c r="S48" s="7"/>
      <c r="T48" s="7"/>
      <c r="U48" s="7"/>
      <c r="V48" s="7"/>
      <c r="W48" s="7"/>
      <c r="X48" s="7"/>
      <c r="Y48" s="7"/>
      <c r="Z48" s="7"/>
      <c r="AA48" s="11"/>
      <c r="AB48" s="11"/>
      <c r="AC48" s="11"/>
      <c r="AD48" s="11"/>
      <c r="AE48" s="11"/>
      <c r="AF48" s="7"/>
      <c r="AG48" s="12"/>
      <c r="AH48" s="12"/>
      <c r="AI48" s="7"/>
      <c r="AJ48" s="12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</row>
    <row r="49" spans="1:89" ht="20.100000000000001" hidden="1" customHeight="1">
      <c r="A49" s="7"/>
      <c r="B49" s="67" t="s">
        <v>37</v>
      </c>
      <c r="C49" s="41"/>
      <c r="D49" s="63"/>
      <c r="E49" s="64"/>
      <c r="F49" s="65"/>
      <c r="G49" s="41"/>
      <c r="H49" s="41"/>
      <c r="I49" s="41"/>
      <c r="J49" s="66"/>
      <c r="K49" s="9"/>
      <c r="L49" s="9"/>
      <c r="M49" s="9"/>
      <c r="N49" s="3"/>
      <c r="O49" s="10"/>
      <c r="P49" s="10"/>
      <c r="Q49" s="10"/>
      <c r="R49" s="7"/>
      <c r="S49" s="7"/>
      <c r="T49" s="7"/>
      <c r="U49" s="7"/>
      <c r="V49" s="7"/>
      <c r="W49" s="7"/>
      <c r="X49" s="7"/>
      <c r="Y49" s="7"/>
      <c r="Z49" s="7"/>
      <c r="AA49" s="11"/>
      <c r="AB49" s="11"/>
      <c r="AC49" s="11"/>
      <c r="AD49" s="11"/>
      <c r="AE49" s="11"/>
      <c r="AF49" s="7"/>
      <c r="AG49" s="12"/>
      <c r="AH49" s="12"/>
      <c r="AI49" s="7"/>
      <c r="AJ49" s="12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</row>
    <row r="50" spans="1:89" ht="20.100000000000001" hidden="1" customHeight="1">
      <c r="A50" s="7"/>
      <c r="B50" s="27" t="s">
        <v>21</v>
      </c>
      <c r="C50" s="93">
        <f>C5*0</f>
        <v>0</v>
      </c>
      <c r="D50" s="94">
        <v>2</v>
      </c>
      <c r="E50" s="95" t="s">
        <v>24</v>
      </c>
      <c r="F50" s="96">
        <f>C50*D50</f>
        <v>0</v>
      </c>
      <c r="G50" s="41"/>
      <c r="H50" s="41"/>
      <c r="I50" s="41"/>
      <c r="J50" s="66"/>
      <c r="K50" s="9"/>
      <c r="L50" s="9"/>
      <c r="M50" s="9"/>
      <c r="N50" s="3"/>
      <c r="O50" s="10"/>
      <c r="P50" s="10"/>
      <c r="Q50" s="10"/>
      <c r="R50" s="7"/>
      <c r="S50" s="7"/>
      <c r="T50" s="7"/>
      <c r="U50" s="7"/>
      <c r="V50" s="7"/>
      <c r="W50" s="7"/>
      <c r="X50" s="7"/>
      <c r="Y50" s="7"/>
      <c r="Z50" s="7"/>
      <c r="AA50" s="11"/>
      <c r="AB50" s="11"/>
      <c r="AC50" s="11"/>
      <c r="AD50" s="11"/>
      <c r="AE50" s="11"/>
      <c r="AF50" s="7"/>
      <c r="AG50" s="12"/>
      <c r="AH50" s="12"/>
      <c r="AI50" s="7"/>
      <c r="AJ50" s="12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</row>
    <row r="51" spans="1:89" ht="20.100000000000001" hidden="1" customHeight="1">
      <c r="A51" s="7"/>
      <c r="B51" s="62"/>
      <c r="C51" s="41"/>
      <c r="D51" s="63"/>
      <c r="E51" s="64"/>
      <c r="F51" s="65"/>
      <c r="G51" s="41"/>
      <c r="H51" s="41"/>
      <c r="I51" s="41"/>
      <c r="J51" s="66"/>
      <c r="K51" s="9"/>
      <c r="L51" s="9"/>
      <c r="M51" s="9"/>
      <c r="N51" s="3"/>
      <c r="O51" s="10"/>
      <c r="P51" s="10"/>
      <c r="Q51" s="10"/>
      <c r="R51" s="7"/>
      <c r="S51" s="7"/>
      <c r="T51" s="7"/>
      <c r="U51" s="7"/>
      <c r="V51" s="7"/>
      <c r="W51" s="7"/>
      <c r="X51" s="7"/>
      <c r="Y51" s="7"/>
      <c r="Z51" s="7"/>
      <c r="AA51" s="11"/>
      <c r="AB51" s="11"/>
      <c r="AC51" s="11"/>
      <c r="AD51" s="11"/>
      <c r="AE51" s="11"/>
      <c r="AF51" s="7"/>
      <c r="AG51" s="12"/>
      <c r="AH51" s="12"/>
      <c r="AI51" s="7"/>
      <c r="AJ51" s="12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</row>
    <row r="52" spans="1:89" ht="20.100000000000001" customHeight="1">
      <c r="A52" s="7"/>
      <c r="B52" s="67" t="s">
        <v>36</v>
      </c>
      <c r="C52" s="68"/>
      <c r="D52" s="41"/>
      <c r="E52" s="41"/>
      <c r="F52" s="41"/>
      <c r="G52" s="41"/>
      <c r="H52" s="41"/>
      <c r="I52" s="41"/>
      <c r="J52" s="26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</row>
    <row r="53" spans="1:89" ht="20.100000000000001" customHeight="1">
      <c r="A53" s="7"/>
      <c r="B53" s="108" t="s">
        <v>45</v>
      </c>
      <c r="C53" s="109"/>
      <c r="D53" s="69">
        <v>28</v>
      </c>
      <c r="E53" s="41"/>
      <c r="F53" s="41"/>
      <c r="G53" s="41"/>
      <c r="H53" s="41"/>
      <c r="I53" s="41"/>
      <c r="J53" s="26"/>
      <c r="K53" s="13"/>
      <c r="L53" s="3"/>
      <c r="M53" s="106"/>
      <c r="N53" s="106"/>
      <c r="O53" s="3"/>
      <c r="P53" s="107"/>
      <c r="Q53" s="107"/>
      <c r="R53" s="107"/>
      <c r="S53" s="7"/>
      <c r="T53" s="7"/>
      <c r="U53" s="7"/>
      <c r="V53" s="7"/>
      <c r="W53" s="7"/>
      <c r="X53" s="7"/>
      <c r="Y53" s="7"/>
      <c r="Z53" s="7"/>
      <c r="AA53" s="105"/>
      <c r="AB53" s="105"/>
      <c r="AC53" s="105"/>
      <c r="AD53" s="3"/>
      <c r="AE53" s="3"/>
      <c r="AI53" s="12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</row>
    <row r="54" spans="1:89" ht="20.100000000000001" customHeight="1">
      <c r="A54" s="7"/>
      <c r="B54" s="110"/>
      <c r="C54" s="111"/>
      <c r="D54" s="70"/>
      <c r="E54" s="71"/>
      <c r="F54" s="71"/>
      <c r="G54" s="71"/>
      <c r="H54" s="71"/>
      <c r="I54" s="71"/>
      <c r="J54" s="72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</row>
    <row r="55" spans="1:89" ht="20.100000000000001" customHeight="1">
      <c r="B55" s="19"/>
      <c r="C55" s="19"/>
      <c r="D55" s="19"/>
      <c r="E55" s="19"/>
      <c r="F55" s="19"/>
      <c r="G55" s="19"/>
      <c r="H55" s="19"/>
      <c r="I55" s="19"/>
      <c r="J55" s="19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</row>
    <row r="56" spans="1:89" ht="20.100000000000001" customHeight="1">
      <c r="B56" s="19"/>
      <c r="C56" s="19"/>
      <c r="D56" s="19"/>
      <c r="E56" s="19"/>
      <c r="F56" s="19"/>
      <c r="G56" s="19"/>
      <c r="H56" s="19"/>
      <c r="I56" s="19"/>
      <c r="J56" s="19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</row>
    <row r="57" spans="1:89" ht="15" customHeight="1">
      <c r="B57" s="19"/>
      <c r="C57" s="19"/>
      <c r="D57" s="19"/>
      <c r="E57" s="19"/>
      <c r="F57" s="19"/>
      <c r="G57" s="19"/>
      <c r="H57" s="19"/>
      <c r="I57" s="19"/>
      <c r="J57" s="19"/>
    </row>
    <row r="58" spans="1:89" ht="15" customHeight="1">
      <c r="B58" s="19"/>
      <c r="C58" s="19"/>
      <c r="D58" s="19"/>
      <c r="E58" s="19"/>
      <c r="F58" s="19"/>
      <c r="G58" s="19"/>
      <c r="H58" s="19"/>
      <c r="I58" s="19"/>
      <c r="J58" s="19"/>
    </row>
    <row r="59" spans="1:89" ht="15" customHeight="1">
      <c r="B59" s="19"/>
      <c r="C59" s="19"/>
      <c r="D59" s="19"/>
      <c r="E59" s="73"/>
      <c r="F59" s="73"/>
      <c r="G59" s="73"/>
      <c r="H59" s="73"/>
      <c r="I59" s="73"/>
      <c r="J59" s="73"/>
      <c r="K59" s="7"/>
      <c r="L59" s="7"/>
      <c r="M59" s="7"/>
    </row>
    <row r="60" spans="1:89" ht="15" customHeight="1">
      <c r="B60" s="19"/>
      <c r="C60" s="19"/>
      <c r="D60" s="19"/>
      <c r="E60" s="19"/>
      <c r="F60" s="19"/>
      <c r="G60" s="19"/>
      <c r="H60" s="19"/>
      <c r="I60" s="19"/>
      <c r="J60" s="19"/>
    </row>
    <row r="66" ht="13.5" customHeight="1"/>
  </sheetData>
  <mergeCells count="21">
    <mergeCell ref="B1:J1"/>
    <mergeCell ref="AE3:AJ3"/>
    <mergeCell ref="K4:N4"/>
    <mergeCell ref="K5:M5"/>
    <mergeCell ref="O5:Q5"/>
    <mergeCell ref="AA5:AC5"/>
    <mergeCell ref="O4:Q4"/>
    <mergeCell ref="K35:M35"/>
    <mergeCell ref="O35:Q35"/>
    <mergeCell ref="AA35:AC35"/>
    <mergeCell ref="K44:M44"/>
    <mergeCell ref="O44:Q44"/>
    <mergeCell ref="AA44:AC44"/>
    <mergeCell ref="B47:C47"/>
    <mergeCell ref="K46:M46"/>
    <mergeCell ref="O46:Q46"/>
    <mergeCell ref="AA46:AC46"/>
    <mergeCell ref="M53:N53"/>
    <mergeCell ref="P53:R53"/>
    <mergeCell ref="AA53:AC53"/>
    <mergeCell ref="B53:C54"/>
  </mergeCells>
  <phoneticPr fontId="22" type="noConversion"/>
  <printOptions horizontalCentered="1"/>
  <pageMargins left="0.78740157480314965" right="0.78740157480314965" top="0.59055118110236227" bottom="0.59055118110236227" header="0" footer="0"/>
  <pageSetup paperSize="9" scale="91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D.C.M 수량집계표</vt:lpstr>
      <vt:lpstr>D.C.M산출근거(본산)</vt:lpstr>
      <vt:lpstr>'D.C.M 수량집계표'!Print_Area</vt:lpstr>
      <vt:lpstr>'D.C.M산출근거(본산)'!Print_Area</vt:lpstr>
      <vt:lpstr>'D.C.M산출근거(본산)'!Print_Titles</vt:lpstr>
    </vt:vector>
  </TitlesOfParts>
  <Company>토목사업부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서영태</dc:creator>
  <cp:lastModifiedBy>영모김</cp:lastModifiedBy>
  <cp:lastPrinted>2025-12-09T10:28:53Z</cp:lastPrinted>
  <dcterms:created xsi:type="dcterms:W3CDTF">2015-06-26T05:50:58Z</dcterms:created>
  <dcterms:modified xsi:type="dcterms:W3CDTF">2026-04-17T00:44:22Z</dcterms:modified>
</cp:coreProperties>
</file>