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as.dbeng.co.kr\구조부\공유5(2024년)\J2023067 창원죽동지구 하천기본계획 수립 및 실시설계\05 성과품\03 수량\13. 갈전7교\"/>
    </mc:Choice>
  </mc:AlternateContent>
  <xr:revisionPtr revIDLastSave="0" documentId="13_ncr:1_{378103C3-9ACD-457B-86C3-2DF873C5FAD3}" xr6:coauthVersionLast="36" xr6:coauthVersionMax="36" xr10:uidLastSave="{00000000-0000-0000-0000-000000000000}"/>
  <bookViews>
    <workbookView xWindow="0" yWindow="0" windowWidth="28800" windowHeight="12285" activeTab="1" xr2:uid="{5C38BD50-CF33-4A59-8CCC-DDBB167C0107}"/>
  </bookViews>
  <sheets>
    <sheet name="토공수량 토공 집계표" sheetId="4" r:id="rId1"/>
    <sheet name="시점측 토공 산출근거" sheetId="3" r:id="rId2"/>
    <sheet name="종점측 토공 산출근거" sheetId="2" r:id="rId3"/>
    <sheet name="Sheet1" sheetId="1" r:id="rId4"/>
  </sheets>
  <definedNames>
    <definedName name="_xlnm.Print_Area" localSheetId="1">'시점측 토공 산출근거'!$A$2:$AB$113</definedName>
    <definedName name="_xlnm.Print_Area" localSheetId="2">'종점측 토공 산출근거'!$A$2:$AB$113</definedName>
    <definedName name="_xlnm.Print_Titles" localSheetId="1">'시점측 토공 산출근거'!$1:$2</definedName>
    <definedName name="_xlnm.Print_Titles" localSheetId="2">'종점측 토공 산출근거'!$1:$2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4" l="1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W112" i="3"/>
  <c r="Z112" i="3" s="1"/>
  <c r="W108" i="3"/>
  <c r="Z108" i="3" s="1"/>
  <c r="W99" i="3"/>
  <c r="W96" i="3"/>
  <c r="W95" i="3"/>
  <c r="W94" i="3"/>
  <c r="W86" i="3"/>
  <c r="W81" i="3"/>
  <c r="Z86" i="3" s="1"/>
  <c r="W60" i="3"/>
  <c r="Z60" i="3" s="1"/>
  <c r="W56" i="3"/>
  <c r="W54" i="3"/>
  <c r="G92" i="3" s="1"/>
  <c r="W92" i="3" s="1"/>
  <c r="Z49" i="3"/>
  <c r="W49" i="3"/>
  <c r="W112" i="2"/>
  <c r="Z112" i="2" s="1"/>
  <c r="W108" i="2"/>
  <c r="Z108" i="2" s="1"/>
  <c r="W99" i="2"/>
  <c r="W96" i="2"/>
  <c r="W95" i="2"/>
  <c r="W94" i="2"/>
  <c r="W86" i="2"/>
  <c r="W81" i="2"/>
  <c r="Z86" i="2" s="1"/>
  <c r="W60" i="2"/>
  <c r="Z60" i="2" s="1"/>
  <c r="W56" i="2"/>
  <c r="W54" i="2"/>
  <c r="Z56" i="2" s="1"/>
  <c r="Z49" i="2"/>
  <c r="W49" i="2"/>
  <c r="G92" i="2" s="1"/>
  <c r="W92" i="2" s="1"/>
  <c r="Z99" i="3" l="1"/>
  <c r="K103" i="3"/>
  <c r="G103" i="3"/>
  <c r="Z56" i="3"/>
  <c r="Z99" i="2"/>
  <c r="K103" i="2"/>
  <c r="G103" i="2"/>
  <c r="W103" i="3" l="1"/>
  <c r="Z103" i="3" s="1"/>
  <c r="W103" i="2"/>
  <c r="Z103" i="2" s="1"/>
</calcChain>
</file>

<file path=xl/sharedStrings.xml><?xml version="1.0" encoding="utf-8"?>
<sst xmlns="http://schemas.openxmlformats.org/spreadsheetml/2006/main" count="339" uniqueCount="81">
  <si>
    <t>갈전7교</t>
  </si>
  <si>
    <t>공     종</t>
  </si>
  <si>
    <t>산      출      근      거</t>
  </si>
  <si>
    <t>수  량</t>
  </si>
  <si>
    <t>1. 터파기</t>
  </si>
  <si>
    <t>(토사)</t>
  </si>
  <si>
    <t>[(0~4m)]</t>
  </si>
  <si>
    <t>(((</t>
  </si>
  <si>
    <t>x</t>
  </si>
  <si>
    <t>)</t>
  </si>
  <si>
    <t>+</t>
  </si>
  <si>
    <t>(</t>
  </si>
  <si>
    <t>))</t>
  </si>
  <si>
    <t>/</t>
  </si>
  <si>
    <t xml:space="preserve"> = </t>
  </si>
  <si>
    <t>㎥</t>
  </si>
  <si>
    <t>2. 수중터파기</t>
  </si>
  <si>
    <t>( 토사 )</t>
  </si>
  <si>
    <t>[(4~6m)]</t>
  </si>
  <si>
    <t>3. 물푸기</t>
  </si>
  <si>
    <t>① 토사</t>
  </si>
  <si>
    <t xml:space="preserve">  - 터파기(4m 미만) </t>
  </si>
  <si>
    <t xml:space="preserve">  - 터파기(백호우 1.0㎥) : θ = 53.46㎥/hr ÷ 1.5 = 35.64㎥/hr</t>
  </si>
  <si>
    <t xml:space="preserve">  - 토사 물푸기 시간 : </t>
  </si>
  <si>
    <t xml:space="preserve">    토사 수중, 터파기량(2202.751㎥) ÷ 35.64㎥/hr = 61.806hr</t>
  </si>
  <si>
    <t xml:space="preserve">  - 터파기(4m 이상) </t>
  </si>
  <si>
    <t xml:space="preserve">  - 터파기(백호우 1.0㎥) : θ = 48.81㎥/hr ÷ 1.5 = 32.54㎥/hr</t>
  </si>
  <si>
    <t xml:space="preserve">    토사 수중, 터파기량(154.249㎥) ÷ 32.54㎥/hr = 4.740hr</t>
  </si>
  <si>
    <t xml:space="preserve"> </t>
  </si>
  <si>
    <t xml:space="preserve">     A. 터파기 물푸기 시간 : ① = 66.546hr</t>
  </si>
  <si>
    <t xml:space="preserve">     B. 거푸집 조립, 철근 조립 및 콘크리트 타설 = 48hr</t>
  </si>
  <si>
    <t xml:space="preserve">     C. 콘크리트 양생, 거푸집 해체 = 120hr</t>
  </si>
  <si>
    <t>∴ 총 물푸기 시간 : A + B + C= 66.546 + 48.000 + 120.000 = 234.546hr</t>
  </si>
  <si>
    <t>hr</t>
  </si>
  <si>
    <t>4. 뒷채움</t>
  </si>
  <si>
    <t>(뒷채움)</t>
  </si>
  <si>
    <t>(접속슬래브 공제)</t>
  </si>
  <si>
    <t>(4.100 x 38.787 x 0.100) x 68.663%</t>
  </si>
  <si>
    <t>(브라켓 공제)</t>
  </si>
  <si>
    <t>5. 되메우기</t>
  </si>
  <si>
    <t>* 되메우기 = 터파기 - (지반선 이하의 구체 및 뒷채움)</t>
  </si>
  <si>
    <t>(터파기)</t>
  </si>
  <si>
    <t>(구체공제)</t>
  </si>
  <si>
    <t>②</t>
  </si>
  <si>
    <t>④</t>
  </si>
  <si>
    <t>⑥</t>
  </si>
  <si>
    <t>(뒷채움공제)</t>
  </si>
  <si>
    <t>6. 유용토</t>
  </si>
  <si>
    <t>* 유용토 = 터파기 - 되메우기</t>
  </si>
  <si>
    <t>-</t>
  </si>
  <si>
    <t>7. 공제토</t>
  </si>
  <si>
    <t>(노상)</t>
  </si>
  <si>
    <t>(노체)</t>
  </si>
  <si>
    <t xml:space="preserve">    토사 수중, 터파기량(908.309㎥) ÷ 35.64㎥/hr = 25.486hr</t>
  </si>
  <si>
    <t xml:space="preserve">    토사 수중, 터파기량(180.290㎥) ÷ 32.54㎥/hr = 5.541hr</t>
  </si>
  <si>
    <t xml:space="preserve">     A. 터파기 물푸기 시간 : ① = 31.026hr</t>
  </si>
  <si>
    <t>∴ 총 물푸기 시간 : A + B + C= 31.026 + 48.000 + 120.000 = 199.026hr</t>
  </si>
  <si>
    <t>(4.100 x 41.775 x 0.100) x 73.206%</t>
  </si>
  <si>
    <t>①</t>
  </si>
  <si>
    <t>③</t>
  </si>
  <si>
    <t>⑤</t>
  </si>
  <si>
    <t>터파기</t>
  </si>
  <si>
    <t>토사</t>
  </si>
  <si>
    <t>(0~4m)</t>
  </si>
  <si>
    <t>수중터파기</t>
  </si>
  <si>
    <t xml:space="preserve"> 토사 </t>
  </si>
  <si>
    <t>(4~6m)</t>
  </si>
  <si>
    <t>물푸기</t>
  </si>
  <si>
    <t>뒷채움</t>
  </si>
  <si>
    <t>되메우기</t>
  </si>
  <si>
    <t>유용토</t>
  </si>
  <si>
    <t>공제토</t>
  </si>
  <si>
    <t>노상</t>
  </si>
  <si>
    <t>노체</t>
  </si>
  <si>
    <t>토공수량 토공 집계표</t>
  </si>
  <si>
    <t>공종</t>
  </si>
  <si>
    <t>단위</t>
  </si>
  <si>
    <t>시점측</t>
  </si>
  <si>
    <t>종점측</t>
  </si>
  <si>
    <t>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</si>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</sst>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돋움"/>
      <family val="2"/>
      <charset val="129"/>
    </font>
    <font>
      <sz val="8"/>
      <name val="돋움"/>
      <family val="2"/>
      <charset val="129"/>
    </font>
    <font>
      <b/>
      <sz val="12"/>
      <color indexed="8"/>
      <name val="돋움체"/>
      <family val="3"/>
      <charset val="129"/>
    </font>
    <font>
      <sz val="10"/>
      <color indexed="8"/>
      <name val="돋움체"/>
      <family val="3"/>
      <charset val="129"/>
    </font>
    <font>
      <sz val="9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sz val="9"/>
      <color indexed="39"/>
      <name val="돋움체"/>
      <family val="3"/>
      <charset val="129"/>
    </font>
    <font>
      <b/>
      <sz val="10"/>
      <color indexed="8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8"/>
      </top>
      <bottom style="double">
        <color indexed="8"/>
      </bottom>
      <diagonal/>
    </border>
    <border>
      <left style="hair">
        <color indexed="64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8"/>
      </bottom>
      <diagonal/>
    </border>
    <border>
      <left style="hair">
        <color indexed="64"/>
      </left>
      <right style="medium">
        <color indexed="8"/>
      </right>
      <top style="hair">
        <color indexed="64"/>
      </top>
      <bottom style="medium">
        <color indexed="8"/>
      </bottom>
      <diagonal/>
    </border>
    <border>
      <left style="medium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 style="hair">
        <color indexed="64"/>
      </right>
      <top style="hair">
        <color indexed="64"/>
      </top>
      <bottom/>
      <diagonal/>
    </border>
    <border>
      <left style="medium">
        <color indexed="8"/>
      </left>
      <right style="hair">
        <color indexed="64"/>
      </right>
      <top/>
      <bottom style="hair">
        <color indexed="64"/>
      </bottom>
      <diagonal/>
    </border>
    <border>
      <left style="medium">
        <color indexed="8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hair">
        <color indexed="64"/>
      </right>
      <top/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double">
        <color indexed="8"/>
      </bottom>
      <diagonal/>
    </border>
    <border>
      <left/>
      <right/>
      <top style="medium">
        <color indexed="8"/>
      </top>
      <bottom style="double">
        <color indexed="8"/>
      </bottom>
      <diagonal/>
    </border>
    <border>
      <left/>
      <right style="hair">
        <color indexed="64"/>
      </right>
      <top style="medium">
        <color indexed="8"/>
      </top>
      <bottom style="double">
        <color indexed="8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176" fontId="4" fillId="0" borderId="0" xfId="0" quotePrefix="1" applyNumberFormat="1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176" fontId="4" fillId="0" borderId="3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76" fontId="4" fillId="0" borderId="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76" fontId="4" fillId="0" borderId="7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176" fontId="4" fillId="0" borderId="7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76" fontId="4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176" fontId="7" fillId="0" borderId="15" xfId="0" applyNumberFormat="1" applyFont="1" applyBorder="1" applyAlignment="1">
      <alignment horizontal="center" vertical="center" wrapText="1"/>
    </xf>
    <xf numFmtId="176" fontId="7" fillId="0" borderId="16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76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/>
    </xf>
    <xf numFmtId="176" fontId="3" fillId="0" borderId="14" xfId="0" applyNumberFormat="1" applyFont="1" applyFill="1" applyBorder="1" applyAlignment="1">
      <alignment horizontal="center" vertical="center"/>
    </xf>
    <xf numFmtId="176" fontId="3" fillId="0" borderId="19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Program%20Files%20(x86)\&#54620;&#44600;&#50500;&#51060;&#54000;\ARcBridge2022\\_tmpw7.wmf" TargetMode="External"/><Relationship Id="rId3" Type="http://schemas.openxmlformats.org/officeDocument/2006/relationships/image" Target="../media/image2.wmf"/><Relationship Id="rId7" Type="http://schemas.openxmlformats.org/officeDocument/2006/relationships/image" Target="../media/image4.wmf"/><Relationship Id="rId2" Type="http://schemas.openxmlformats.org/officeDocument/2006/relationships/image" Target="file:///C:\Program%20Files%20(x86)\&#54620;&#44600;&#50500;&#51060;&#54000;\ARcBridge2022\\_tmpw4.wmf" TargetMode="External"/><Relationship Id="rId1" Type="http://schemas.openxmlformats.org/officeDocument/2006/relationships/image" Target="../media/image1.wmf"/><Relationship Id="rId6" Type="http://schemas.openxmlformats.org/officeDocument/2006/relationships/image" Target="file:///C:\Program%20Files%20(x86)\&#54620;&#44600;&#50500;&#51060;&#54000;\ARcBridge2022\\_tmpw6.wmf" TargetMode="External"/><Relationship Id="rId5" Type="http://schemas.openxmlformats.org/officeDocument/2006/relationships/image" Target="../media/image3.wmf"/><Relationship Id="rId4" Type="http://schemas.openxmlformats.org/officeDocument/2006/relationships/image" Target="file:///C:\Program%20Files%20(x86)\&#54620;&#44600;&#50500;&#51060;&#54000;\ARcBridge2022\\_tmpw5.wmf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file:///C:\Program%20Files%20(x86)\&#54620;&#44600;&#50500;&#51060;&#54000;\ARcBridge2022\\_tmpw3.wmf" TargetMode="External"/><Relationship Id="rId3" Type="http://schemas.openxmlformats.org/officeDocument/2006/relationships/image" Target="../media/image6.wmf"/><Relationship Id="rId7" Type="http://schemas.openxmlformats.org/officeDocument/2006/relationships/image" Target="../media/image8.wmf"/><Relationship Id="rId2" Type="http://schemas.openxmlformats.org/officeDocument/2006/relationships/image" Target="file:///C:\Program%20Files%20(x86)\&#54620;&#44600;&#50500;&#51060;&#54000;\ARcBridge2022\\_tmpw0.wmf" TargetMode="External"/><Relationship Id="rId1" Type="http://schemas.openxmlformats.org/officeDocument/2006/relationships/image" Target="../media/image5.wmf"/><Relationship Id="rId6" Type="http://schemas.openxmlformats.org/officeDocument/2006/relationships/image" Target="file:///C:\Program%20Files%20(x86)\&#54620;&#44600;&#50500;&#51060;&#54000;\ARcBridge2022\\_tmpw2.wmf" TargetMode="External"/><Relationship Id="rId5" Type="http://schemas.openxmlformats.org/officeDocument/2006/relationships/image" Target="../media/image7.wmf"/><Relationship Id="rId4" Type="http://schemas.openxmlformats.org/officeDocument/2006/relationships/image" Target="file:///C:\Program%20Files%20(x86)\&#54620;&#44600;&#50500;&#51060;&#54000;\ARcBridge2022\\_tmpw1.wm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94881</xdr:colOff>
      <xdr:row>4</xdr:row>
      <xdr:rowOff>0</xdr:rowOff>
    </xdr:from>
    <xdr:to>
      <xdr:col>22</xdr:col>
      <xdr:colOff>143245</xdr:colOff>
      <xdr:row>13</xdr:row>
      <xdr:rowOff>19164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4330A65-9DCD-4FD3-8ABD-1C5C451897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506" y="1143000"/>
          <a:ext cx="4096489" cy="1733664"/>
        </a:xfrm>
        <a:prstGeom prst="rect">
          <a:avLst/>
        </a:prstGeom>
      </xdr:spPr>
    </xdr:pic>
    <xdr:clientData/>
  </xdr:twoCellAnchor>
  <xdr:twoCellAnchor editAs="oneCell">
    <xdr:from>
      <xdr:col>10</xdr:col>
      <xdr:colOff>211226</xdr:colOff>
      <xdr:row>2</xdr:row>
      <xdr:rowOff>42333</xdr:rowOff>
    </xdr:from>
    <xdr:to>
      <xdr:col>20</xdr:col>
      <xdr:colOff>24536</xdr:colOff>
      <xdr:row>3</xdr:row>
      <xdr:rowOff>105198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B4CB60B-0D14-43A7-8793-9088C601A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2476" y="804333"/>
          <a:ext cx="2194560" cy="253365"/>
        </a:xfrm>
        <a:prstGeom prst="rect">
          <a:avLst/>
        </a:prstGeom>
      </xdr:spPr>
    </xdr:pic>
    <xdr:clientData/>
  </xdr:twoCellAnchor>
  <xdr:twoCellAnchor editAs="oneCell">
    <xdr:from>
      <xdr:col>5</xdr:col>
      <xdr:colOff>28390</xdr:colOff>
      <xdr:row>19</xdr:row>
      <xdr:rowOff>0</xdr:rowOff>
    </xdr:from>
    <xdr:to>
      <xdr:col>22</xdr:col>
      <xdr:colOff>209734</xdr:colOff>
      <xdr:row>26</xdr:row>
      <xdr:rowOff>78336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BD677B1-9F2A-4076-A281-BA313A465D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015" y="4000500"/>
          <a:ext cx="4229469" cy="141183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215658</xdr:colOff>
      <xdr:row>17</xdr:row>
      <xdr:rowOff>42333</xdr:rowOff>
    </xdr:from>
    <xdr:to>
      <xdr:col>20</xdr:col>
      <xdr:colOff>28968</xdr:colOff>
      <xdr:row>18</xdr:row>
      <xdr:rowOff>105198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5B37F47-4485-4BE3-9129-8C642D8F48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6908" y="3661833"/>
          <a:ext cx="2194560" cy="2533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95293</xdr:colOff>
      <xdr:row>4</xdr:row>
      <xdr:rowOff>0</xdr:rowOff>
    </xdr:from>
    <xdr:to>
      <xdr:col>22</xdr:col>
      <xdr:colOff>142833</xdr:colOff>
      <xdr:row>13</xdr:row>
      <xdr:rowOff>15127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05B07-26E3-48FD-A32E-4570E78AD4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918" y="1143000"/>
          <a:ext cx="4095665" cy="1729627"/>
        </a:xfrm>
        <a:prstGeom prst="rect">
          <a:avLst/>
        </a:prstGeom>
      </xdr:spPr>
    </xdr:pic>
    <xdr:clientData/>
  </xdr:twoCellAnchor>
  <xdr:twoCellAnchor editAs="oneCell">
    <xdr:from>
      <xdr:col>10</xdr:col>
      <xdr:colOff>211198</xdr:colOff>
      <xdr:row>2</xdr:row>
      <xdr:rowOff>42333</xdr:rowOff>
    </xdr:from>
    <xdr:to>
      <xdr:col>20</xdr:col>
      <xdr:colOff>24508</xdr:colOff>
      <xdr:row>3</xdr:row>
      <xdr:rowOff>105198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81C6C7A-1C1F-4BF8-A46E-58F899F6C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2448" y="804333"/>
          <a:ext cx="2194560" cy="253365"/>
        </a:xfrm>
        <a:prstGeom prst="rect">
          <a:avLst/>
        </a:prstGeom>
      </xdr:spPr>
    </xdr:pic>
    <xdr:clientData/>
  </xdr:twoCellAnchor>
  <xdr:twoCellAnchor editAs="oneCell">
    <xdr:from>
      <xdr:col>5</xdr:col>
      <xdr:colOff>30468</xdr:colOff>
      <xdr:row>19</xdr:row>
      <xdr:rowOff>0</xdr:rowOff>
    </xdr:from>
    <xdr:to>
      <xdr:col>22</xdr:col>
      <xdr:colOff>207657</xdr:colOff>
      <xdr:row>26</xdr:row>
      <xdr:rowOff>95288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A61DF0A-D68A-431C-8ADA-B524C97DBE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093" y="4000500"/>
          <a:ext cx="4225314" cy="1428788"/>
        </a:xfrm>
        <a:prstGeom prst="rect">
          <a:avLst/>
        </a:prstGeom>
      </xdr:spPr>
    </xdr:pic>
    <xdr:clientData/>
  </xdr:twoCellAnchor>
  <xdr:twoCellAnchor editAs="oneCell">
    <xdr:from>
      <xdr:col>10</xdr:col>
      <xdr:colOff>215520</xdr:colOff>
      <xdr:row>17</xdr:row>
      <xdr:rowOff>42333</xdr:rowOff>
    </xdr:from>
    <xdr:to>
      <xdr:col>20</xdr:col>
      <xdr:colOff>28830</xdr:colOff>
      <xdr:row>18</xdr:row>
      <xdr:rowOff>105198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736B9F0-39F7-476C-9149-CAE32D1A6A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6770" y="3661833"/>
          <a:ext cx="2194560" cy="253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2588-99F8-4C2D-BBFA-D9B01D3FBB55}">
  <dimension ref="A1:H12"/>
  <sheetViews>
    <sheetView view="pageBreakPreview" zoomScaleNormal="100" zoomScaleSheetLayoutView="100" workbookViewId="0">
      <selection activeCell="K12" sqref="K12"/>
    </sheetView>
  </sheetViews>
  <sheetFormatPr defaultRowHeight="13.5" x14ac:dyDescent="0.15"/>
  <cols>
    <col min="1" max="2" width="10.77734375" customWidth="1"/>
    <col min="3" max="3" width="11.77734375" customWidth="1"/>
    <col min="4" max="4" width="4.77734375" customWidth="1"/>
  </cols>
  <sheetData>
    <row r="1" spans="1:8" ht="30" customHeight="1" thickBot="1" x14ac:dyDescent="0.2">
      <c r="A1" s="49" t="s">
        <v>74</v>
      </c>
      <c r="B1" s="50"/>
      <c r="C1" s="50"/>
      <c r="D1" s="50"/>
      <c r="E1" s="50"/>
      <c r="F1" s="50"/>
      <c r="G1" s="50"/>
      <c r="H1" s="50"/>
    </row>
    <row r="2" spans="1:8" ht="30" customHeight="1" thickBot="1" x14ac:dyDescent="0.2">
      <c r="A2" s="51" t="s">
        <v>75</v>
      </c>
      <c r="B2" s="52"/>
      <c r="C2" s="53"/>
      <c r="D2" s="30" t="s">
        <v>76</v>
      </c>
      <c r="E2" s="31" t="s">
        <v>77</v>
      </c>
      <c r="F2" s="31" t="s">
        <v>78</v>
      </c>
      <c r="G2" s="31" t="s">
        <v>79</v>
      </c>
      <c r="H2" s="32" t="s">
        <v>80</v>
      </c>
    </row>
    <row r="3" spans="1:8" ht="15" customHeight="1" thickTop="1" x14ac:dyDescent="0.15">
      <c r="A3" s="33" t="s">
        <v>61</v>
      </c>
      <c r="B3" s="28" t="s">
        <v>62</v>
      </c>
      <c r="C3" s="48" t="s">
        <v>63</v>
      </c>
      <c r="D3" s="28" t="s">
        <v>15</v>
      </c>
      <c r="E3" s="29">
        <f>'시점측 토공 산출근거'!Z49</f>
        <v>1605.4059999999999</v>
      </c>
      <c r="F3" s="29">
        <f>'종점측 토공 산출근거'!Z49</f>
        <v>142.72499999999999</v>
      </c>
      <c r="G3" s="38">
        <f t="shared" ref="G3:G11" si="0">SUM(E3:F3)</f>
        <v>1748.1309999999999</v>
      </c>
      <c r="H3" s="34"/>
    </row>
    <row r="4" spans="1:8" ht="15" customHeight="1" x14ac:dyDescent="0.15">
      <c r="A4" s="40" t="s">
        <v>64</v>
      </c>
      <c r="B4" s="46" t="s">
        <v>65</v>
      </c>
      <c r="C4" s="47"/>
      <c r="D4" s="28" t="s">
        <v>15</v>
      </c>
      <c r="E4" s="29">
        <f>'시점측 토공 산출근거'!Z56</f>
        <v>908.30899999999997</v>
      </c>
      <c r="F4" s="29">
        <f>'종점측 토공 산출근거'!Z56</f>
        <v>2202.7510000000002</v>
      </c>
      <c r="G4" s="38">
        <f t="shared" si="0"/>
        <v>3111.0600000000004</v>
      </c>
      <c r="H4" s="34"/>
    </row>
    <row r="5" spans="1:8" ht="15" customHeight="1" x14ac:dyDescent="0.15">
      <c r="A5" s="41"/>
      <c r="B5" s="47"/>
      <c r="C5" s="28" t="s">
        <v>66</v>
      </c>
      <c r="D5" s="28" t="s">
        <v>15</v>
      </c>
      <c r="E5" s="29">
        <f>'시점측 토공 산출근거'!Z60</f>
        <v>180.29</v>
      </c>
      <c r="F5" s="29">
        <f>'종점측 토공 산출근거'!Z60</f>
        <v>154.249</v>
      </c>
      <c r="G5" s="38">
        <f t="shared" si="0"/>
        <v>334.53899999999999</v>
      </c>
      <c r="H5" s="34"/>
    </row>
    <row r="6" spans="1:8" ht="15" customHeight="1" x14ac:dyDescent="0.15">
      <c r="A6" s="54" t="s">
        <v>67</v>
      </c>
      <c r="B6" s="55"/>
      <c r="C6" s="56"/>
      <c r="D6" s="28" t="s">
        <v>33</v>
      </c>
      <c r="E6" s="29">
        <f>'시점측 토공 산출근거'!Z76</f>
        <v>199.02600000000001</v>
      </c>
      <c r="F6" s="29">
        <f>'종점측 토공 산출근거'!Z76</f>
        <v>234.54599999999999</v>
      </c>
      <c r="G6" s="38">
        <f t="shared" si="0"/>
        <v>433.572</v>
      </c>
      <c r="H6" s="34"/>
    </row>
    <row r="7" spans="1:8" ht="15" customHeight="1" x14ac:dyDescent="0.15">
      <c r="A7" s="54" t="s">
        <v>68</v>
      </c>
      <c r="B7" s="55"/>
      <c r="C7" s="56"/>
      <c r="D7" s="28" t="s">
        <v>15</v>
      </c>
      <c r="E7" s="29">
        <f>'시점측 토공 산출근거'!Z86</f>
        <v>621.91800000000001</v>
      </c>
      <c r="F7" s="29">
        <f>'종점측 토공 산출근거'!Z86</f>
        <v>577.98699999999997</v>
      </c>
      <c r="G7" s="38">
        <f t="shared" si="0"/>
        <v>1199.905</v>
      </c>
      <c r="H7" s="34"/>
    </row>
    <row r="8" spans="1:8" ht="15" customHeight="1" x14ac:dyDescent="0.15">
      <c r="A8" s="54" t="s">
        <v>69</v>
      </c>
      <c r="B8" s="55"/>
      <c r="C8" s="56"/>
      <c r="D8" s="28" t="s">
        <v>15</v>
      </c>
      <c r="E8" s="29">
        <f>'시점측 토공 산출근거'!Z99</f>
        <v>1976.894</v>
      </c>
      <c r="F8" s="29">
        <f>'종점측 토공 산출근거'!Z99</f>
        <v>1841.2909999999999</v>
      </c>
      <c r="G8" s="38">
        <f t="shared" si="0"/>
        <v>3818.1849999999999</v>
      </c>
      <c r="H8" s="34"/>
    </row>
    <row r="9" spans="1:8" ht="15" customHeight="1" x14ac:dyDescent="0.15">
      <c r="A9" s="54" t="s">
        <v>70</v>
      </c>
      <c r="B9" s="55"/>
      <c r="C9" s="56"/>
      <c r="D9" s="28" t="s">
        <v>15</v>
      </c>
      <c r="E9" s="29">
        <f>'시점측 토공 산출근거'!Z103</f>
        <v>717.11099999999999</v>
      </c>
      <c r="F9" s="29">
        <f>'종점측 토공 산출근거'!Z103</f>
        <v>658.43399999999997</v>
      </c>
      <c r="G9" s="38">
        <f t="shared" si="0"/>
        <v>1375.5450000000001</v>
      </c>
      <c r="H9" s="34"/>
    </row>
    <row r="10" spans="1:8" ht="15" customHeight="1" x14ac:dyDescent="0.15">
      <c r="A10" s="42" t="s">
        <v>71</v>
      </c>
      <c r="B10" s="43"/>
      <c r="C10" s="28" t="s">
        <v>72</v>
      </c>
      <c r="D10" s="28" t="s">
        <v>15</v>
      </c>
      <c r="E10" s="29">
        <f>'시점측 토공 산출근거'!Z108</f>
        <v>252.36</v>
      </c>
      <c r="F10" s="29">
        <f>'종점측 토공 산출근거'!Z108</f>
        <v>234.22300000000001</v>
      </c>
      <c r="G10" s="38">
        <f t="shared" si="0"/>
        <v>486.58300000000003</v>
      </c>
      <c r="H10" s="34"/>
    </row>
    <row r="11" spans="1:8" ht="15" customHeight="1" thickBot="1" x14ac:dyDescent="0.2">
      <c r="A11" s="44"/>
      <c r="B11" s="45"/>
      <c r="C11" s="35" t="s">
        <v>73</v>
      </c>
      <c r="D11" s="35" t="s">
        <v>15</v>
      </c>
      <c r="E11" s="36">
        <f>'시점측 토공 산출근거'!Z112</f>
        <v>147.24700000000001</v>
      </c>
      <c r="F11" s="36">
        <f>'종점측 토공 산출근거'!Z112</f>
        <v>143.81100000000001</v>
      </c>
      <c r="G11" s="39">
        <f t="shared" si="0"/>
        <v>291.05799999999999</v>
      </c>
      <c r="H11" s="37"/>
    </row>
    <row r="12" spans="1:8" ht="15" customHeight="1" x14ac:dyDescent="0.15">
      <c r="A12" s="26"/>
      <c r="B12" s="26"/>
      <c r="C12" s="26"/>
      <c r="D12" s="26"/>
      <c r="E12" s="27"/>
      <c r="F12" s="27"/>
      <c r="G12" s="27"/>
      <c r="H12" s="27"/>
    </row>
  </sheetData>
  <mergeCells count="10">
    <mergeCell ref="A4:A5"/>
    <mergeCell ref="A10:B11"/>
    <mergeCell ref="B4:B5"/>
    <mergeCell ref="C3:C4"/>
    <mergeCell ref="A1:H1"/>
    <mergeCell ref="A2:C2"/>
    <mergeCell ref="A6:C6"/>
    <mergeCell ref="A7:C7"/>
    <mergeCell ref="A8:C8"/>
    <mergeCell ref="A9:C9"/>
  </mergeCells>
  <phoneticPr fontId="1" type="noConversion"/>
  <printOptions horizontalCentered="1"/>
  <pageMargins left="0.27559055118110248" right="0.27559055118110248" top="0.98425196850393748" bottom="0.98425196850393748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B805-7C88-4988-AECA-C46171667A9F}">
  <dimension ref="A1:AB113"/>
  <sheetViews>
    <sheetView tabSelected="1" view="pageBreakPreview" topLeftCell="A49" zoomScaleNormal="100" zoomScaleSheetLayoutView="100" workbookViewId="0">
      <selection activeCell="AE63" sqref="AE63"/>
    </sheetView>
  </sheetViews>
  <sheetFormatPr defaultRowHeight="13.5" x14ac:dyDescent="0.15"/>
  <cols>
    <col min="1" max="28" width="2.77734375" customWidth="1"/>
  </cols>
  <sheetData>
    <row r="1" spans="1:28" ht="30" customHeight="1" x14ac:dyDescent="0.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/>
    </row>
    <row r="2" spans="1:28" ht="30" customHeight="1" x14ac:dyDescent="0.15">
      <c r="A2" s="65" t="s">
        <v>1</v>
      </c>
      <c r="B2" s="66"/>
      <c r="C2" s="66"/>
      <c r="D2" s="66"/>
      <c r="E2" s="67" t="s">
        <v>2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Z2" s="70" t="s">
        <v>3</v>
      </c>
      <c r="AA2" s="66"/>
      <c r="AB2" s="71"/>
    </row>
    <row r="3" spans="1:28" ht="15" customHeight="1" x14ac:dyDescent="0.15">
      <c r="A3" s="14"/>
      <c r="B3" s="2"/>
      <c r="C3" s="2"/>
      <c r="D3" s="2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  <c r="AA3" s="7"/>
      <c r="AB3" s="15"/>
    </row>
    <row r="4" spans="1:28" ht="15" customHeight="1" x14ac:dyDescent="0.15">
      <c r="A4" s="14"/>
      <c r="B4" s="2"/>
      <c r="C4" s="2"/>
      <c r="D4" s="2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/>
      <c r="AA4" s="7"/>
      <c r="AB4" s="15"/>
    </row>
    <row r="5" spans="1:28" ht="15" customHeight="1" x14ac:dyDescent="0.15">
      <c r="A5" s="14"/>
      <c r="B5" s="2"/>
      <c r="C5" s="2"/>
      <c r="D5" s="2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7"/>
      <c r="AA5" s="7"/>
      <c r="AB5" s="15"/>
    </row>
    <row r="6" spans="1:28" ht="15" customHeight="1" x14ac:dyDescent="0.15">
      <c r="A6" s="14"/>
      <c r="B6" s="2"/>
      <c r="C6" s="2"/>
      <c r="D6" s="2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7"/>
      <c r="AA6" s="7"/>
      <c r="AB6" s="15"/>
    </row>
    <row r="7" spans="1:28" ht="15" customHeight="1" x14ac:dyDescent="0.15">
      <c r="A7" s="14"/>
      <c r="B7" s="2"/>
      <c r="C7" s="2"/>
      <c r="D7" s="2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/>
      <c r="AA7" s="7"/>
      <c r="AB7" s="15"/>
    </row>
    <row r="8" spans="1:28" ht="15" customHeight="1" x14ac:dyDescent="0.15">
      <c r="A8" s="14"/>
      <c r="B8" s="2"/>
      <c r="C8" s="2"/>
      <c r="D8" s="2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7"/>
      <c r="AA8" s="7"/>
      <c r="AB8" s="15"/>
    </row>
    <row r="9" spans="1:28" ht="15" customHeight="1" x14ac:dyDescent="0.15">
      <c r="A9" s="14"/>
      <c r="B9" s="2"/>
      <c r="C9" s="2"/>
      <c r="D9" s="2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7"/>
      <c r="AA9" s="7"/>
      <c r="AB9" s="15"/>
    </row>
    <row r="10" spans="1:28" ht="15" customHeight="1" x14ac:dyDescent="0.15">
      <c r="A10" s="14"/>
      <c r="B10" s="2"/>
      <c r="C10" s="2"/>
      <c r="D10" s="2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/>
      <c r="AA10" s="7"/>
      <c r="AB10" s="15"/>
    </row>
    <row r="11" spans="1:28" ht="15" customHeight="1" x14ac:dyDescent="0.15">
      <c r="A11" s="14"/>
      <c r="B11" s="2"/>
      <c r="C11" s="2"/>
      <c r="D11" s="2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7"/>
      <c r="AA11" s="7"/>
      <c r="AB11" s="15"/>
    </row>
    <row r="12" spans="1:28" ht="15" customHeight="1" x14ac:dyDescent="0.15">
      <c r="A12" s="14"/>
      <c r="B12" s="2"/>
      <c r="C12" s="2"/>
      <c r="D12" s="2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7"/>
      <c r="AA12" s="7"/>
      <c r="AB12" s="15"/>
    </row>
    <row r="13" spans="1:28" ht="15" customHeight="1" x14ac:dyDescent="0.15">
      <c r="A13" s="14"/>
      <c r="B13" s="2"/>
      <c r="C13" s="2"/>
      <c r="D13" s="2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7"/>
      <c r="AA13" s="7"/>
      <c r="AB13" s="15"/>
    </row>
    <row r="14" spans="1:28" ht="15" customHeight="1" x14ac:dyDescent="0.15">
      <c r="A14" s="14"/>
      <c r="B14" s="2"/>
      <c r="C14" s="2"/>
      <c r="D14" s="2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7"/>
      <c r="AA14" s="7"/>
      <c r="AB14" s="15"/>
    </row>
    <row r="15" spans="1:28" ht="15" customHeight="1" x14ac:dyDescent="0.15">
      <c r="A15" s="14"/>
      <c r="B15" s="2"/>
      <c r="C15" s="2"/>
      <c r="D15" s="2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7"/>
      <c r="AA15" s="7"/>
      <c r="AB15" s="15"/>
    </row>
    <row r="16" spans="1:28" ht="15" customHeight="1" x14ac:dyDescent="0.15">
      <c r="A16" s="14"/>
      <c r="B16" s="2"/>
      <c r="C16" s="2"/>
      <c r="D16" s="2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7"/>
      <c r="AA16" s="7"/>
      <c r="AB16" s="15"/>
    </row>
    <row r="17" spans="1:28" ht="15" customHeight="1" x14ac:dyDescent="0.15">
      <c r="A17" s="14"/>
      <c r="B17" s="2"/>
      <c r="C17" s="2"/>
      <c r="D17" s="2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/>
      <c r="AA17" s="7"/>
      <c r="AB17" s="15"/>
    </row>
    <row r="18" spans="1:28" ht="15" customHeight="1" x14ac:dyDescent="0.15">
      <c r="A18" s="14"/>
      <c r="B18" s="2"/>
      <c r="C18" s="2"/>
      <c r="D18" s="2"/>
      <c r="E18" s="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7"/>
      <c r="AA18" s="7"/>
      <c r="AB18" s="15"/>
    </row>
    <row r="19" spans="1:28" ht="15" customHeight="1" x14ac:dyDescent="0.15">
      <c r="A19" s="14"/>
      <c r="B19" s="2"/>
      <c r="C19" s="2"/>
      <c r="D19" s="2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7"/>
      <c r="AA19" s="7"/>
      <c r="AB19" s="15"/>
    </row>
    <row r="20" spans="1:28" ht="15" customHeight="1" x14ac:dyDescent="0.15">
      <c r="A20" s="14"/>
      <c r="B20" s="2"/>
      <c r="C20" s="2"/>
      <c r="D20" s="2"/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7"/>
      <c r="AA20" s="7"/>
      <c r="AB20" s="15"/>
    </row>
    <row r="21" spans="1:28" ht="15" customHeight="1" x14ac:dyDescent="0.15">
      <c r="A21" s="14"/>
      <c r="B21" s="2"/>
      <c r="C21" s="2"/>
      <c r="D21" s="2"/>
      <c r="E21" s="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  <c r="AA21" s="7"/>
      <c r="AB21" s="15"/>
    </row>
    <row r="22" spans="1:28" ht="15" customHeight="1" x14ac:dyDescent="0.15">
      <c r="A22" s="14"/>
      <c r="B22" s="2"/>
      <c r="C22" s="2"/>
      <c r="D22" s="2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"/>
      <c r="AA22" s="7"/>
      <c r="AB22" s="15"/>
    </row>
    <row r="23" spans="1:28" ht="15" customHeight="1" x14ac:dyDescent="0.15">
      <c r="A23" s="14"/>
      <c r="B23" s="2"/>
      <c r="C23" s="2"/>
      <c r="D23" s="2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"/>
      <c r="AA23" s="7"/>
      <c r="AB23" s="15"/>
    </row>
    <row r="24" spans="1:28" ht="15" customHeight="1" x14ac:dyDescent="0.15">
      <c r="A24" s="14"/>
      <c r="B24" s="2"/>
      <c r="C24" s="2"/>
      <c r="D24" s="2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"/>
      <c r="AA24" s="7"/>
      <c r="AB24" s="15"/>
    </row>
    <row r="25" spans="1:28" ht="15" customHeight="1" x14ac:dyDescent="0.15">
      <c r="A25" s="14"/>
      <c r="B25" s="2"/>
      <c r="C25" s="2"/>
      <c r="D25" s="2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7"/>
      <c r="AA25" s="7"/>
      <c r="AB25" s="15"/>
    </row>
    <row r="26" spans="1:28" ht="15" customHeight="1" x14ac:dyDescent="0.15">
      <c r="A26" s="14"/>
      <c r="B26" s="2"/>
      <c r="C26" s="2"/>
      <c r="D26" s="2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7"/>
      <c r="AA26" s="7"/>
      <c r="AB26" s="15"/>
    </row>
    <row r="27" spans="1:28" ht="15" customHeight="1" x14ac:dyDescent="0.15">
      <c r="A27" s="14"/>
      <c r="B27" s="2"/>
      <c r="C27" s="2"/>
      <c r="D27" s="2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7"/>
      <c r="AA27" s="7"/>
      <c r="AB27" s="15"/>
    </row>
    <row r="28" spans="1:28" ht="15" customHeight="1" x14ac:dyDescent="0.15">
      <c r="A28" s="14"/>
      <c r="B28" s="2"/>
      <c r="C28" s="2"/>
      <c r="D28" s="2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7"/>
      <c r="AA28" s="7"/>
      <c r="AB28" s="15"/>
    </row>
    <row r="29" spans="1:28" ht="15" customHeight="1" x14ac:dyDescent="0.15">
      <c r="A29" s="14"/>
      <c r="B29" s="2"/>
      <c r="C29" s="2"/>
      <c r="D29" s="2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7"/>
      <c r="AA29" s="7"/>
      <c r="AB29" s="15"/>
    </row>
    <row r="30" spans="1:28" ht="15" customHeight="1" x14ac:dyDescent="0.15">
      <c r="A30" s="14"/>
      <c r="B30" s="2"/>
      <c r="C30" s="2"/>
      <c r="D30" s="2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7"/>
      <c r="AA30" s="7"/>
      <c r="AB30" s="15"/>
    </row>
    <row r="31" spans="1:28" ht="15" customHeight="1" x14ac:dyDescent="0.15">
      <c r="A31" s="14"/>
      <c r="B31" s="2"/>
      <c r="C31" s="2"/>
      <c r="D31" s="2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7"/>
      <c r="AA31" s="7"/>
      <c r="AB31" s="15"/>
    </row>
    <row r="32" spans="1:28" ht="15" customHeight="1" x14ac:dyDescent="0.15">
      <c r="A32" s="14"/>
      <c r="B32" s="2"/>
      <c r="C32" s="2"/>
      <c r="D32" s="2"/>
      <c r="E32" s="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7"/>
      <c r="AA32" s="7"/>
      <c r="AB32" s="15"/>
    </row>
    <row r="33" spans="1:28" ht="15" customHeight="1" x14ac:dyDescent="0.15">
      <c r="A33" s="14"/>
      <c r="B33" s="2"/>
      <c r="C33" s="2"/>
      <c r="D33" s="2"/>
      <c r="E33" s="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7"/>
      <c r="AA33" s="7"/>
      <c r="AB33" s="15"/>
    </row>
    <row r="34" spans="1:28" ht="15" customHeight="1" x14ac:dyDescent="0.15">
      <c r="A34" s="14"/>
      <c r="B34" s="2"/>
      <c r="C34" s="2"/>
      <c r="D34" s="2"/>
      <c r="E34" s="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7"/>
      <c r="AA34" s="7"/>
      <c r="AB34" s="15"/>
    </row>
    <row r="35" spans="1:28" ht="15" customHeight="1" x14ac:dyDescent="0.15">
      <c r="A35" s="14"/>
      <c r="B35" s="2"/>
      <c r="C35" s="2"/>
      <c r="D35" s="2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7"/>
      <c r="AA35" s="7"/>
      <c r="AB35" s="15"/>
    </row>
    <row r="36" spans="1:28" ht="15" customHeight="1" x14ac:dyDescent="0.15">
      <c r="A36" s="14"/>
      <c r="B36" s="2"/>
      <c r="C36" s="2"/>
      <c r="D36" s="2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7"/>
      <c r="AA36" s="7"/>
      <c r="AB36" s="15"/>
    </row>
    <row r="37" spans="1:28" ht="15" customHeight="1" x14ac:dyDescent="0.15">
      <c r="A37" s="14"/>
      <c r="B37" s="2"/>
      <c r="C37" s="2"/>
      <c r="D37" s="2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"/>
      <c r="AA37" s="7"/>
      <c r="AB37" s="15"/>
    </row>
    <row r="38" spans="1:28" ht="15" customHeight="1" x14ac:dyDescent="0.15">
      <c r="A38" s="14"/>
      <c r="B38" s="2"/>
      <c r="C38" s="2"/>
      <c r="D38" s="2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7"/>
      <c r="AA38" s="7"/>
      <c r="AB38" s="15"/>
    </row>
    <row r="39" spans="1:28" ht="15" customHeight="1" x14ac:dyDescent="0.15">
      <c r="A39" s="14"/>
      <c r="B39" s="2"/>
      <c r="C39" s="2"/>
      <c r="D39" s="2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7"/>
      <c r="AA39" s="7"/>
      <c r="AB39" s="15"/>
    </row>
    <row r="40" spans="1:28" ht="15" customHeight="1" x14ac:dyDescent="0.15">
      <c r="A40" s="14"/>
      <c r="B40" s="2"/>
      <c r="C40" s="2"/>
      <c r="D40" s="2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7"/>
      <c r="AA40" s="7"/>
      <c r="AB40" s="15"/>
    </row>
    <row r="41" spans="1:28" ht="15" customHeight="1" x14ac:dyDescent="0.15">
      <c r="A41" s="14"/>
      <c r="B41" s="2"/>
      <c r="C41" s="2"/>
      <c r="D41" s="2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  <c r="AA41" s="7"/>
      <c r="AB41" s="15"/>
    </row>
    <row r="42" spans="1:28" ht="15" customHeight="1" x14ac:dyDescent="0.15">
      <c r="A42" s="14"/>
      <c r="B42" s="2"/>
      <c r="C42" s="2"/>
      <c r="D42" s="2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15"/>
    </row>
    <row r="43" spans="1:28" ht="15" customHeight="1" x14ac:dyDescent="0.15">
      <c r="A43" s="14"/>
      <c r="B43" s="2"/>
      <c r="C43" s="2"/>
      <c r="D43" s="2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7"/>
      <c r="AA43" s="7"/>
      <c r="AB43" s="15"/>
    </row>
    <row r="44" spans="1:28" ht="15" customHeight="1" x14ac:dyDescent="0.15">
      <c r="A44" s="14"/>
      <c r="B44" s="2"/>
      <c r="C44" s="2"/>
      <c r="D44" s="2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7"/>
      <c r="AA44" s="7"/>
      <c r="AB44" s="15"/>
    </row>
    <row r="45" spans="1:28" ht="15" customHeight="1" x14ac:dyDescent="0.15">
      <c r="A45" s="16"/>
      <c r="B45" s="9"/>
      <c r="C45" s="9"/>
      <c r="D45" s="9"/>
      <c r="E45" s="10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2"/>
      <c r="AA45" s="12"/>
      <c r="AB45" s="17"/>
    </row>
    <row r="46" spans="1:28" ht="15" customHeight="1" x14ac:dyDescent="0.15">
      <c r="A46" s="18"/>
      <c r="B46" s="2"/>
      <c r="C46" s="2"/>
      <c r="D46" s="20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1"/>
      <c r="Z46" s="7"/>
      <c r="AA46" s="7"/>
      <c r="AB46" s="19"/>
    </row>
    <row r="47" spans="1:28" ht="15" customHeight="1" x14ac:dyDescent="0.15">
      <c r="A47" s="14" t="s">
        <v>4</v>
      </c>
      <c r="B47" s="2"/>
      <c r="C47" s="2"/>
      <c r="D47" s="22"/>
      <c r="E47" s="5"/>
      <c r="F47" s="6" t="s">
        <v>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3"/>
      <c r="Z47" s="7"/>
      <c r="AA47" s="7"/>
      <c r="AB47" s="15"/>
    </row>
    <row r="48" spans="1:28" ht="15" customHeight="1" x14ac:dyDescent="0.15">
      <c r="A48" s="60" t="s">
        <v>5</v>
      </c>
      <c r="B48" s="61"/>
      <c r="C48" s="61"/>
      <c r="D48" s="62"/>
      <c r="E48" s="5"/>
      <c r="F48" s="6"/>
      <c r="G48" s="5" t="s">
        <v>7</v>
      </c>
      <c r="H48" s="63">
        <v>16.786000000000001</v>
      </c>
      <c r="I48" s="61"/>
      <c r="J48" s="5" t="s">
        <v>8</v>
      </c>
      <c r="K48" s="63">
        <v>52.561</v>
      </c>
      <c r="L48" s="61"/>
      <c r="M48" s="5" t="s">
        <v>9</v>
      </c>
      <c r="N48" s="5" t="s">
        <v>10</v>
      </c>
      <c r="O48" s="5" t="s">
        <v>11</v>
      </c>
      <c r="P48" s="63">
        <v>12.456</v>
      </c>
      <c r="Q48" s="61"/>
      <c r="R48" s="5" t="s">
        <v>8</v>
      </c>
      <c r="S48" s="63">
        <v>48.231000000000002</v>
      </c>
      <c r="T48" s="61"/>
      <c r="U48" s="5" t="s">
        <v>12</v>
      </c>
      <c r="V48" s="5"/>
      <c r="W48" s="5"/>
      <c r="X48" s="5"/>
      <c r="Y48" s="23"/>
      <c r="Z48" s="7"/>
      <c r="AA48" s="7"/>
      <c r="AB48" s="15" t="s">
        <v>15</v>
      </c>
    </row>
    <row r="49" spans="1:28" ht="15" customHeight="1" x14ac:dyDescent="0.15">
      <c r="A49" s="14"/>
      <c r="B49" s="2"/>
      <c r="C49" s="2"/>
      <c r="D49" s="22"/>
      <c r="E49" s="5"/>
      <c r="F49" s="6"/>
      <c r="G49" s="5" t="s">
        <v>13</v>
      </c>
      <c r="H49" s="8">
        <v>2</v>
      </c>
      <c r="I49" s="5" t="s">
        <v>9</v>
      </c>
      <c r="J49" s="5" t="s">
        <v>8</v>
      </c>
      <c r="K49" s="63">
        <v>2.165</v>
      </c>
      <c r="L49" s="61"/>
      <c r="M49" s="5"/>
      <c r="N49" s="5"/>
      <c r="O49" s="5"/>
      <c r="P49" s="5"/>
      <c r="Q49" s="5"/>
      <c r="R49" s="5"/>
      <c r="S49" s="5"/>
      <c r="T49" s="5"/>
      <c r="U49" s="5"/>
      <c r="V49" s="5" t="s">
        <v>14</v>
      </c>
      <c r="W49" s="63">
        <f>ROUND((((H48*K48)+(P48*S48))/H49)*K49, 3)</f>
        <v>1605.4059999999999</v>
      </c>
      <c r="X49" s="61"/>
      <c r="Y49" s="62"/>
      <c r="Z49" s="57">
        <f>ROUND(SUM(W49:X49), 3)</f>
        <v>1605.4059999999999</v>
      </c>
      <c r="AA49" s="58"/>
      <c r="AB49" s="59"/>
    </row>
    <row r="50" spans="1:28" ht="15" customHeight="1" x14ac:dyDescent="0.15">
      <c r="A50" s="16"/>
      <c r="B50" s="9"/>
      <c r="C50" s="9"/>
      <c r="D50" s="24"/>
      <c r="E50" s="10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25"/>
      <c r="Z50" s="12"/>
      <c r="AA50" s="12"/>
      <c r="AB50" s="17"/>
    </row>
    <row r="51" spans="1:28" ht="15" customHeight="1" x14ac:dyDescent="0.15">
      <c r="A51" s="18"/>
      <c r="B51" s="2"/>
      <c r="C51" s="2"/>
      <c r="D51" s="20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1"/>
      <c r="Z51" s="7"/>
      <c r="AA51" s="7"/>
      <c r="AB51" s="19"/>
    </row>
    <row r="52" spans="1:28" ht="15" customHeight="1" x14ac:dyDescent="0.15">
      <c r="A52" s="14" t="s">
        <v>16</v>
      </c>
      <c r="B52" s="2"/>
      <c r="C52" s="2"/>
      <c r="D52" s="22"/>
      <c r="E52" s="5"/>
      <c r="F52" s="6" t="s">
        <v>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3"/>
      <c r="Z52" s="7"/>
      <c r="AA52" s="7"/>
      <c r="AB52" s="15"/>
    </row>
    <row r="53" spans="1:28" ht="15" customHeight="1" x14ac:dyDescent="0.15">
      <c r="A53" s="60" t="s">
        <v>17</v>
      </c>
      <c r="B53" s="61"/>
      <c r="C53" s="61"/>
      <c r="D53" s="62"/>
      <c r="E53" s="5"/>
      <c r="F53" s="6"/>
      <c r="G53" s="5" t="s">
        <v>7</v>
      </c>
      <c r="H53" s="63">
        <v>12.456</v>
      </c>
      <c r="I53" s="61"/>
      <c r="J53" s="5" t="s">
        <v>8</v>
      </c>
      <c r="K53" s="63">
        <v>48.231000000000002</v>
      </c>
      <c r="L53" s="61"/>
      <c r="M53" s="5" t="s">
        <v>9</v>
      </c>
      <c r="N53" s="5" t="s">
        <v>10</v>
      </c>
      <c r="O53" s="5" t="s">
        <v>11</v>
      </c>
      <c r="P53" s="63">
        <v>11.656000000000001</v>
      </c>
      <c r="Q53" s="61"/>
      <c r="R53" s="5" t="s">
        <v>8</v>
      </c>
      <c r="S53" s="63">
        <v>47.430999999999997</v>
      </c>
      <c r="T53" s="61"/>
      <c r="U53" s="5" t="s">
        <v>12</v>
      </c>
      <c r="V53" s="5"/>
      <c r="W53" s="5"/>
      <c r="X53" s="5"/>
      <c r="Y53" s="23"/>
      <c r="Z53" s="7"/>
      <c r="AA53" s="7"/>
      <c r="AB53" s="15"/>
    </row>
    <row r="54" spans="1:28" ht="15" customHeight="1" x14ac:dyDescent="0.15">
      <c r="A54" s="14"/>
      <c r="B54" s="2"/>
      <c r="C54" s="2"/>
      <c r="D54" s="22"/>
      <c r="E54" s="5"/>
      <c r="F54" s="6"/>
      <c r="G54" s="5" t="s">
        <v>13</v>
      </c>
      <c r="H54" s="8">
        <v>2</v>
      </c>
      <c r="I54" s="5" t="s">
        <v>9</v>
      </c>
      <c r="J54" s="5" t="s">
        <v>8</v>
      </c>
      <c r="K54" s="63">
        <v>0.4</v>
      </c>
      <c r="L54" s="61"/>
      <c r="M54" s="5"/>
      <c r="N54" s="5"/>
      <c r="O54" s="5"/>
      <c r="P54" s="5"/>
      <c r="Q54" s="5"/>
      <c r="R54" s="5"/>
      <c r="S54" s="5"/>
      <c r="T54" s="5"/>
      <c r="U54" s="5"/>
      <c r="V54" s="5" t="s">
        <v>14</v>
      </c>
      <c r="W54" s="63">
        <f>ROUND((((H53*K53)+(P53*S53))/H54)*K54, 3)</f>
        <v>230.72399999999999</v>
      </c>
      <c r="X54" s="61"/>
      <c r="Y54" s="62"/>
      <c r="Z54" s="7"/>
      <c r="AA54" s="7"/>
      <c r="AB54" s="15"/>
    </row>
    <row r="55" spans="1:28" ht="15" customHeight="1" x14ac:dyDescent="0.15">
      <c r="A55" s="14"/>
      <c r="B55" s="2"/>
      <c r="C55" s="2"/>
      <c r="D55" s="22"/>
      <c r="E55" s="5"/>
      <c r="F55" s="6"/>
      <c r="G55" s="5" t="s">
        <v>7</v>
      </c>
      <c r="H55" s="63">
        <v>11.656000000000001</v>
      </c>
      <c r="I55" s="61"/>
      <c r="J55" s="5" t="s">
        <v>8</v>
      </c>
      <c r="K55" s="63">
        <v>47.430999999999997</v>
      </c>
      <c r="L55" s="61"/>
      <c r="M55" s="5" t="s">
        <v>9</v>
      </c>
      <c r="N55" s="5" t="s">
        <v>10</v>
      </c>
      <c r="O55" s="5" t="s">
        <v>11</v>
      </c>
      <c r="P55" s="63">
        <v>8.7859999999999996</v>
      </c>
      <c r="Q55" s="61"/>
      <c r="R55" s="5" t="s">
        <v>8</v>
      </c>
      <c r="S55" s="63">
        <v>44.561</v>
      </c>
      <c r="T55" s="61"/>
      <c r="U55" s="5" t="s">
        <v>12</v>
      </c>
      <c r="V55" s="5"/>
      <c r="W55" s="5"/>
      <c r="X55" s="5"/>
      <c r="Y55" s="23"/>
      <c r="Z55" s="7"/>
      <c r="AA55" s="7"/>
      <c r="AB55" s="15" t="s">
        <v>15</v>
      </c>
    </row>
    <row r="56" spans="1:28" ht="15" customHeight="1" x14ac:dyDescent="0.15">
      <c r="A56" s="14"/>
      <c r="B56" s="2"/>
      <c r="C56" s="2"/>
      <c r="D56" s="22"/>
      <c r="E56" s="5"/>
      <c r="F56" s="6"/>
      <c r="G56" s="5" t="s">
        <v>13</v>
      </c>
      <c r="H56" s="8">
        <v>2</v>
      </c>
      <c r="I56" s="5" t="s">
        <v>9</v>
      </c>
      <c r="J56" s="5" t="s">
        <v>8</v>
      </c>
      <c r="K56" s="63">
        <v>1.4350000000000001</v>
      </c>
      <c r="L56" s="61"/>
      <c r="M56" s="5"/>
      <c r="N56" s="5"/>
      <c r="O56" s="5"/>
      <c r="P56" s="5"/>
      <c r="Q56" s="5"/>
      <c r="R56" s="5"/>
      <c r="S56" s="5"/>
      <c r="T56" s="5"/>
      <c r="U56" s="5"/>
      <c r="V56" s="5" t="s">
        <v>14</v>
      </c>
      <c r="W56" s="63">
        <f>ROUND((((H55*K55)+(P55*S55))/H56)*K56, 3)</f>
        <v>677.58500000000004</v>
      </c>
      <c r="X56" s="61"/>
      <c r="Y56" s="62"/>
      <c r="Z56" s="57">
        <f>ROUND(SUM(W54:Y56), 3)</f>
        <v>908.30899999999997</v>
      </c>
      <c r="AA56" s="58"/>
      <c r="AB56" s="59"/>
    </row>
    <row r="57" spans="1:28" ht="15" customHeight="1" x14ac:dyDescent="0.15">
      <c r="A57" s="14"/>
      <c r="B57" s="2"/>
      <c r="C57" s="2"/>
      <c r="D57" s="22"/>
      <c r="E57" s="5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3"/>
      <c r="Z57" s="7"/>
      <c r="AA57" s="7"/>
      <c r="AB57" s="15"/>
    </row>
    <row r="58" spans="1:28" ht="15" customHeight="1" x14ac:dyDescent="0.15">
      <c r="A58" s="14"/>
      <c r="B58" s="2"/>
      <c r="C58" s="2"/>
      <c r="D58" s="22"/>
      <c r="E58" s="5"/>
      <c r="F58" s="6" t="s">
        <v>18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3"/>
      <c r="Z58" s="7"/>
      <c r="AA58" s="7"/>
      <c r="AB58" s="15"/>
    </row>
    <row r="59" spans="1:28" ht="15" customHeight="1" x14ac:dyDescent="0.15">
      <c r="A59" s="14"/>
      <c r="B59" s="2"/>
      <c r="C59" s="2"/>
      <c r="D59" s="22"/>
      <c r="E59" s="5"/>
      <c r="F59" s="6"/>
      <c r="G59" s="5" t="s">
        <v>7</v>
      </c>
      <c r="H59" s="63">
        <v>8.7859999999999996</v>
      </c>
      <c r="I59" s="61"/>
      <c r="J59" s="5" t="s">
        <v>8</v>
      </c>
      <c r="K59" s="63">
        <v>44.561</v>
      </c>
      <c r="L59" s="61"/>
      <c r="M59" s="5" t="s">
        <v>9</v>
      </c>
      <c r="N59" s="5" t="s">
        <v>10</v>
      </c>
      <c r="O59" s="5" t="s">
        <v>11</v>
      </c>
      <c r="P59" s="63">
        <v>7.8</v>
      </c>
      <c r="Q59" s="61"/>
      <c r="R59" s="5" t="s">
        <v>8</v>
      </c>
      <c r="S59" s="63">
        <v>43.575000000000003</v>
      </c>
      <c r="T59" s="61"/>
      <c r="U59" s="5" t="s">
        <v>12</v>
      </c>
      <c r="V59" s="5"/>
      <c r="W59" s="5"/>
      <c r="X59" s="5"/>
      <c r="Y59" s="23"/>
      <c r="Z59" s="7"/>
      <c r="AA59" s="7"/>
      <c r="AB59" s="15" t="s">
        <v>15</v>
      </c>
    </row>
    <row r="60" spans="1:28" ht="15" customHeight="1" x14ac:dyDescent="0.15">
      <c r="A60" s="14"/>
      <c r="B60" s="2"/>
      <c r="C60" s="2"/>
      <c r="D60" s="22"/>
      <c r="E60" s="5"/>
      <c r="F60" s="6"/>
      <c r="G60" s="5" t="s">
        <v>13</v>
      </c>
      <c r="H60" s="8">
        <v>2</v>
      </c>
      <c r="I60" s="5" t="s">
        <v>9</v>
      </c>
      <c r="J60" s="5" t="s">
        <v>8</v>
      </c>
      <c r="K60" s="63">
        <v>0.49299999999999999</v>
      </c>
      <c r="L60" s="61"/>
      <c r="M60" s="5"/>
      <c r="N60" s="5"/>
      <c r="O60" s="5"/>
      <c r="P60" s="5"/>
      <c r="Q60" s="5"/>
      <c r="R60" s="5"/>
      <c r="S60" s="5"/>
      <c r="T60" s="5"/>
      <c r="U60" s="5"/>
      <c r="V60" s="5" t="s">
        <v>14</v>
      </c>
      <c r="W60" s="63">
        <f>ROUND((((H59*K59)+(P59*S59))/H60)*K60, 3)</f>
        <v>180.29</v>
      </c>
      <c r="X60" s="61"/>
      <c r="Y60" s="62"/>
      <c r="Z60" s="57">
        <f>ROUND(SUM(W60:X60), 3)</f>
        <v>180.29</v>
      </c>
      <c r="AA60" s="58"/>
      <c r="AB60" s="59"/>
    </row>
    <row r="61" spans="1:28" ht="15" customHeight="1" x14ac:dyDescent="0.15">
      <c r="A61" s="16"/>
      <c r="B61" s="9"/>
      <c r="C61" s="9"/>
      <c r="D61" s="24"/>
      <c r="E61" s="10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25"/>
      <c r="Z61" s="12"/>
      <c r="AA61" s="12"/>
      <c r="AB61" s="17"/>
    </row>
    <row r="62" spans="1:28" ht="15" customHeight="1" x14ac:dyDescent="0.15">
      <c r="A62" s="18"/>
      <c r="B62" s="2"/>
      <c r="C62" s="2"/>
      <c r="D62" s="20"/>
      <c r="E62" s="5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1"/>
      <c r="Z62" s="7"/>
      <c r="AA62" s="7"/>
      <c r="AB62" s="19"/>
    </row>
    <row r="63" spans="1:28" ht="15" customHeight="1" x14ac:dyDescent="0.15">
      <c r="A63" s="14" t="s">
        <v>19</v>
      </c>
      <c r="B63" s="2"/>
      <c r="C63" s="2"/>
      <c r="D63" s="22"/>
      <c r="E63" s="5"/>
      <c r="F63" s="6"/>
      <c r="G63" s="6" t="s">
        <v>20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3"/>
      <c r="Z63" s="7"/>
      <c r="AA63" s="7"/>
      <c r="AB63" s="15"/>
    </row>
    <row r="64" spans="1:28" ht="15" customHeight="1" x14ac:dyDescent="0.15">
      <c r="A64" s="14"/>
      <c r="B64" s="2"/>
      <c r="C64" s="2"/>
      <c r="D64" s="22"/>
      <c r="E64" s="5"/>
      <c r="F64" s="6"/>
      <c r="G64" s="6" t="s">
        <v>21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3"/>
      <c r="Z64" s="7"/>
      <c r="AA64" s="7"/>
      <c r="AB64" s="15"/>
    </row>
    <row r="65" spans="1:28" ht="15" customHeight="1" x14ac:dyDescent="0.15">
      <c r="A65" s="14"/>
      <c r="B65" s="2"/>
      <c r="C65" s="2"/>
      <c r="D65" s="22"/>
      <c r="E65" s="5"/>
      <c r="F65" s="6"/>
      <c r="G65" s="6" t="s">
        <v>22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23"/>
      <c r="Z65" s="7"/>
      <c r="AA65" s="7"/>
      <c r="AB65" s="15"/>
    </row>
    <row r="66" spans="1:28" ht="15" customHeight="1" x14ac:dyDescent="0.15">
      <c r="A66" s="14"/>
      <c r="B66" s="2"/>
      <c r="C66" s="2"/>
      <c r="D66" s="22"/>
      <c r="E66" s="5"/>
      <c r="F66" s="6"/>
      <c r="G66" s="6" t="s">
        <v>23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23"/>
      <c r="Z66" s="7"/>
      <c r="AA66" s="7"/>
      <c r="AB66" s="15"/>
    </row>
    <row r="67" spans="1:28" ht="15" customHeight="1" x14ac:dyDescent="0.15">
      <c r="A67" s="14"/>
      <c r="B67" s="2"/>
      <c r="C67" s="2"/>
      <c r="D67" s="22"/>
      <c r="E67" s="5"/>
      <c r="F67" s="6"/>
      <c r="G67" s="6" t="s">
        <v>53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23"/>
      <c r="Z67" s="7"/>
      <c r="AA67" s="7"/>
      <c r="AB67" s="15"/>
    </row>
    <row r="68" spans="1:28" ht="15" customHeight="1" x14ac:dyDescent="0.15">
      <c r="A68" s="14"/>
      <c r="B68" s="2"/>
      <c r="C68" s="2"/>
      <c r="D68" s="22"/>
      <c r="E68" s="5"/>
      <c r="F68" s="6"/>
      <c r="G68" s="6" t="s">
        <v>25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23"/>
      <c r="Z68" s="7"/>
      <c r="AA68" s="7"/>
      <c r="AB68" s="15"/>
    </row>
    <row r="69" spans="1:28" ht="15" customHeight="1" x14ac:dyDescent="0.15">
      <c r="A69" s="14"/>
      <c r="B69" s="2"/>
      <c r="C69" s="2"/>
      <c r="D69" s="22"/>
      <c r="E69" s="5"/>
      <c r="F69" s="6"/>
      <c r="G69" s="6" t="s">
        <v>26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23"/>
      <c r="Z69" s="7"/>
      <c r="AA69" s="7"/>
      <c r="AB69" s="15"/>
    </row>
    <row r="70" spans="1:28" ht="15" customHeight="1" x14ac:dyDescent="0.15">
      <c r="A70" s="14"/>
      <c r="B70" s="2"/>
      <c r="C70" s="2"/>
      <c r="D70" s="22"/>
      <c r="E70" s="5"/>
      <c r="F70" s="6"/>
      <c r="G70" s="6" t="s">
        <v>23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23"/>
      <c r="Z70" s="7"/>
      <c r="AA70" s="7"/>
      <c r="AB70" s="15"/>
    </row>
    <row r="71" spans="1:28" ht="15" customHeight="1" x14ac:dyDescent="0.15">
      <c r="A71" s="14"/>
      <c r="B71" s="2"/>
      <c r="C71" s="2"/>
      <c r="D71" s="22"/>
      <c r="E71" s="5"/>
      <c r="F71" s="6"/>
      <c r="G71" s="6" t="s">
        <v>54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23"/>
      <c r="Z71" s="7"/>
      <c r="AA71" s="7"/>
      <c r="AB71" s="15"/>
    </row>
    <row r="72" spans="1:28" ht="15" customHeight="1" x14ac:dyDescent="0.15">
      <c r="A72" s="14"/>
      <c r="B72" s="2"/>
      <c r="C72" s="2"/>
      <c r="D72" s="22"/>
      <c r="E72" s="5"/>
      <c r="F72" s="6"/>
      <c r="G72" s="6" t="s">
        <v>28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23"/>
      <c r="Z72" s="7"/>
      <c r="AA72" s="7"/>
      <c r="AB72" s="15"/>
    </row>
    <row r="73" spans="1:28" ht="15" customHeight="1" x14ac:dyDescent="0.15">
      <c r="A73" s="14"/>
      <c r="B73" s="2"/>
      <c r="C73" s="2"/>
      <c r="D73" s="22"/>
      <c r="E73" s="5"/>
      <c r="F73" s="6"/>
      <c r="G73" s="6" t="s">
        <v>55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23"/>
      <c r="Z73" s="7"/>
      <c r="AA73" s="7"/>
      <c r="AB73" s="15"/>
    </row>
    <row r="74" spans="1:28" ht="15" customHeight="1" x14ac:dyDescent="0.15">
      <c r="A74" s="14"/>
      <c r="B74" s="2"/>
      <c r="C74" s="2"/>
      <c r="D74" s="22"/>
      <c r="E74" s="5"/>
      <c r="F74" s="6"/>
      <c r="G74" s="6" t="s">
        <v>30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23"/>
      <c r="Z74" s="7"/>
      <c r="AA74" s="7"/>
      <c r="AB74" s="15"/>
    </row>
    <row r="75" spans="1:28" ht="15" customHeight="1" x14ac:dyDescent="0.15">
      <c r="A75" s="14"/>
      <c r="B75" s="2"/>
      <c r="C75" s="2"/>
      <c r="D75" s="22"/>
      <c r="E75" s="5"/>
      <c r="F75" s="6"/>
      <c r="G75" s="6" t="s">
        <v>31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23"/>
      <c r="Z75" s="7"/>
      <c r="AA75" s="7"/>
      <c r="AB75" s="15" t="s">
        <v>33</v>
      </c>
    </row>
    <row r="76" spans="1:28" ht="15" customHeight="1" x14ac:dyDescent="0.15">
      <c r="A76" s="14"/>
      <c r="B76" s="2"/>
      <c r="C76" s="2"/>
      <c r="D76" s="22"/>
      <c r="E76" s="5"/>
      <c r="F76" s="6" t="s">
        <v>56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23"/>
      <c r="Z76" s="57">
        <v>199.02600000000001</v>
      </c>
      <c r="AA76" s="58"/>
      <c r="AB76" s="59"/>
    </row>
    <row r="77" spans="1:28" ht="15" customHeight="1" x14ac:dyDescent="0.15">
      <c r="A77" s="16"/>
      <c r="B77" s="9"/>
      <c r="C77" s="9"/>
      <c r="D77" s="24"/>
      <c r="E77" s="10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25"/>
      <c r="Z77" s="12"/>
      <c r="AA77" s="12"/>
      <c r="AB77" s="17"/>
    </row>
    <row r="78" spans="1:28" ht="15" customHeight="1" x14ac:dyDescent="0.15">
      <c r="A78" s="18"/>
      <c r="B78" s="2"/>
      <c r="C78" s="2"/>
      <c r="D78" s="20"/>
      <c r="E78" s="5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21"/>
      <c r="Z78" s="7"/>
      <c r="AA78" s="7"/>
      <c r="AB78" s="19"/>
    </row>
    <row r="79" spans="1:28" ht="15" customHeight="1" x14ac:dyDescent="0.15">
      <c r="A79" s="14" t="s">
        <v>34</v>
      </c>
      <c r="B79" s="2"/>
      <c r="C79" s="2"/>
      <c r="D79" s="22"/>
      <c r="E79" s="5"/>
      <c r="F79" s="6" t="s">
        <v>35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23"/>
      <c r="Z79" s="7"/>
      <c r="AA79" s="7"/>
      <c r="AB79" s="15"/>
    </row>
    <row r="80" spans="1:28" ht="15" customHeight="1" x14ac:dyDescent="0.15">
      <c r="A80" s="14"/>
      <c r="B80" s="2"/>
      <c r="C80" s="2"/>
      <c r="D80" s="22"/>
      <c r="E80" s="5"/>
      <c r="F80" s="6"/>
      <c r="G80" s="5" t="s">
        <v>7</v>
      </c>
      <c r="H80" s="63">
        <v>0.5</v>
      </c>
      <c r="I80" s="61"/>
      <c r="J80" s="5" t="s">
        <v>10</v>
      </c>
      <c r="K80" s="63">
        <v>5.57</v>
      </c>
      <c r="L80" s="61"/>
      <c r="M80" s="5" t="s">
        <v>9</v>
      </c>
      <c r="N80" s="5" t="s">
        <v>13</v>
      </c>
      <c r="O80" s="8">
        <v>2</v>
      </c>
      <c r="P80" s="5" t="s">
        <v>8</v>
      </c>
      <c r="Q80" s="63">
        <v>5.07</v>
      </c>
      <c r="R80" s="61"/>
      <c r="S80" s="5" t="s">
        <v>9</v>
      </c>
      <c r="T80" s="5" t="s">
        <v>8</v>
      </c>
      <c r="U80" s="5"/>
      <c r="V80" s="5"/>
      <c r="W80" s="5"/>
      <c r="X80" s="5"/>
      <c r="Y80" s="23"/>
      <c r="Z80" s="7"/>
      <c r="AA80" s="7"/>
      <c r="AB80" s="15"/>
    </row>
    <row r="81" spans="1:28" ht="15" customHeight="1" x14ac:dyDescent="0.15">
      <c r="A81" s="14"/>
      <c r="B81" s="2"/>
      <c r="C81" s="2"/>
      <c r="D81" s="22"/>
      <c r="E81" s="5"/>
      <c r="F81" s="6"/>
      <c r="G81" s="63">
        <v>41.575000000000003</v>
      </c>
      <c r="H81" s="61"/>
      <c r="I81" s="5" t="s">
        <v>9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">
        <v>14</v>
      </c>
      <c r="W81" s="63">
        <f>ROUND((((H80+K80)/O80*Q80)*G81), 3)</f>
        <v>639.73299999999995</v>
      </c>
      <c r="X81" s="61"/>
      <c r="Y81" s="62"/>
      <c r="Z81" s="7"/>
      <c r="AA81" s="7"/>
      <c r="AB81" s="15"/>
    </row>
    <row r="82" spans="1:28" ht="15" customHeight="1" x14ac:dyDescent="0.15">
      <c r="A82" s="14"/>
      <c r="B82" s="2"/>
      <c r="C82" s="2"/>
      <c r="D82" s="22"/>
      <c r="E82" s="5"/>
      <c r="F82" s="6" t="s">
        <v>36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23"/>
      <c r="Z82" s="7"/>
      <c r="AA82" s="7"/>
      <c r="AB82" s="15"/>
    </row>
    <row r="83" spans="1:28" ht="15" customHeight="1" x14ac:dyDescent="0.15">
      <c r="A83" s="14"/>
      <c r="B83" s="2"/>
      <c r="C83" s="2"/>
      <c r="D83" s="22"/>
      <c r="E83" s="5"/>
      <c r="F83" s="6"/>
      <c r="G83" s="13" t="s">
        <v>57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 t="s">
        <v>14</v>
      </c>
      <c r="W83" s="63">
        <v>-12.539</v>
      </c>
      <c r="X83" s="61"/>
      <c r="Y83" s="62"/>
      <c r="Z83" s="7"/>
      <c r="AA83" s="7"/>
      <c r="AB83" s="15"/>
    </row>
    <row r="84" spans="1:28" ht="15" customHeight="1" x14ac:dyDescent="0.15">
      <c r="A84" s="14"/>
      <c r="B84" s="2"/>
      <c r="C84" s="2"/>
      <c r="D84" s="22"/>
      <c r="E84" s="5"/>
      <c r="F84" s="6" t="s">
        <v>38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23"/>
      <c r="Z84" s="7"/>
      <c r="AA84" s="7"/>
      <c r="AB84" s="15"/>
    </row>
    <row r="85" spans="1:28" ht="15" customHeight="1" x14ac:dyDescent="0.15">
      <c r="A85" s="14"/>
      <c r="B85" s="2"/>
      <c r="C85" s="2"/>
      <c r="D85" s="22"/>
      <c r="E85" s="5"/>
      <c r="F85" s="6"/>
      <c r="G85" s="5" t="s">
        <v>7</v>
      </c>
      <c r="H85" s="63">
        <v>0.27300000000000002</v>
      </c>
      <c r="I85" s="61"/>
      <c r="J85" s="5" t="s">
        <v>10</v>
      </c>
      <c r="K85" s="63">
        <v>0.57299999999999995</v>
      </c>
      <c r="L85" s="61"/>
      <c r="M85" s="5" t="s">
        <v>9</v>
      </c>
      <c r="N85" s="5" t="s">
        <v>13</v>
      </c>
      <c r="O85" s="8">
        <v>2</v>
      </c>
      <c r="P85" s="5" t="s">
        <v>8</v>
      </c>
      <c r="Q85" s="63">
        <v>0.3</v>
      </c>
      <c r="R85" s="61"/>
      <c r="S85" s="5" t="s">
        <v>9</v>
      </c>
      <c r="T85" s="5" t="s">
        <v>8</v>
      </c>
      <c r="U85" s="5"/>
      <c r="V85" s="5"/>
      <c r="W85" s="5"/>
      <c r="X85" s="5"/>
      <c r="Y85" s="23"/>
      <c r="Z85" s="7"/>
      <c r="AA85" s="7"/>
      <c r="AB85" s="15" t="s">
        <v>15</v>
      </c>
    </row>
    <row r="86" spans="1:28" ht="15" customHeight="1" x14ac:dyDescent="0.15">
      <c r="A86" s="14"/>
      <c r="B86" s="2"/>
      <c r="C86" s="2"/>
      <c r="D86" s="22"/>
      <c r="E86" s="5"/>
      <c r="F86" s="6"/>
      <c r="G86" s="63">
        <v>41.575000000000003</v>
      </c>
      <c r="H86" s="61"/>
      <c r="I86" s="5" t="s">
        <v>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s">
        <v>14</v>
      </c>
      <c r="W86" s="63">
        <f>-ROUND((((H85+K85)/O85*Q85)*G86), 3)</f>
        <v>-5.2759999999999998</v>
      </c>
      <c r="X86" s="61"/>
      <c r="Y86" s="62"/>
      <c r="Z86" s="57">
        <f>ROUND(SUM(W81:Y86), 3)</f>
        <v>621.91800000000001</v>
      </c>
      <c r="AA86" s="58"/>
      <c r="AB86" s="59"/>
    </row>
    <row r="87" spans="1:28" ht="15" customHeight="1" x14ac:dyDescent="0.15">
      <c r="A87" s="14"/>
      <c r="B87" s="2"/>
      <c r="C87" s="2"/>
      <c r="D87" s="22"/>
      <c r="E87" s="5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23"/>
      <c r="Z87" s="7"/>
      <c r="AA87" s="7"/>
      <c r="AB87" s="15"/>
    </row>
    <row r="88" spans="1:28" ht="15" customHeight="1" x14ac:dyDescent="0.15">
      <c r="A88" s="16"/>
      <c r="B88" s="9"/>
      <c r="C88" s="9"/>
      <c r="D88" s="24"/>
      <c r="E88" s="10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25"/>
      <c r="Z88" s="12"/>
      <c r="AA88" s="12"/>
      <c r="AB88" s="17"/>
    </row>
    <row r="89" spans="1:28" ht="15" customHeight="1" x14ac:dyDescent="0.15">
      <c r="A89" s="18"/>
      <c r="B89" s="2"/>
      <c r="C89" s="2"/>
      <c r="D89" s="20"/>
      <c r="E89" s="5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1"/>
      <c r="Z89" s="7"/>
      <c r="AA89" s="7"/>
      <c r="AB89" s="19"/>
    </row>
    <row r="90" spans="1:28" ht="15" customHeight="1" x14ac:dyDescent="0.15">
      <c r="A90" s="14" t="s">
        <v>39</v>
      </c>
      <c r="B90" s="2"/>
      <c r="C90" s="2"/>
      <c r="D90" s="22"/>
      <c r="E90" s="5"/>
      <c r="F90" s="6" t="s">
        <v>40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23"/>
      <c r="Z90" s="7"/>
      <c r="AA90" s="7"/>
      <c r="AB90" s="15"/>
    </row>
    <row r="91" spans="1:28" ht="15" customHeight="1" x14ac:dyDescent="0.15">
      <c r="A91" s="14"/>
      <c r="B91" s="2"/>
      <c r="C91" s="2"/>
      <c r="D91" s="22"/>
      <c r="E91" s="5"/>
      <c r="F91" s="6" t="s">
        <v>41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23"/>
      <c r="Z91" s="7"/>
      <c r="AA91" s="7"/>
      <c r="AB91" s="15"/>
    </row>
    <row r="92" spans="1:28" ht="15" customHeight="1" x14ac:dyDescent="0.15">
      <c r="A92" s="14"/>
      <c r="B92" s="2"/>
      <c r="C92" s="2"/>
      <c r="D92" s="22"/>
      <c r="E92" s="5"/>
      <c r="F92" s="6"/>
      <c r="G92" s="64">
        <f>ROUND(W49+W54+W56+W60, 3)</f>
        <v>2694.0050000000001</v>
      </c>
      <c r="H92" s="61"/>
      <c r="I92" s="6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">
        <v>14</v>
      </c>
      <c r="W92" s="63">
        <f>ROUND(G92, 3)</f>
        <v>2694.0050000000001</v>
      </c>
      <c r="X92" s="61"/>
      <c r="Y92" s="62"/>
      <c r="Z92" s="7"/>
      <c r="AA92" s="7"/>
      <c r="AB92" s="15"/>
    </row>
    <row r="93" spans="1:28" ht="15" customHeight="1" x14ac:dyDescent="0.15">
      <c r="A93" s="14"/>
      <c r="B93" s="2"/>
      <c r="C93" s="2"/>
      <c r="D93" s="22"/>
      <c r="E93" s="5"/>
      <c r="F93" s="6" t="s">
        <v>42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23"/>
      <c r="Z93" s="7"/>
      <c r="AA93" s="7"/>
      <c r="AB93" s="15"/>
    </row>
    <row r="94" spans="1:28" ht="15" customHeight="1" x14ac:dyDescent="0.15">
      <c r="A94" s="14"/>
      <c r="B94" s="2"/>
      <c r="C94" s="2"/>
      <c r="D94" s="22"/>
      <c r="E94" s="5"/>
      <c r="F94" s="6" t="s">
        <v>58</v>
      </c>
      <c r="G94" s="63">
        <v>41.575000000000003</v>
      </c>
      <c r="H94" s="61"/>
      <c r="I94" s="5" t="s">
        <v>8</v>
      </c>
      <c r="J94" s="63">
        <v>5.8</v>
      </c>
      <c r="K94" s="61"/>
      <c r="L94" s="5" t="s">
        <v>8</v>
      </c>
      <c r="M94" s="63">
        <v>1</v>
      </c>
      <c r="N94" s="61"/>
      <c r="O94" s="5"/>
      <c r="P94" s="5"/>
      <c r="Q94" s="5"/>
      <c r="R94" s="5"/>
      <c r="S94" s="5"/>
      <c r="T94" s="5"/>
      <c r="U94" s="5"/>
      <c r="V94" s="5" t="s">
        <v>14</v>
      </c>
      <c r="W94" s="63">
        <f>-ROUND(G94*J94*M94, 3)</f>
        <v>-241.13499999999999</v>
      </c>
      <c r="X94" s="61"/>
      <c r="Y94" s="62"/>
      <c r="Z94" s="7"/>
      <c r="AA94" s="7"/>
      <c r="AB94" s="15"/>
    </row>
    <row r="95" spans="1:28" ht="15" customHeight="1" x14ac:dyDescent="0.15">
      <c r="A95" s="14"/>
      <c r="B95" s="2"/>
      <c r="C95" s="2"/>
      <c r="D95" s="22"/>
      <c r="E95" s="5"/>
      <c r="F95" s="6" t="s">
        <v>59</v>
      </c>
      <c r="G95" s="63">
        <v>1</v>
      </c>
      <c r="H95" s="61"/>
      <c r="I95" s="5" t="s">
        <v>8</v>
      </c>
      <c r="J95" s="63">
        <v>3.3929999999999998</v>
      </c>
      <c r="K95" s="61"/>
      <c r="L95" s="5" t="s">
        <v>8</v>
      </c>
      <c r="M95" s="63">
        <v>41.575000000000003</v>
      </c>
      <c r="N95" s="61"/>
      <c r="O95" s="5"/>
      <c r="P95" s="5"/>
      <c r="Q95" s="5"/>
      <c r="R95" s="5"/>
      <c r="S95" s="5"/>
      <c r="T95" s="5"/>
      <c r="U95" s="5"/>
      <c r="V95" s="5" t="s">
        <v>14</v>
      </c>
      <c r="W95" s="63">
        <f>-ROUND(G95*J95*M95, 3)</f>
        <v>-141.06399999999999</v>
      </c>
      <c r="X95" s="61"/>
      <c r="Y95" s="62"/>
      <c r="Z95" s="7"/>
      <c r="AA95" s="7"/>
      <c r="AB95" s="15"/>
    </row>
    <row r="96" spans="1:28" ht="15" customHeight="1" x14ac:dyDescent="0.15">
      <c r="A96" s="14"/>
      <c r="B96" s="2"/>
      <c r="C96" s="2"/>
      <c r="D96" s="22"/>
      <c r="E96" s="5"/>
      <c r="F96" s="6" t="s">
        <v>60</v>
      </c>
      <c r="G96" s="63">
        <v>41.774999999999999</v>
      </c>
      <c r="H96" s="61"/>
      <c r="I96" s="5" t="s">
        <v>8</v>
      </c>
      <c r="J96" s="63">
        <v>6</v>
      </c>
      <c r="K96" s="61"/>
      <c r="L96" s="5" t="s">
        <v>8</v>
      </c>
      <c r="M96" s="63">
        <v>0.1</v>
      </c>
      <c r="N96" s="61"/>
      <c r="O96" s="5"/>
      <c r="P96" s="5"/>
      <c r="Q96" s="5"/>
      <c r="R96" s="5"/>
      <c r="S96" s="5"/>
      <c r="T96" s="5"/>
      <c r="U96" s="5"/>
      <c r="V96" s="5" t="s">
        <v>14</v>
      </c>
      <c r="W96" s="63">
        <f>-ROUND(G96*J96*M96, 3)</f>
        <v>-25.065000000000001</v>
      </c>
      <c r="X96" s="61"/>
      <c r="Y96" s="62"/>
      <c r="Z96" s="7"/>
      <c r="AA96" s="7"/>
      <c r="AB96" s="15"/>
    </row>
    <row r="97" spans="1:28" ht="15" customHeight="1" x14ac:dyDescent="0.15">
      <c r="A97" s="14"/>
      <c r="B97" s="2"/>
      <c r="C97" s="2"/>
      <c r="D97" s="22"/>
      <c r="E97" s="5"/>
      <c r="F97" s="6" t="s">
        <v>46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23"/>
      <c r="Z97" s="7"/>
      <c r="AA97" s="7"/>
      <c r="AB97" s="15"/>
    </row>
    <row r="98" spans="1:28" ht="15" customHeight="1" x14ac:dyDescent="0.15">
      <c r="A98" s="14"/>
      <c r="B98" s="2"/>
      <c r="C98" s="2"/>
      <c r="D98" s="22"/>
      <c r="E98" s="5"/>
      <c r="F98" s="6"/>
      <c r="G98" s="5" t="s">
        <v>7</v>
      </c>
      <c r="H98" s="63">
        <v>0.5</v>
      </c>
      <c r="I98" s="61"/>
      <c r="J98" s="5" t="s">
        <v>10</v>
      </c>
      <c r="K98" s="63">
        <v>3.8929999999999998</v>
      </c>
      <c r="L98" s="61"/>
      <c r="M98" s="5" t="s">
        <v>9</v>
      </c>
      <c r="N98" s="5" t="s">
        <v>13</v>
      </c>
      <c r="O98" s="8">
        <v>2</v>
      </c>
      <c r="P98" s="5" t="s">
        <v>8</v>
      </c>
      <c r="Q98" s="63">
        <v>3.3929999999999998</v>
      </c>
      <c r="R98" s="61"/>
      <c r="S98" s="5" t="s">
        <v>9</v>
      </c>
      <c r="T98" s="5" t="s">
        <v>8</v>
      </c>
      <c r="U98" s="5"/>
      <c r="V98" s="5"/>
      <c r="W98" s="5"/>
      <c r="X98" s="5"/>
      <c r="Y98" s="23"/>
      <c r="Z98" s="7"/>
      <c r="AA98" s="7"/>
      <c r="AB98" s="15" t="s">
        <v>15</v>
      </c>
    </row>
    <row r="99" spans="1:28" ht="15" customHeight="1" x14ac:dyDescent="0.15">
      <c r="A99" s="14"/>
      <c r="B99" s="2"/>
      <c r="C99" s="2"/>
      <c r="D99" s="22"/>
      <c r="E99" s="5"/>
      <c r="F99" s="6"/>
      <c r="G99" s="63">
        <v>41.575000000000003</v>
      </c>
      <c r="H99" s="61"/>
      <c r="I99" s="5" t="s">
        <v>9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 t="s">
        <v>14</v>
      </c>
      <c r="W99" s="63">
        <f>-ROUND((((H98+K98)/O98*Q98)*G99), 3)</f>
        <v>-309.84699999999998</v>
      </c>
      <c r="X99" s="61"/>
      <c r="Y99" s="62"/>
      <c r="Z99" s="57">
        <f>ROUND(SUM(W92:Y99), 3)</f>
        <v>1976.894</v>
      </c>
      <c r="AA99" s="58"/>
      <c r="AB99" s="59"/>
    </row>
    <row r="100" spans="1:28" ht="15" customHeight="1" x14ac:dyDescent="0.15">
      <c r="A100" s="16"/>
      <c r="B100" s="9"/>
      <c r="C100" s="9"/>
      <c r="D100" s="24"/>
      <c r="E100" s="10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25"/>
      <c r="Z100" s="12"/>
      <c r="AA100" s="12"/>
      <c r="AB100" s="17"/>
    </row>
    <row r="101" spans="1:28" ht="15" customHeight="1" x14ac:dyDescent="0.15">
      <c r="A101" s="18"/>
      <c r="B101" s="2"/>
      <c r="C101" s="2"/>
      <c r="D101" s="20"/>
      <c r="E101" s="5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21"/>
      <c r="Z101" s="7"/>
      <c r="AA101" s="7"/>
      <c r="AB101" s="19"/>
    </row>
    <row r="102" spans="1:28" ht="15" customHeight="1" x14ac:dyDescent="0.15">
      <c r="A102" s="14" t="s">
        <v>47</v>
      </c>
      <c r="B102" s="2"/>
      <c r="C102" s="2"/>
      <c r="D102" s="22"/>
      <c r="E102" s="5"/>
      <c r="F102" s="6" t="s">
        <v>48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23"/>
      <c r="Z102" s="7"/>
      <c r="AA102" s="7"/>
      <c r="AB102" s="15" t="s">
        <v>15</v>
      </c>
    </row>
    <row r="103" spans="1:28" ht="15" customHeight="1" x14ac:dyDescent="0.15">
      <c r="A103" s="14"/>
      <c r="B103" s="2"/>
      <c r="C103" s="2"/>
      <c r="D103" s="22"/>
      <c r="E103" s="5"/>
      <c r="F103" s="6"/>
      <c r="G103" s="64">
        <f>ROUND(W49+W54+W56+W60, 3)</f>
        <v>2694.0050000000001</v>
      </c>
      <c r="H103" s="61"/>
      <c r="I103" s="61"/>
      <c r="J103" s="5" t="s">
        <v>49</v>
      </c>
      <c r="K103" s="64">
        <f>ROUND(W92+W94+W95+W96+W99, 3)</f>
        <v>1976.894</v>
      </c>
      <c r="L103" s="61"/>
      <c r="M103" s="61"/>
      <c r="N103" s="5"/>
      <c r="O103" s="5"/>
      <c r="P103" s="5"/>
      <c r="Q103" s="5"/>
      <c r="R103" s="5"/>
      <c r="S103" s="5"/>
      <c r="T103" s="5"/>
      <c r="U103" s="5"/>
      <c r="V103" s="5" t="s">
        <v>14</v>
      </c>
      <c r="W103" s="63">
        <f>ROUND(G103-K103, 3)</f>
        <v>717.11099999999999</v>
      </c>
      <c r="X103" s="61"/>
      <c r="Y103" s="62"/>
      <c r="Z103" s="57">
        <f>ROUND(SUM(W103:X103), 3)</f>
        <v>717.11099999999999</v>
      </c>
      <c r="AA103" s="58"/>
      <c r="AB103" s="59"/>
    </row>
    <row r="104" spans="1:28" ht="15" customHeight="1" x14ac:dyDescent="0.15">
      <c r="A104" s="16"/>
      <c r="B104" s="9"/>
      <c r="C104" s="9"/>
      <c r="D104" s="24"/>
      <c r="E104" s="10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25"/>
      <c r="Z104" s="12"/>
      <c r="AA104" s="12"/>
      <c r="AB104" s="17"/>
    </row>
    <row r="105" spans="1:28" ht="15" customHeight="1" x14ac:dyDescent="0.15">
      <c r="A105" s="18"/>
      <c r="B105" s="2"/>
      <c r="C105" s="2"/>
      <c r="D105" s="20"/>
      <c r="E105" s="5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21"/>
      <c r="Z105" s="7"/>
      <c r="AA105" s="7"/>
      <c r="AB105" s="19"/>
    </row>
    <row r="106" spans="1:28" ht="15" customHeight="1" x14ac:dyDescent="0.15">
      <c r="A106" s="14" t="s">
        <v>50</v>
      </c>
      <c r="B106" s="2"/>
      <c r="C106" s="2"/>
      <c r="D106" s="22"/>
      <c r="E106" s="5"/>
      <c r="F106" s="6" t="s">
        <v>51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23"/>
      <c r="Z106" s="7"/>
      <c r="AA106" s="7"/>
      <c r="AB106" s="15"/>
    </row>
    <row r="107" spans="1:28" ht="15" customHeight="1" x14ac:dyDescent="0.15">
      <c r="A107" s="14"/>
      <c r="B107" s="2"/>
      <c r="C107" s="2"/>
      <c r="D107" s="22"/>
      <c r="E107" s="5"/>
      <c r="F107" s="6"/>
      <c r="G107" s="5" t="s">
        <v>7</v>
      </c>
      <c r="H107" s="63">
        <v>5.57</v>
      </c>
      <c r="I107" s="61"/>
      <c r="J107" s="5" t="s">
        <v>10</v>
      </c>
      <c r="K107" s="63">
        <v>6.57</v>
      </c>
      <c r="L107" s="61"/>
      <c r="M107" s="5" t="s">
        <v>9</v>
      </c>
      <c r="N107" s="5" t="s">
        <v>13</v>
      </c>
      <c r="O107" s="8">
        <v>2</v>
      </c>
      <c r="P107" s="5" t="s">
        <v>8</v>
      </c>
      <c r="Q107" s="63">
        <v>1</v>
      </c>
      <c r="R107" s="61"/>
      <c r="S107" s="5" t="s">
        <v>9</v>
      </c>
      <c r="T107" s="5" t="s">
        <v>8</v>
      </c>
      <c r="U107" s="5"/>
      <c r="V107" s="5"/>
      <c r="W107" s="5"/>
      <c r="X107" s="5"/>
      <c r="Y107" s="23"/>
      <c r="Z107" s="7"/>
      <c r="AA107" s="7"/>
      <c r="AB107" s="15" t="s">
        <v>15</v>
      </c>
    </row>
    <row r="108" spans="1:28" ht="15" customHeight="1" x14ac:dyDescent="0.15">
      <c r="A108" s="14"/>
      <c r="B108" s="2"/>
      <c r="C108" s="2"/>
      <c r="D108" s="22"/>
      <c r="E108" s="5"/>
      <c r="F108" s="6"/>
      <c r="G108" s="63">
        <v>41.575000000000003</v>
      </c>
      <c r="H108" s="61"/>
      <c r="I108" s="5" t="s">
        <v>9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 t="s">
        <v>14</v>
      </c>
      <c r="W108" s="63">
        <f>ROUND((((H107+K107)/O107*Q107)*G108), 3)</f>
        <v>252.36</v>
      </c>
      <c r="X108" s="61"/>
      <c r="Y108" s="62"/>
      <c r="Z108" s="57">
        <f>ROUND(SUM(W108:X108), 3)</f>
        <v>252.36</v>
      </c>
      <c r="AA108" s="58"/>
      <c r="AB108" s="59"/>
    </row>
    <row r="109" spans="1:28" ht="15" customHeight="1" x14ac:dyDescent="0.15">
      <c r="A109" s="14"/>
      <c r="B109" s="2"/>
      <c r="C109" s="2"/>
      <c r="D109" s="22"/>
      <c r="E109" s="5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23"/>
      <c r="Z109" s="7"/>
      <c r="AA109" s="7"/>
      <c r="AB109" s="15"/>
    </row>
    <row r="110" spans="1:28" ht="15" customHeight="1" x14ac:dyDescent="0.15">
      <c r="A110" s="14"/>
      <c r="B110" s="2"/>
      <c r="C110" s="2"/>
      <c r="D110" s="22"/>
      <c r="E110" s="5"/>
      <c r="F110" s="6" t="s">
        <v>52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23"/>
      <c r="Z110" s="7"/>
      <c r="AA110" s="7"/>
      <c r="AB110" s="15"/>
    </row>
    <row r="111" spans="1:28" ht="15" customHeight="1" x14ac:dyDescent="0.15">
      <c r="A111" s="14"/>
      <c r="B111" s="2"/>
      <c r="C111" s="2"/>
      <c r="D111" s="22"/>
      <c r="E111" s="5"/>
      <c r="F111" s="6"/>
      <c r="G111" s="5" t="s">
        <v>7</v>
      </c>
      <c r="H111" s="63">
        <v>4.8929999999999998</v>
      </c>
      <c r="I111" s="61"/>
      <c r="J111" s="5" t="s">
        <v>10</v>
      </c>
      <c r="K111" s="63">
        <v>5.57</v>
      </c>
      <c r="L111" s="61"/>
      <c r="M111" s="5" t="s">
        <v>9</v>
      </c>
      <c r="N111" s="5" t="s">
        <v>13</v>
      </c>
      <c r="O111" s="8">
        <v>2</v>
      </c>
      <c r="P111" s="5" t="s">
        <v>8</v>
      </c>
      <c r="Q111" s="63">
        <v>0.67700000000000005</v>
      </c>
      <c r="R111" s="61"/>
      <c r="S111" s="5" t="s">
        <v>9</v>
      </c>
      <c r="T111" s="5" t="s">
        <v>8</v>
      </c>
      <c r="U111" s="5"/>
      <c r="V111" s="5"/>
      <c r="W111" s="5"/>
      <c r="X111" s="5"/>
      <c r="Y111" s="23"/>
      <c r="Z111" s="7"/>
      <c r="AA111" s="7"/>
      <c r="AB111" s="15" t="s">
        <v>15</v>
      </c>
    </row>
    <row r="112" spans="1:28" ht="15" customHeight="1" x14ac:dyDescent="0.15">
      <c r="A112" s="14"/>
      <c r="B112" s="2"/>
      <c r="C112" s="2"/>
      <c r="D112" s="22"/>
      <c r="E112" s="5"/>
      <c r="F112" s="6"/>
      <c r="G112" s="63">
        <v>41.575000000000003</v>
      </c>
      <c r="H112" s="61"/>
      <c r="I112" s="5" t="s">
        <v>9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 t="s">
        <v>14</v>
      </c>
      <c r="W112" s="63">
        <f>ROUND((((H111+K111)/O111*Q111)*G112), 3)</f>
        <v>147.24700000000001</v>
      </c>
      <c r="X112" s="61"/>
      <c r="Y112" s="62"/>
      <c r="Z112" s="57">
        <f>ROUND(SUM(W112:X112), 3)</f>
        <v>147.24700000000001</v>
      </c>
      <c r="AA112" s="58"/>
      <c r="AB112" s="59"/>
    </row>
    <row r="113" spans="1:28" ht="15" customHeight="1" x14ac:dyDescent="0.15">
      <c r="A113" s="16"/>
      <c r="B113" s="9"/>
      <c r="C113" s="9"/>
      <c r="D113" s="24"/>
      <c r="E113" s="10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25"/>
      <c r="Z113" s="12"/>
      <c r="AA113" s="12"/>
      <c r="AB113" s="17"/>
    </row>
  </sheetData>
  <mergeCells count="81">
    <mergeCell ref="A2:D2"/>
    <mergeCell ref="E2:Y2"/>
    <mergeCell ref="Z2:AB2"/>
    <mergeCell ref="H48:I48"/>
    <mergeCell ref="K48:L48"/>
    <mergeCell ref="P48:Q48"/>
    <mergeCell ref="S48:T48"/>
    <mergeCell ref="H59:I59"/>
    <mergeCell ref="K59:L59"/>
    <mergeCell ref="P59:Q59"/>
    <mergeCell ref="S59:T59"/>
    <mergeCell ref="K49:L49"/>
    <mergeCell ref="H53:I53"/>
    <mergeCell ref="K53:L53"/>
    <mergeCell ref="P53:Q53"/>
    <mergeCell ref="S53:T53"/>
    <mergeCell ref="K54:L54"/>
    <mergeCell ref="H55:I55"/>
    <mergeCell ref="K55:L55"/>
    <mergeCell ref="P55:Q55"/>
    <mergeCell ref="S55:T55"/>
    <mergeCell ref="K56:L56"/>
    <mergeCell ref="Q80:R80"/>
    <mergeCell ref="G81:H81"/>
    <mergeCell ref="H85:I85"/>
    <mergeCell ref="K85:L85"/>
    <mergeCell ref="Q85:R85"/>
    <mergeCell ref="G95:H95"/>
    <mergeCell ref="J95:K95"/>
    <mergeCell ref="M95:N95"/>
    <mergeCell ref="K60:L60"/>
    <mergeCell ref="H80:I80"/>
    <mergeCell ref="K80:L80"/>
    <mergeCell ref="G86:H86"/>
    <mergeCell ref="G92:I92"/>
    <mergeCell ref="G94:H94"/>
    <mergeCell ref="J94:K94"/>
    <mergeCell ref="M94:N94"/>
    <mergeCell ref="Q107:R107"/>
    <mergeCell ref="G96:H96"/>
    <mergeCell ref="J96:K96"/>
    <mergeCell ref="M96:N96"/>
    <mergeCell ref="H98:I98"/>
    <mergeCell ref="K98:L98"/>
    <mergeCell ref="Q98:R98"/>
    <mergeCell ref="G99:H99"/>
    <mergeCell ref="G103:I103"/>
    <mergeCell ref="K103:M103"/>
    <mergeCell ref="H107:I107"/>
    <mergeCell ref="K107:L107"/>
    <mergeCell ref="W49:Y49"/>
    <mergeCell ref="W54:Y54"/>
    <mergeCell ref="W56:Y56"/>
    <mergeCell ref="W60:Y60"/>
    <mergeCell ref="W81:Y81"/>
    <mergeCell ref="G108:H108"/>
    <mergeCell ref="H111:I111"/>
    <mergeCell ref="K111:L111"/>
    <mergeCell ref="Q111:R111"/>
    <mergeCell ref="G112:H112"/>
    <mergeCell ref="W86:Y86"/>
    <mergeCell ref="W92:Y92"/>
    <mergeCell ref="W94:Y94"/>
    <mergeCell ref="W95:Y95"/>
    <mergeCell ref="W96:Y96"/>
    <mergeCell ref="Z103:AB103"/>
    <mergeCell ref="Z108:AB108"/>
    <mergeCell ref="Z112:AB112"/>
    <mergeCell ref="A48:D48"/>
    <mergeCell ref="A53:D53"/>
    <mergeCell ref="W99:Y99"/>
    <mergeCell ref="W103:Y103"/>
    <mergeCell ref="W108:Y108"/>
    <mergeCell ref="W112:Y112"/>
    <mergeCell ref="Z49:AB49"/>
    <mergeCell ref="Z56:AB56"/>
    <mergeCell ref="Z60:AB60"/>
    <mergeCell ref="Z76:AB76"/>
    <mergeCell ref="Z86:AB86"/>
    <mergeCell ref="Z99:AB99"/>
    <mergeCell ref="W83:Y83"/>
  </mergeCells>
  <phoneticPr fontId="1" type="noConversion"/>
  <printOptions horizontalCentered="1"/>
  <pageMargins left="0.59055118110236249" right="0.59055118110236249" top="0.98425196850393748" bottom="0.78740157480314998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36CF-D4DD-4FDF-BBB2-A0270979C049}">
  <dimension ref="A1:AB113"/>
  <sheetViews>
    <sheetView view="pageBreakPreview" zoomScaleNormal="100" zoomScaleSheetLayoutView="100" workbookViewId="0"/>
  </sheetViews>
  <sheetFormatPr defaultRowHeight="13.5" x14ac:dyDescent="0.15"/>
  <cols>
    <col min="1" max="28" width="2.77734375" customWidth="1"/>
  </cols>
  <sheetData>
    <row r="1" spans="1:28" ht="30" customHeight="1" x14ac:dyDescent="0.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/>
    </row>
    <row r="2" spans="1:28" ht="30" customHeight="1" x14ac:dyDescent="0.15">
      <c r="A2" s="65" t="s">
        <v>1</v>
      </c>
      <c r="B2" s="66"/>
      <c r="C2" s="66"/>
      <c r="D2" s="66"/>
      <c r="E2" s="67" t="s">
        <v>2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9"/>
      <c r="Z2" s="70" t="s">
        <v>3</v>
      </c>
      <c r="AA2" s="66"/>
      <c r="AB2" s="71"/>
    </row>
    <row r="3" spans="1:28" ht="15" customHeight="1" x14ac:dyDescent="0.15">
      <c r="A3" s="14"/>
      <c r="B3" s="2"/>
      <c r="C3" s="2"/>
      <c r="D3" s="2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/>
      <c r="AA3" s="7"/>
      <c r="AB3" s="15"/>
    </row>
    <row r="4" spans="1:28" ht="15" customHeight="1" x14ac:dyDescent="0.15">
      <c r="A4" s="14"/>
      <c r="B4" s="2"/>
      <c r="C4" s="2"/>
      <c r="D4" s="2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/>
      <c r="AA4" s="7"/>
      <c r="AB4" s="15"/>
    </row>
    <row r="5" spans="1:28" ht="15" customHeight="1" x14ac:dyDescent="0.15">
      <c r="A5" s="14"/>
      <c r="B5" s="2"/>
      <c r="C5" s="2"/>
      <c r="D5" s="2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7"/>
      <c r="AA5" s="7"/>
      <c r="AB5" s="15"/>
    </row>
    <row r="6" spans="1:28" ht="15" customHeight="1" x14ac:dyDescent="0.15">
      <c r="A6" s="14"/>
      <c r="B6" s="2"/>
      <c r="C6" s="2"/>
      <c r="D6" s="2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7"/>
      <c r="AA6" s="7"/>
      <c r="AB6" s="15"/>
    </row>
    <row r="7" spans="1:28" ht="15" customHeight="1" x14ac:dyDescent="0.15">
      <c r="A7" s="14"/>
      <c r="B7" s="2"/>
      <c r="C7" s="2"/>
      <c r="D7" s="2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7"/>
      <c r="AA7" s="7"/>
      <c r="AB7" s="15"/>
    </row>
    <row r="8" spans="1:28" ht="15" customHeight="1" x14ac:dyDescent="0.15">
      <c r="A8" s="14"/>
      <c r="B8" s="2"/>
      <c r="C8" s="2"/>
      <c r="D8" s="2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7"/>
      <c r="AA8" s="7"/>
      <c r="AB8" s="15"/>
    </row>
    <row r="9" spans="1:28" ht="15" customHeight="1" x14ac:dyDescent="0.15">
      <c r="A9" s="14"/>
      <c r="B9" s="2"/>
      <c r="C9" s="2"/>
      <c r="D9" s="2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7"/>
      <c r="AA9" s="7"/>
      <c r="AB9" s="15"/>
    </row>
    <row r="10" spans="1:28" ht="15" customHeight="1" x14ac:dyDescent="0.15">
      <c r="A10" s="14"/>
      <c r="B10" s="2"/>
      <c r="C10" s="2"/>
      <c r="D10" s="2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7"/>
      <c r="AA10" s="7"/>
      <c r="AB10" s="15"/>
    </row>
    <row r="11" spans="1:28" ht="15" customHeight="1" x14ac:dyDescent="0.15">
      <c r="A11" s="14"/>
      <c r="B11" s="2"/>
      <c r="C11" s="2"/>
      <c r="D11" s="2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7"/>
      <c r="AA11" s="7"/>
      <c r="AB11" s="15"/>
    </row>
    <row r="12" spans="1:28" ht="15" customHeight="1" x14ac:dyDescent="0.15">
      <c r="A12" s="14"/>
      <c r="B12" s="2"/>
      <c r="C12" s="2"/>
      <c r="D12" s="2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7"/>
      <c r="AA12" s="7"/>
      <c r="AB12" s="15"/>
    </row>
    <row r="13" spans="1:28" ht="15" customHeight="1" x14ac:dyDescent="0.15">
      <c r="A13" s="14"/>
      <c r="B13" s="2"/>
      <c r="C13" s="2"/>
      <c r="D13" s="2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7"/>
      <c r="AA13" s="7"/>
      <c r="AB13" s="15"/>
    </row>
    <row r="14" spans="1:28" ht="15" customHeight="1" x14ac:dyDescent="0.15">
      <c r="A14" s="14"/>
      <c r="B14" s="2"/>
      <c r="C14" s="2"/>
      <c r="D14" s="2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7"/>
      <c r="AA14" s="7"/>
      <c r="AB14" s="15"/>
    </row>
    <row r="15" spans="1:28" ht="15" customHeight="1" x14ac:dyDescent="0.15">
      <c r="A15" s="14"/>
      <c r="B15" s="2"/>
      <c r="C15" s="2"/>
      <c r="D15" s="2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7"/>
      <c r="AA15" s="7"/>
      <c r="AB15" s="15"/>
    </row>
    <row r="16" spans="1:28" ht="15" customHeight="1" x14ac:dyDescent="0.15">
      <c r="A16" s="14"/>
      <c r="B16" s="2"/>
      <c r="C16" s="2"/>
      <c r="D16" s="2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7"/>
      <c r="AA16" s="7"/>
      <c r="AB16" s="15"/>
    </row>
    <row r="17" spans="1:28" ht="15" customHeight="1" x14ac:dyDescent="0.15">
      <c r="A17" s="14"/>
      <c r="B17" s="2"/>
      <c r="C17" s="2"/>
      <c r="D17" s="2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7"/>
      <c r="AA17" s="7"/>
      <c r="AB17" s="15"/>
    </row>
    <row r="18" spans="1:28" ht="15" customHeight="1" x14ac:dyDescent="0.15">
      <c r="A18" s="14"/>
      <c r="B18" s="2"/>
      <c r="C18" s="2"/>
      <c r="D18" s="2"/>
      <c r="E18" s="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7"/>
      <c r="AA18" s="7"/>
      <c r="AB18" s="15"/>
    </row>
    <row r="19" spans="1:28" ht="15" customHeight="1" x14ac:dyDescent="0.15">
      <c r="A19" s="14"/>
      <c r="B19" s="2"/>
      <c r="C19" s="2"/>
      <c r="D19" s="2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7"/>
      <c r="AA19" s="7"/>
      <c r="AB19" s="15"/>
    </row>
    <row r="20" spans="1:28" ht="15" customHeight="1" x14ac:dyDescent="0.15">
      <c r="A20" s="14"/>
      <c r="B20" s="2"/>
      <c r="C20" s="2"/>
      <c r="D20" s="2"/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7"/>
      <c r="AA20" s="7"/>
      <c r="AB20" s="15"/>
    </row>
    <row r="21" spans="1:28" ht="15" customHeight="1" x14ac:dyDescent="0.15">
      <c r="A21" s="14"/>
      <c r="B21" s="2"/>
      <c r="C21" s="2"/>
      <c r="D21" s="2"/>
      <c r="E21" s="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  <c r="AA21" s="7"/>
      <c r="AB21" s="15"/>
    </row>
    <row r="22" spans="1:28" ht="15" customHeight="1" x14ac:dyDescent="0.15">
      <c r="A22" s="14"/>
      <c r="B22" s="2"/>
      <c r="C22" s="2"/>
      <c r="D22" s="2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7"/>
      <c r="AA22" s="7"/>
      <c r="AB22" s="15"/>
    </row>
    <row r="23" spans="1:28" ht="15" customHeight="1" x14ac:dyDescent="0.15">
      <c r="A23" s="14"/>
      <c r="B23" s="2"/>
      <c r="C23" s="2"/>
      <c r="D23" s="2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"/>
      <c r="AA23" s="7"/>
      <c r="AB23" s="15"/>
    </row>
    <row r="24" spans="1:28" ht="15" customHeight="1" x14ac:dyDescent="0.15">
      <c r="A24" s="14"/>
      <c r="B24" s="2"/>
      <c r="C24" s="2"/>
      <c r="D24" s="2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"/>
      <c r="AA24" s="7"/>
      <c r="AB24" s="15"/>
    </row>
    <row r="25" spans="1:28" ht="15" customHeight="1" x14ac:dyDescent="0.15">
      <c r="A25" s="14"/>
      <c r="B25" s="2"/>
      <c r="C25" s="2"/>
      <c r="D25" s="2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7"/>
      <c r="AA25" s="7"/>
      <c r="AB25" s="15"/>
    </row>
    <row r="26" spans="1:28" ht="15" customHeight="1" x14ac:dyDescent="0.15">
      <c r="A26" s="14"/>
      <c r="B26" s="2"/>
      <c r="C26" s="2"/>
      <c r="D26" s="2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7"/>
      <c r="AA26" s="7"/>
      <c r="AB26" s="15"/>
    </row>
    <row r="27" spans="1:28" ht="15" customHeight="1" x14ac:dyDescent="0.15">
      <c r="A27" s="14"/>
      <c r="B27" s="2"/>
      <c r="C27" s="2"/>
      <c r="D27" s="2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7"/>
      <c r="AA27" s="7"/>
      <c r="AB27" s="15"/>
    </row>
    <row r="28" spans="1:28" ht="15" customHeight="1" x14ac:dyDescent="0.15">
      <c r="A28" s="14"/>
      <c r="B28" s="2"/>
      <c r="C28" s="2"/>
      <c r="D28" s="2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7"/>
      <c r="AA28" s="7"/>
      <c r="AB28" s="15"/>
    </row>
    <row r="29" spans="1:28" ht="15" customHeight="1" x14ac:dyDescent="0.15">
      <c r="A29" s="14"/>
      <c r="B29" s="2"/>
      <c r="C29" s="2"/>
      <c r="D29" s="2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7"/>
      <c r="AA29" s="7"/>
      <c r="AB29" s="15"/>
    </row>
    <row r="30" spans="1:28" ht="15" customHeight="1" x14ac:dyDescent="0.15">
      <c r="A30" s="14"/>
      <c r="B30" s="2"/>
      <c r="C30" s="2"/>
      <c r="D30" s="2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7"/>
      <c r="AA30" s="7"/>
      <c r="AB30" s="15"/>
    </row>
    <row r="31" spans="1:28" ht="15" customHeight="1" x14ac:dyDescent="0.15">
      <c r="A31" s="14"/>
      <c r="B31" s="2"/>
      <c r="C31" s="2"/>
      <c r="D31" s="2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7"/>
      <c r="AA31" s="7"/>
      <c r="AB31" s="15"/>
    </row>
    <row r="32" spans="1:28" ht="15" customHeight="1" x14ac:dyDescent="0.15">
      <c r="A32" s="14"/>
      <c r="B32" s="2"/>
      <c r="C32" s="2"/>
      <c r="D32" s="2"/>
      <c r="E32" s="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7"/>
      <c r="AA32" s="7"/>
      <c r="AB32" s="15"/>
    </row>
    <row r="33" spans="1:28" ht="15" customHeight="1" x14ac:dyDescent="0.15">
      <c r="A33" s="14"/>
      <c r="B33" s="2"/>
      <c r="C33" s="2"/>
      <c r="D33" s="2"/>
      <c r="E33" s="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7"/>
      <c r="AA33" s="7"/>
      <c r="AB33" s="15"/>
    </row>
    <row r="34" spans="1:28" ht="15" customHeight="1" x14ac:dyDescent="0.15">
      <c r="A34" s="14"/>
      <c r="B34" s="2"/>
      <c r="C34" s="2"/>
      <c r="D34" s="2"/>
      <c r="E34" s="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7"/>
      <c r="AA34" s="7"/>
      <c r="AB34" s="15"/>
    </row>
    <row r="35" spans="1:28" ht="15" customHeight="1" x14ac:dyDescent="0.15">
      <c r="A35" s="14"/>
      <c r="B35" s="2"/>
      <c r="C35" s="2"/>
      <c r="D35" s="2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7"/>
      <c r="AA35" s="7"/>
      <c r="AB35" s="15"/>
    </row>
    <row r="36" spans="1:28" ht="15" customHeight="1" x14ac:dyDescent="0.15">
      <c r="A36" s="14"/>
      <c r="B36" s="2"/>
      <c r="C36" s="2"/>
      <c r="D36" s="2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7"/>
      <c r="AA36" s="7"/>
      <c r="AB36" s="15"/>
    </row>
    <row r="37" spans="1:28" ht="15" customHeight="1" x14ac:dyDescent="0.15">
      <c r="A37" s="14"/>
      <c r="B37" s="2"/>
      <c r="C37" s="2"/>
      <c r="D37" s="2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"/>
      <c r="AA37" s="7"/>
      <c r="AB37" s="15"/>
    </row>
    <row r="38" spans="1:28" ht="15" customHeight="1" x14ac:dyDescent="0.15">
      <c r="A38" s="14"/>
      <c r="B38" s="2"/>
      <c r="C38" s="2"/>
      <c r="D38" s="2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7"/>
      <c r="AA38" s="7"/>
      <c r="AB38" s="15"/>
    </row>
    <row r="39" spans="1:28" ht="15" customHeight="1" x14ac:dyDescent="0.15">
      <c r="A39" s="14"/>
      <c r="B39" s="2"/>
      <c r="C39" s="2"/>
      <c r="D39" s="2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7"/>
      <c r="AA39" s="7"/>
      <c r="AB39" s="15"/>
    </row>
    <row r="40" spans="1:28" ht="15" customHeight="1" x14ac:dyDescent="0.15">
      <c r="A40" s="14"/>
      <c r="B40" s="2"/>
      <c r="C40" s="2"/>
      <c r="D40" s="2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7"/>
      <c r="AA40" s="7"/>
      <c r="AB40" s="15"/>
    </row>
    <row r="41" spans="1:28" ht="15" customHeight="1" x14ac:dyDescent="0.15">
      <c r="A41" s="14"/>
      <c r="B41" s="2"/>
      <c r="C41" s="2"/>
      <c r="D41" s="2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"/>
      <c r="AA41" s="7"/>
      <c r="AB41" s="15"/>
    </row>
    <row r="42" spans="1:28" ht="15" customHeight="1" x14ac:dyDescent="0.15">
      <c r="A42" s="14"/>
      <c r="B42" s="2"/>
      <c r="C42" s="2"/>
      <c r="D42" s="2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7"/>
      <c r="AA42" s="7"/>
      <c r="AB42" s="15"/>
    </row>
    <row r="43" spans="1:28" ht="15" customHeight="1" x14ac:dyDescent="0.15">
      <c r="A43" s="14"/>
      <c r="B43" s="2"/>
      <c r="C43" s="2"/>
      <c r="D43" s="2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7"/>
      <c r="AA43" s="7"/>
      <c r="AB43" s="15"/>
    </row>
    <row r="44" spans="1:28" ht="15" customHeight="1" x14ac:dyDescent="0.15">
      <c r="A44" s="14"/>
      <c r="B44" s="2"/>
      <c r="C44" s="2"/>
      <c r="D44" s="2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7"/>
      <c r="AA44" s="7"/>
      <c r="AB44" s="15"/>
    </row>
    <row r="45" spans="1:28" ht="15" customHeight="1" x14ac:dyDescent="0.15">
      <c r="A45" s="16"/>
      <c r="B45" s="9"/>
      <c r="C45" s="9"/>
      <c r="D45" s="9"/>
      <c r="E45" s="10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2"/>
      <c r="AA45" s="12"/>
      <c r="AB45" s="17"/>
    </row>
    <row r="46" spans="1:28" ht="15" customHeight="1" x14ac:dyDescent="0.15">
      <c r="A46" s="18"/>
      <c r="B46" s="2"/>
      <c r="C46" s="2"/>
      <c r="D46" s="20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1"/>
      <c r="Z46" s="7"/>
      <c r="AA46" s="7"/>
      <c r="AB46" s="19"/>
    </row>
    <row r="47" spans="1:28" ht="15" customHeight="1" x14ac:dyDescent="0.15">
      <c r="A47" s="14" t="s">
        <v>4</v>
      </c>
      <c r="B47" s="2"/>
      <c r="C47" s="2"/>
      <c r="D47" s="22"/>
      <c r="E47" s="5"/>
      <c r="F47" s="6" t="s">
        <v>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3"/>
      <c r="Z47" s="7"/>
      <c r="AA47" s="7"/>
      <c r="AB47" s="15"/>
    </row>
    <row r="48" spans="1:28" ht="15" customHeight="1" x14ac:dyDescent="0.15">
      <c r="A48" s="60" t="s">
        <v>5</v>
      </c>
      <c r="B48" s="61"/>
      <c r="C48" s="61"/>
      <c r="D48" s="62"/>
      <c r="E48" s="5"/>
      <c r="F48" s="6"/>
      <c r="G48" s="5" t="s">
        <v>7</v>
      </c>
      <c r="H48" s="63">
        <v>16.71</v>
      </c>
      <c r="I48" s="61"/>
      <c r="J48" s="5" t="s">
        <v>8</v>
      </c>
      <c r="K48" s="63">
        <v>49.497</v>
      </c>
      <c r="L48" s="61"/>
      <c r="M48" s="5" t="s">
        <v>9</v>
      </c>
      <c r="N48" s="5" t="s">
        <v>10</v>
      </c>
      <c r="O48" s="5" t="s">
        <v>11</v>
      </c>
      <c r="P48" s="63">
        <v>16.36</v>
      </c>
      <c r="Q48" s="61"/>
      <c r="R48" s="5" t="s">
        <v>8</v>
      </c>
      <c r="S48" s="63">
        <v>49.146999999999998</v>
      </c>
      <c r="T48" s="61"/>
      <c r="U48" s="5" t="s">
        <v>12</v>
      </c>
      <c r="V48" s="5"/>
      <c r="W48" s="5"/>
      <c r="X48" s="5"/>
      <c r="Y48" s="23"/>
      <c r="Z48" s="7"/>
      <c r="AA48" s="7"/>
      <c r="AB48" s="15" t="s">
        <v>15</v>
      </c>
    </row>
    <row r="49" spans="1:28" ht="15" customHeight="1" x14ac:dyDescent="0.15">
      <c r="A49" s="14"/>
      <c r="B49" s="2"/>
      <c r="C49" s="2"/>
      <c r="D49" s="22"/>
      <c r="E49" s="5"/>
      <c r="F49" s="6"/>
      <c r="G49" s="5" t="s">
        <v>13</v>
      </c>
      <c r="H49" s="8">
        <v>2</v>
      </c>
      <c r="I49" s="5" t="s">
        <v>9</v>
      </c>
      <c r="J49" s="5" t="s">
        <v>8</v>
      </c>
      <c r="K49" s="63">
        <v>0.17499999999999999</v>
      </c>
      <c r="L49" s="61"/>
      <c r="M49" s="5"/>
      <c r="N49" s="5"/>
      <c r="O49" s="5"/>
      <c r="P49" s="5"/>
      <c r="Q49" s="5"/>
      <c r="R49" s="5"/>
      <c r="S49" s="5"/>
      <c r="T49" s="5"/>
      <c r="U49" s="5"/>
      <c r="V49" s="5" t="s">
        <v>14</v>
      </c>
      <c r="W49" s="63">
        <f>ROUND((((H48*K48)+(P48*S48))/H49)*K49, 3)</f>
        <v>142.72499999999999</v>
      </c>
      <c r="X49" s="61"/>
      <c r="Y49" s="62"/>
      <c r="Z49" s="57">
        <f>ROUND(SUM(W49:X49), 3)</f>
        <v>142.72499999999999</v>
      </c>
      <c r="AA49" s="58"/>
      <c r="AB49" s="59"/>
    </row>
    <row r="50" spans="1:28" ht="15" customHeight="1" x14ac:dyDescent="0.15">
      <c r="A50" s="16"/>
      <c r="B50" s="9"/>
      <c r="C50" s="9"/>
      <c r="D50" s="24"/>
      <c r="E50" s="10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25"/>
      <c r="Z50" s="12"/>
      <c r="AA50" s="12"/>
      <c r="AB50" s="17"/>
    </row>
    <row r="51" spans="1:28" ht="15" customHeight="1" x14ac:dyDescent="0.15">
      <c r="A51" s="18"/>
      <c r="B51" s="2"/>
      <c r="C51" s="2"/>
      <c r="D51" s="20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1"/>
      <c r="Z51" s="7"/>
      <c r="AA51" s="7"/>
      <c r="AB51" s="19"/>
    </row>
    <row r="52" spans="1:28" ht="15" customHeight="1" x14ac:dyDescent="0.15">
      <c r="A52" s="14" t="s">
        <v>16</v>
      </c>
      <c r="B52" s="2"/>
      <c r="C52" s="2"/>
      <c r="D52" s="22"/>
      <c r="E52" s="5"/>
      <c r="F52" s="6" t="s">
        <v>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3"/>
      <c r="Z52" s="7"/>
      <c r="AA52" s="7"/>
      <c r="AB52" s="15"/>
    </row>
    <row r="53" spans="1:28" ht="15" customHeight="1" x14ac:dyDescent="0.15">
      <c r="A53" s="60" t="s">
        <v>17</v>
      </c>
      <c r="B53" s="61"/>
      <c r="C53" s="61"/>
      <c r="D53" s="62"/>
      <c r="E53" s="5"/>
      <c r="F53" s="6"/>
      <c r="G53" s="5" t="s">
        <v>7</v>
      </c>
      <c r="H53" s="63">
        <v>16.36</v>
      </c>
      <c r="I53" s="61"/>
      <c r="J53" s="5" t="s">
        <v>8</v>
      </c>
      <c r="K53" s="63">
        <v>49.146999999999998</v>
      </c>
      <c r="L53" s="61"/>
      <c r="M53" s="5" t="s">
        <v>9</v>
      </c>
      <c r="N53" s="5" t="s">
        <v>10</v>
      </c>
      <c r="O53" s="5" t="s">
        <v>11</v>
      </c>
      <c r="P53" s="63">
        <v>11.58</v>
      </c>
      <c r="Q53" s="61"/>
      <c r="R53" s="5" t="s">
        <v>8</v>
      </c>
      <c r="S53" s="63">
        <v>44.366999999999997</v>
      </c>
      <c r="T53" s="61"/>
      <c r="U53" s="5" t="s">
        <v>12</v>
      </c>
      <c r="V53" s="5"/>
      <c r="W53" s="5"/>
      <c r="X53" s="5"/>
      <c r="Y53" s="23"/>
      <c r="Z53" s="7"/>
      <c r="AA53" s="7"/>
      <c r="AB53" s="15"/>
    </row>
    <row r="54" spans="1:28" ht="15" customHeight="1" x14ac:dyDescent="0.15">
      <c r="A54" s="14"/>
      <c r="B54" s="2"/>
      <c r="C54" s="2"/>
      <c r="D54" s="22"/>
      <c r="E54" s="5"/>
      <c r="F54" s="6"/>
      <c r="G54" s="5" t="s">
        <v>13</v>
      </c>
      <c r="H54" s="8">
        <v>2</v>
      </c>
      <c r="I54" s="5" t="s">
        <v>9</v>
      </c>
      <c r="J54" s="5" t="s">
        <v>8</v>
      </c>
      <c r="K54" s="63">
        <v>2.39</v>
      </c>
      <c r="L54" s="61"/>
      <c r="M54" s="5"/>
      <c r="N54" s="5"/>
      <c r="O54" s="5"/>
      <c r="P54" s="5"/>
      <c r="Q54" s="5"/>
      <c r="R54" s="5"/>
      <c r="S54" s="5"/>
      <c r="T54" s="5"/>
      <c r="U54" s="5"/>
      <c r="V54" s="5" t="s">
        <v>14</v>
      </c>
      <c r="W54" s="63">
        <f>ROUND((((H53*K53)+(P53*S53))/H54)*K54, 3)</f>
        <v>1574.789</v>
      </c>
      <c r="X54" s="61"/>
      <c r="Y54" s="62"/>
      <c r="Z54" s="7"/>
      <c r="AA54" s="7"/>
      <c r="AB54" s="15"/>
    </row>
    <row r="55" spans="1:28" ht="15" customHeight="1" x14ac:dyDescent="0.15">
      <c r="A55" s="14"/>
      <c r="B55" s="2"/>
      <c r="C55" s="2"/>
      <c r="D55" s="22"/>
      <c r="E55" s="5"/>
      <c r="F55" s="6"/>
      <c r="G55" s="5" t="s">
        <v>7</v>
      </c>
      <c r="H55" s="63">
        <v>11.58</v>
      </c>
      <c r="I55" s="61"/>
      <c r="J55" s="5" t="s">
        <v>8</v>
      </c>
      <c r="K55" s="63">
        <v>44.366999999999997</v>
      </c>
      <c r="L55" s="61"/>
      <c r="M55" s="5" t="s">
        <v>9</v>
      </c>
      <c r="N55" s="5" t="s">
        <v>10</v>
      </c>
      <c r="O55" s="5" t="s">
        <v>11</v>
      </c>
      <c r="P55" s="63">
        <v>8.7100000000000009</v>
      </c>
      <c r="Q55" s="61"/>
      <c r="R55" s="5" t="s">
        <v>8</v>
      </c>
      <c r="S55" s="63">
        <v>41.497</v>
      </c>
      <c r="T55" s="61"/>
      <c r="U55" s="5" t="s">
        <v>12</v>
      </c>
      <c r="V55" s="5"/>
      <c r="W55" s="5"/>
      <c r="X55" s="5"/>
      <c r="Y55" s="23"/>
      <c r="Z55" s="7"/>
      <c r="AA55" s="7"/>
      <c r="AB55" s="15" t="s">
        <v>15</v>
      </c>
    </row>
    <row r="56" spans="1:28" ht="15" customHeight="1" x14ac:dyDescent="0.15">
      <c r="A56" s="14"/>
      <c r="B56" s="2"/>
      <c r="C56" s="2"/>
      <c r="D56" s="22"/>
      <c r="E56" s="5"/>
      <c r="F56" s="6"/>
      <c r="G56" s="5" t="s">
        <v>13</v>
      </c>
      <c r="H56" s="8">
        <v>2</v>
      </c>
      <c r="I56" s="5" t="s">
        <v>9</v>
      </c>
      <c r="J56" s="5" t="s">
        <v>8</v>
      </c>
      <c r="K56" s="63">
        <v>1.4350000000000001</v>
      </c>
      <c r="L56" s="61"/>
      <c r="M56" s="5"/>
      <c r="N56" s="5"/>
      <c r="O56" s="5"/>
      <c r="P56" s="5"/>
      <c r="Q56" s="5"/>
      <c r="R56" s="5"/>
      <c r="S56" s="5"/>
      <c r="T56" s="5"/>
      <c r="U56" s="5"/>
      <c r="V56" s="5" t="s">
        <v>14</v>
      </c>
      <c r="W56" s="63">
        <f>ROUND((((H55*K55)+(P55*S55))/H56)*K56, 3)</f>
        <v>627.96199999999999</v>
      </c>
      <c r="X56" s="61"/>
      <c r="Y56" s="62"/>
      <c r="Z56" s="57">
        <f>ROUND(SUM(W54:Y56), 3)</f>
        <v>2202.7510000000002</v>
      </c>
      <c r="AA56" s="58"/>
      <c r="AB56" s="59"/>
    </row>
    <row r="57" spans="1:28" ht="15" customHeight="1" x14ac:dyDescent="0.15">
      <c r="A57" s="14"/>
      <c r="B57" s="2"/>
      <c r="C57" s="2"/>
      <c r="D57" s="22"/>
      <c r="E57" s="5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3"/>
      <c r="Z57" s="7"/>
      <c r="AA57" s="7"/>
      <c r="AB57" s="15"/>
    </row>
    <row r="58" spans="1:28" ht="15" customHeight="1" x14ac:dyDescent="0.15">
      <c r="A58" s="14"/>
      <c r="B58" s="2"/>
      <c r="C58" s="2"/>
      <c r="D58" s="22"/>
      <c r="E58" s="5"/>
      <c r="F58" s="6" t="s">
        <v>18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3"/>
      <c r="Z58" s="7"/>
      <c r="AA58" s="7"/>
      <c r="AB58" s="15"/>
    </row>
    <row r="59" spans="1:28" ht="15" customHeight="1" x14ac:dyDescent="0.15">
      <c r="A59" s="14"/>
      <c r="B59" s="2"/>
      <c r="C59" s="2"/>
      <c r="D59" s="22"/>
      <c r="E59" s="5"/>
      <c r="F59" s="6"/>
      <c r="G59" s="5" t="s">
        <v>7</v>
      </c>
      <c r="H59" s="63">
        <v>8.7100000000000009</v>
      </c>
      <c r="I59" s="61"/>
      <c r="J59" s="5" t="s">
        <v>8</v>
      </c>
      <c r="K59" s="63">
        <v>41.497</v>
      </c>
      <c r="L59" s="61"/>
      <c r="M59" s="5" t="s">
        <v>9</v>
      </c>
      <c r="N59" s="5" t="s">
        <v>10</v>
      </c>
      <c r="O59" s="5" t="s">
        <v>11</v>
      </c>
      <c r="P59" s="63">
        <v>7.8</v>
      </c>
      <c r="Q59" s="61"/>
      <c r="R59" s="5" t="s">
        <v>8</v>
      </c>
      <c r="S59" s="63">
        <v>40.587000000000003</v>
      </c>
      <c r="T59" s="61"/>
      <c r="U59" s="5" t="s">
        <v>12</v>
      </c>
      <c r="V59" s="5"/>
      <c r="W59" s="5"/>
      <c r="X59" s="5"/>
      <c r="Y59" s="23"/>
      <c r="Z59" s="7"/>
      <c r="AA59" s="7"/>
      <c r="AB59" s="15" t="s">
        <v>15</v>
      </c>
    </row>
    <row r="60" spans="1:28" ht="15" customHeight="1" x14ac:dyDescent="0.15">
      <c r="A60" s="14"/>
      <c r="B60" s="2"/>
      <c r="C60" s="2"/>
      <c r="D60" s="22"/>
      <c r="E60" s="5"/>
      <c r="F60" s="6"/>
      <c r="G60" s="5" t="s">
        <v>13</v>
      </c>
      <c r="H60" s="8">
        <v>2</v>
      </c>
      <c r="I60" s="5" t="s">
        <v>9</v>
      </c>
      <c r="J60" s="5" t="s">
        <v>8</v>
      </c>
      <c r="K60" s="63">
        <v>0.45500000000000002</v>
      </c>
      <c r="L60" s="61"/>
      <c r="M60" s="5"/>
      <c r="N60" s="5"/>
      <c r="O60" s="5"/>
      <c r="P60" s="5"/>
      <c r="Q60" s="5"/>
      <c r="R60" s="5"/>
      <c r="S60" s="5"/>
      <c r="T60" s="5"/>
      <c r="U60" s="5"/>
      <c r="V60" s="5" t="s">
        <v>14</v>
      </c>
      <c r="W60" s="63">
        <f>ROUND((((H59*K59)+(P59*S59))/H60)*K60, 3)</f>
        <v>154.249</v>
      </c>
      <c r="X60" s="61"/>
      <c r="Y60" s="62"/>
      <c r="Z60" s="57">
        <f>ROUND(SUM(W60:X60), 3)</f>
        <v>154.249</v>
      </c>
      <c r="AA60" s="58"/>
      <c r="AB60" s="59"/>
    </row>
    <row r="61" spans="1:28" ht="15" customHeight="1" x14ac:dyDescent="0.15">
      <c r="A61" s="16"/>
      <c r="B61" s="9"/>
      <c r="C61" s="9"/>
      <c r="D61" s="24"/>
      <c r="E61" s="10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25"/>
      <c r="Z61" s="12"/>
      <c r="AA61" s="12"/>
      <c r="AB61" s="17"/>
    </row>
    <row r="62" spans="1:28" ht="15" customHeight="1" x14ac:dyDescent="0.15">
      <c r="A62" s="18"/>
      <c r="B62" s="2"/>
      <c r="C62" s="2"/>
      <c r="D62" s="20"/>
      <c r="E62" s="5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1"/>
      <c r="Z62" s="7"/>
      <c r="AA62" s="7"/>
      <c r="AB62" s="19"/>
    </row>
    <row r="63" spans="1:28" ht="15" customHeight="1" x14ac:dyDescent="0.15">
      <c r="A63" s="14" t="s">
        <v>19</v>
      </c>
      <c r="B63" s="2"/>
      <c r="C63" s="2"/>
      <c r="D63" s="22"/>
      <c r="E63" s="5"/>
      <c r="F63" s="6"/>
      <c r="G63" s="6" t="s">
        <v>20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3"/>
      <c r="Z63" s="7"/>
      <c r="AA63" s="7"/>
      <c r="AB63" s="15"/>
    </row>
    <row r="64" spans="1:28" ht="15" customHeight="1" x14ac:dyDescent="0.15">
      <c r="A64" s="14"/>
      <c r="B64" s="2"/>
      <c r="C64" s="2"/>
      <c r="D64" s="22"/>
      <c r="E64" s="5"/>
      <c r="F64" s="6"/>
      <c r="G64" s="6" t="s">
        <v>21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3"/>
      <c r="Z64" s="7"/>
      <c r="AA64" s="7"/>
      <c r="AB64" s="15"/>
    </row>
    <row r="65" spans="1:28" ht="15" customHeight="1" x14ac:dyDescent="0.15">
      <c r="A65" s="14"/>
      <c r="B65" s="2"/>
      <c r="C65" s="2"/>
      <c r="D65" s="22"/>
      <c r="E65" s="5"/>
      <c r="F65" s="6"/>
      <c r="G65" s="6" t="s">
        <v>22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23"/>
      <c r="Z65" s="7"/>
      <c r="AA65" s="7"/>
      <c r="AB65" s="15"/>
    </row>
    <row r="66" spans="1:28" ht="15" customHeight="1" x14ac:dyDescent="0.15">
      <c r="A66" s="14"/>
      <c r="B66" s="2"/>
      <c r="C66" s="2"/>
      <c r="D66" s="22"/>
      <c r="E66" s="5"/>
      <c r="F66" s="6"/>
      <c r="G66" s="6" t="s">
        <v>23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23"/>
      <c r="Z66" s="7"/>
      <c r="AA66" s="7"/>
      <c r="AB66" s="15"/>
    </row>
    <row r="67" spans="1:28" ht="15" customHeight="1" x14ac:dyDescent="0.15">
      <c r="A67" s="14"/>
      <c r="B67" s="2"/>
      <c r="C67" s="2"/>
      <c r="D67" s="22"/>
      <c r="E67" s="5"/>
      <c r="F67" s="6"/>
      <c r="G67" s="6" t="s">
        <v>24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23"/>
      <c r="Z67" s="7"/>
      <c r="AA67" s="7"/>
      <c r="AB67" s="15"/>
    </row>
    <row r="68" spans="1:28" ht="15" customHeight="1" x14ac:dyDescent="0.15">
      <c r="A68" s="14"/>
      <c r="B68" s="2"/>
      <c r="C68" s="2"/>
      <c r="D68" s="22"/>
      <c r="E68" s="5"/>
      <c r="F68" s="6"/>
      <c r="G68" s="6" t="s">
        <v>25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23"/>
      <c r="Z68" s="7"/>
      <c r="AA68" s="7"/>
      <c r="AB68" s="15"/>
    </row>
    <row r="69" spans="1:28" ht="15" customHeight="1" x14ac:dyDescent="0.15">
      <c r="A69" s="14"/>
      <c r="B69" s="2"/>
      <c r="C69" s="2"/>
      <c r="D69" s="22"/>
      <c r="E69" s="5"/>
      <c r="F69" s="6"/>
      <c r="G69" s="6" t="s">
        <v>26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23"/>
      <c r="Z69" s="7"/>
      <c r="AA69" s="7"/>
      <c r="AB69" s="15"/>
    </row>
    <row r="70" spans="1:28" ht="15" customHeight="1" x14ac:dyDescent="0.15">
      <c r="A70" s="14"/>
      <c r="B70" s="2"/>
      <c r="C70" s="2"/>
      <c r="D70" s="22"/>
      <c r="E70" s="5"/>
      <c r="F70" s="6"/>
      <c r="G70" s="6" t="s">
        <v>23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23"/>
      <c r="Z70" s="7"/>
      <c r="AA70" s="7"/>
      <c r="AB70" s="15"/>
    </row>
    <row r="71" spans="1:28" ht="15" customHeight="1" x14ac:dyDescent="0.15">
      <c r="A71" s="14"/>
      <c r="B71" s="2"/>
      <c r="C71" s="2"/>
      <c r="D71" s="22"/>
      <c r="E71" s="5"/>
      <c r="F71" s="6"/>
      <c r="G71" s="6" t="s">
        <v>27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23"/>
      <c r="Z71" s="7"/>
      <c r="AA71" s="7"/>
      <c r="AB71" s="15"/>
    </row>
    <row r="72" spans="1:28" ht="15" customHeight="1" x14ac:dyDescent="0.15">
      <c r="A72" s="14"/>
      <c r="B72" s="2"/>
      <c r="C72" s="2"/>
      <c r="D72" s="22"/>
      <c r="E72" s="5"/>
      <c r="F72" s="6"/>
      <c r="G72" s="6" t="s">
        <v>28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23"/>
      <c r="Z72" s="7"/>
      <c r="AA72" s="7"/>
      <c r="AB72" s="15"/>
    </row>
    <row r="73" spans="1:28" ht="15" customHeight="1" x14ac:dyDescent="0.15">
      <c r="A73" s="14"/>
      <c r="B73" s="2"/>
      <c r="C73" s="2"/>
      <c r="D73" s="22"/>
      <c r="E73" s="5"/>
      <c r="F73" s="6"/>
      <c r="G73" s="6" t="s">
        <v>29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23"/>
      <c r="Z73" s="7"/>
      <c r="AA73" s="7"/>
      <c r="AB73" s="15"/>
    </row>
    <row r="74" spans="1:28" ht="15" customHeight="1" x14ac:dyDescent="0.15">
      <c r="A74" s="14"/>
      <c r="B74" s="2"/>
      <c r="C74" s="2"/>
      <c r="D74" s="22"/>
      <c r="E74" s="5"/>
      <c r="F74" s="6"/>
      <c r="G74" s="6" t="s">
        <v>30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23"/>
      <c r="Z74" s="7"/>
      <c r="AA74" s="7"/>
      <c r="AB74" s="15"/>
    </row>
    <row r="75" spans="1:28" ht="15" customHeight="1" x14ac:dyDescent="0.15">
      <c r="A75" s="14"/>
      <c r="B75" s="2"/>
      <c r="C75" s="2"/>
      <c r="D75" s="22"/>
      <c r="E75" s="5"/>
      <c r="F75" s="6"/>
      <c r="G75" s="6" t="s">
        <v>31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23"/>
      <c r="Z75" s="7"/>
      <c r="AA75" s="7"/>
      <c r="AB75" s="15" t="s">
        <v>33</v>
      </c>
    </row>
    <row r="76" spans="1:28" ht="15" customHeight="1" x14ac:dyDescent="0.15">
      <c r="A76" s="14"/>
      <c r="B76" s="2"/>
      <c r="C76" s="2"/>
      <c r="D76" s="22"/>
      <c r="E76" s="5"/>
      <c r="F76" s="6" t="s">
        <v>32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23"/>
      <c r="Z76" s="57">
        <v>234.54599999999999</v>
      </c>
      <c r="AA76" s="58"/>
      <c r="AB76" s="59"/>
    </row>
    <row r="77" spans="1:28" ht="15" customHeight="1" x14ac:dyDescent="0.15">
      <c r="A77" s="16"/>
      <c r="B77" s="9"/>
      <c r="C77" s="9"/>
      <c r="D77" s="24"/>
      <c r="E77" s="10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25"/>
      <c r="Z77" s="12"/>
      <c r="AA77" s="12"/>
      <c r="AB77" s="17"/>
    </row>
    <row r="78" spans="1:28" ht="15" customHeight="1" x14ac:dyDescent="0.15">
      <c r="A78" s="18"/>
      <c r="B78" s="2"/>
      <c r="C78" s="2"/>
      <c r="D78" s="20"/>
      <c r="E78" s="5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21"/>
      <c r="Z78" s="7"/>
      <c r="AA78" s="7"/>
      <c r="AB78" s="19"/>
    </row>
    <row r="79" spans="1:28" ht="15" customHeight="1" x14ac:dyDescent="0.15">
      <c r="A79" s="14" t="s">
        <v>34</v>
      </c>
      <c r="B79" s="2"/>
      <c r="C79" s="2"/>
      <c r="D79" s="22"/>
      <c r="E79" s="5"/>
      <c r="F79" s="6" t="s">
        <v>35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23"/>
      <c r="Z79" s="7"/>
      <c r="AA79" s="7"/>
      <c r="AB79" s="15"/>
    </row>
    <row r="80" spans="1:28" ht="15" customHeight="1" x14ac:dyDescent="0.15">
      <c r="A80" s="14"/>
      <c r="B80" s="2"/>
      <c r="C80" s="2"/>
      <c r="D80" s="22"/>
      <c r="E80" s="5"/>
      <c r="F80" s="6"/>
      <c r="G80" s="5" t="s">
        <v>7</v>
      </c>
      <c r="H80" s="63">
        <v>0.5</v>
      </c>
      <c r="I80" s="61"/>
      <c r="J80" s="5" t="s">
        <v>10</v>
      </c>
      <c r="K80" s="63">
        <v>5.57</v>
      </c>
      <c r="L80" s="61"/>
      <c r="M80" s="5" t="s">
        <v>9</v>
      </c>
      <c r="N80" s="5" t="s">
        <v>13</v>
      </c>
      <c r="O80" s="8">
        <v>2</v>
      </c>
      <c r="P80" s="5" t="s">
        <v>8</v>
      </c>
      <c r="Q80" s="63">
        <v>5.07</v>
      </c>
      <c r="R80" s="61"/>
      <c r="S80" s="5" t="s">
        <v>9</v>
      </c>
      <c r="T80" s="5" t="s">
        <v>8</v>
      </c>
      <c r="U80" s="5"/>
      <c r="V80" s="5"/>
      <c r="W80" s="5"/>
      <c r="X80" s="5"/>
      <c r="Y80" s="23"/>
      <c r="Z80" s="7"/>
      <c r="AA80" s="7"/>
      <c r="AB80" s="15"/>
    </row>
    <row r="81" spans="1:28" ht="15" customHeight="1" x14ac:dyDescent="0.15">
      <c r="A81" s="14"/>
      <c r="B81" s="2"/>
      <c r="C81" s="2"/>
      <c r="D81" s="22"/>
      <c r="E81" s="5"/>
      <c r="F81" s="6"/>
      <c r="G81" s="63">
        <v>38.587000000000003</v>
      </c>
      <c r="H81" s="61"/>
      <c r="I81" s="5" t="s">
        <v>9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">
        <v>14</v>
      </c>
      <c r="W81" s="63">
        <f>ROUND((((H80+K80)/O80*Q80)*G81), 3)</f>
        <v>593.75599999999997</v>
      </c>
      <c r="X81" s="61"/>
      <c r="Y81" s="62"/>
      <c r="Z81" s="7"/>
      <c r="AA81" s="7"/>
      <c r="AB81" s="15"/>
    </row>
    <row r="82" spans="1:28" ht="15" customHeight="1" x14ac:dyDescent="0.15">
      <c r="A82" s="14"/>
      <c r="B82" s="2"/>
      <c r="C82" s="2"/>
      <c r="D82" s="22"/>
      <c r="E82" s="5"/>
      <c r="F82" s="6" t="s">
        <v>36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23"/>
      <c r="Z82" s="7"/>
      <c r="AA82" s="7"/>
      <c r="AB82" s="15"/>
    </row>
    <row r="83" spans="1:28" ht="15" customHeight="1" x14ac:dyDescent="0.15">
      <c r="A83" s="14"/>
      <c r="B83" s="2"/>
      <c r="C83" s="2"/>
      <c r="D83" s="22"/>
      <c r="E83" s="5"/>
      <c r="F83" s="6"/>
      <c r="G83" s="13" t="s">
        <v>37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 t="s">
        <v>14</v>
      </c>
      <c r="W83" s="63">
        <v>-10.919</v>
      </c>
      <c r="X83" s="61"/>
      <c r="Y83" s="62"/>
      <c r="Z83" s="7"/>
      <c r="AA83" s="7"/>
      <c r="AB83" s="15"/>
    </row>
    <row r="84" spans="1:28" ht="15" customHeight="1" x14ac:dyDescent="0.15">
      <c r="A84" s="14"/>
      <c r="B84" s="2"/>
      <c r="C84" s="2"/>
      <c r="D84" s="22"/>
      <c r="E84" s="5"/>
      <c r="F84" s="6" t="s">
        <v>38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23"/>
      <c r="Z84" s="7"/>
      <c r="AA84" s="7"/>
      <c r="AB84" s="15"/>
    </row>
    <row r="85" spans="1:28" ht="15" customHeight="1" x14ac:dyDescent="0.15">
      <c r="A85" s="14"/>
      <c r="B85" s="2"/>
      <c r="C85" s="2"/>
      <c r="D85" s="22"/>
      <c r="E85" s="5"/>
      <c r="F85" s="6"/>
      <c r="G85" s="5" t="s">
        <v>7</v>
      </c>
      <c r="H85" s="63">
        <v>0.56899999999999995</v>
      </c>
      <c r="I85" s="61"/>
      <c r="J85" s="5" t="s">
        <v>10</v>
      </c>
      <c r="K85" s="63">
        <v>0.26900000000000002</v>
      </c>
      <c r="L85" s="61"/>
      <c r="M85" s="5" t="s">
        <v>9</v>
      </c>
      <c r="N85" s="5" t="s">
        <v>13</v>
      </c>
      <c r="O85" s="8">
        <v>2</v>
      </c>
      <c r="P85" s="5" t="s">
        <v>8</v>
      </c>
      <c r="Q85" s="63">
        <v>0.3</v>
      </c>
      <c r="R85" s="61"/>
      <c r="S85" s="5" t="s">
        <v>9</v>
      </c>
      <c r="T85" s="5" t="s">
        <v>8</v>
      </c>
      <c r="U85" s="5"/>
      <c r="V85" s="5"/>
      <c r="W85" s="5"/>
      <c r="X85" s="5"/>
      <c r="Y85" s="23"/>
      <c r="Z85" s="7"/>
      <c r="AA85" s="7"/>
      <c r="AB85" s="15" t="s">
        <v>15</v>
      </c>
    </row>
    <row r="86" spans="1:28" ht="15" customHeight="1" x14ac:dyDescent="0.15">
      <c r="A86" s="14"/>
      <c r="B86" s="2"/>
      <c r="C86" s="2"/>
      <c r="D86" s="22"/>
      <c r="E86" s="5"/>
      <c r="F86" s="6"/>
      <c r="G86" s="63">
        <v>38.587000000000003</v>
      </c>
      <c r="H86" s="61"/>
      <c r="I86" s="5" t="s">
        <v>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s">
        <v>14</v>
      </c>
      <c r="W86" s="63">
        <f>-ROUND((((H85+K85)/O85*Q85)*G86), 3)</f>
        <v>-4.8499999999999996</v>
      </c>
      <c r="X86" s="61"/>
      <c r="Y86" s="62"/>
      <c r="Z86" s="57">
        <f>ROUND(SUM(W81:Y86), 3)</f>
        <v>577.98699999999997</v>
      </c>
      <c r="AA86" s="58"/>
      <c r="AB86" s="59"/>
    </row>
    <row r="87" spans="1:28" ht="15" customHeight="1" x14ac:dyDescent="0.15">
      <c r="A87" s="14"/>
      <c r="B87" s="2"/>
      <c r="C87" s="2"/>
      <c r="D87" s="22"/>
      <c r="E87" s="5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23"/>
      <c r="Z87" s="7"/>
      <c r="AA87" s="7"/>
      <c r="AB87" s="15"/>
    </row>
    <row r="88" spans="1:28" ht="15" customHeight="1" x14ac:dyDescent="0.15">
      <c r="A88" s="16"/>
      <c r="B88" s="9"/>
      <c r="C88" s="9"/>
      <c r="D88" s="24"/>
      <c r="E88" s="10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25"/>
      <c r="Z88" s="12"/>
      <c r="AA88" s="12"/>
      <c r="AB88" s="17"/>
    </row>
    <row r="89" spans="1:28" ht="15" customHeight="1" x14ac:dyDescent="0.15">
      <c r="A89" s="18"/>
      <c r="B89" s="2"/>
      <c r="C89" s="2"/>
      <c r="D89" s="20"/>
      <c r="E89" s="5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1"/>
      <c r="Z89" s="7"/>
      <c r="AA89" s="7"/>
      <c r="AB89" s="19"/>
    </row>
    <row r="90" spans="1:28" ht="15" customHeight="1" x14ac:dyDescent="0.15">
      <c r="A90" s="14" t="s">
        <v>39</v>
      </c>
      <c r="B90" s="2"/>
      <c r="C90" s="2"/>
      <c r="D90" s="22"/>
      <c r="E90" s="5"/>
      <c r="F90" s="6" t="s">
        <v>40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23"/>
      <c r="Z90" s="7"/>
      <c r="AA90" s="7"/>
      <c r="AB90" s="15"/>
    </row>
    <row r="91" spans="1:28" ht="15" customHeight="1" x14ac:dyDescent="0.15">
      <c r="A91" s="14"/>
      <c r="B91" s="2"/>
      <c r="C91" s="2"/>
      <c r="D91" s="22"/>
      <c r="E91" s="5"/>
      <c r="F91" s="6" t="s">
        <v>41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23"/>
      <c r="Z91" s="7"/>
      <c r="AA91" s="7"/>
      <c r="AB91" s="15"/>
    </row>
    <row r="92" spans="1:28" ht="15" customHeight="1" x14ac:dyDescent="0.15">
      <c r="A92" s="14"/>
      <c r="B92" s="2"/>
      <c r="C92" s="2"/>
      <c r="D92" s="22"/>
      <c r="E92" s="5"/>
      <c r="F92" s="6"/>
      <c r="G92" s="64">
        <f>ROUND(W49+W54+W56+W60, 3)</f>
        <v>2499.7249999999999</v>
      </c>
      <c r="H92" s="61"/>
      <c r="I92" s="6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">
        <v>14</v>
      </c>
      <c r="W92" s="63">
        <f>ROUND(G92, 3)</f>
        <v>2499.7249999999999</v>
      </c>
      <c r="X92" s="61"/>
      <c r="Y92" s="62"/>
      <c r="Z92" s="7"/>
      <c r="AA92" s="7"/>
      <c r="AB92" s="15"/>
    </row>
    <row r="93" spans="1:28" ht="15" customHeight="1" x14ac:dyDescent="0.15">
      <c r="A93" s="14"/>
      <c r="B93" s="2"/>
      <c r="C93" s="2"/>
      <c r="D93" s="22"/>
      <c r="E93" s="5"/>
      <c r="F93" s="6" t="s">
        <v>42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23"/>
      <c r="Z93" s="7"/>
      <c r="AA93" s="7"/>
      <c r="AB93" s="15"/>
    </row>
    <row r="94" spans="1:28" ht="15" customHeight="1" x14ac:dyDescent="0.15">
      <c r="A94" s="14"/>
      <c r="B94" s="2"/>
      <c r="C94" s="2"/>
      <c r="D94" s="22"/>
      <c r="E94" s="5"/>
      <c r="F94" s="6" t="s">
        <v>43</v>
      </c>
      <c r="G94" s="63">
        <v>38.587000000000003</v>
      </c>
      <c r="H94" s="61"/>
      <c r="I94" s="5" t="s">
        <v>8</v>
      </c>
      <c r="J94" s="63">
        <v>5.8</v>
      </c>
      <c r="K94" s="61"/>
      <c r="L94" s="5" t="s">
        <v>8</v>
      </c>
      <c r="M94" s="63">
        <v>1</v>
      </c>
      <c r="N94" s="61"/>
      <c r="O94" s="5"/>
      <c r="P94" s="5"/>
      <c r="Q94" s="5"/>
      <c r="R94" s="5"/>
      <c r="S94" s="5"/>
      <c r="T94" s="5"/>
      <c r="U94" s="5"/>
      <c r="V94" s="5" t="s">
        <v>14</v>
      </c>
      <c r="W94" s="63">
        <f>-ROUND(G94*J94*M94, 3)</f>
        <v>-223.80500000000001</v>
      </c>
      <c r="X94" s="61"/>
      <c r="Y94" s="62"/>
      <c r="Z94" s="7"/>
      <c r="AA94" s="7"/>
      <c r="AB94" s="15"/>
    </row>
    <row r="95" spans="1:28" ht="15" customHeight="1" x14ac:dyDescent="0.15">
      <c r="A95" s="14"/>
      <c r="B95" s="2"/>
      <c r="C95" s="2"/>
      <c r="D95" s="22"/>
      <c r="E95" s="5"/>
      <c r="F95" s="6" t="s">
        <v>44</v>
      </c>
      <c r="G95" s="63">
        <v>1</v>
      </c>
      <c r="H95" s="61"/>
      <c r="I95" s="5" t="s">
        <v>8</v>
      </c>
      <c r="J95" s="63">
        <v>3.355</v>
      </c>
      <c r="K95" s="61"/>
      <c r="L95" s="5" t="s">
        <v>8</v>
      </c>
      <c r="M95" s="63">
        <v>38.587000000000003</v>
      </c>
      <c r="N95" s="61"/>
      <c r="O95" s="5"/>
      <c r="P95" s="5"/>
      <c r="Q95" s="5"/>
      <c r="R95" s="5"/>
      <c r="S95" s="5"/>
      <c r="T95" s="5"/>
      <c r="U95" s="5"/>
      <c r="V95" s="5" t="s">
        <v>14</v>
      </c>
      <c r="W95" s="63">
        <f>-ROUND(G95*J95*M95, 3)</f>
        <v>-129.459</v>
      </c>
      <c r="X95" s="61"/>
      <c r="Y95" s="62"/>
      <c r="Z95" s="7"/>
      <c r="AA95" s="7"/>
      <c r="AB95" s="15"/>
    </row>
    <row r="96" spans="1:28" ht="15" customHeight="1" x14ac:dyDescent="0.15">
      <c r="A96" s="14"/>
      <c r="B96" s="2"/>
      <c r="C96" s="2"/>
      <c r="D96" s="22"/>
      <c r="E96" s="5"/>
      <c r="F96" s="6" t="s">
        <v>45</v>
      </c>
      <c r="G96" s="63">
        <v>38.786999999999999</v>
      </c>
      <c r="H96" s="61"/>
      <c r="I96" s="5" t="s">
        <v>8</v>
      </c>
      <c r="J96" s="63">
        <v>6</v>
      </c>
      <c r="K96" s="61"/>
      <c r="L96" s="5" t="s">
        <v>8</v>
      </c>
      <c r="M96" s="63">
        <v>0.1</v>
      </c>
      <c r="N96" s="61"/>
      <c r="O96" s="5"/>
      <c r="P96" s="5"/>
      <c r="Q96" s="5"/>
      <c r="R96" s="5"/>
      <c r="S96" s="5"/>
      <c r="T96" s="5"/>
      <c r="U96" s="5"/>
      <c r="V96" s="5" t="s">
        <v>14</v>
      </c>
      <c r="W96" s="63">
        <f>-ROUND(G96*J96*M96, 3)</f>
        <v>-23.271999999999998</v>
      </c>
      <c r="X96" s="61"/>
      <c r="Y96" s="62"/>
      <c r="Z96" s="7"/>
      <c r="AA96" s="7"/>
      <c r="AB96" s="15"/>
    </row>
    <row r="97" spans="1:28" ht="15" customHeight="1" x14ac:dyDescent="0.15">
      <c r="A97" s="14"/>
      <c r="B97" s="2"/>
      <c r="C97" s="2"/>
      <c r="D97" s="22"/>
      <c r="E97" s="5"/>
      <c r="F97" s="6" t="s">
        <v>46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23"/>
      <c r="Z97" s="7"/>
      <c r="AA97" s="7"/>
      <c r="AB97" s="15"/>
    </row>
    <row r="98" spans="1:28" ht="15" customHeight="1" x14ac:dyDescent="0.15">
      <c r="A98" s="14"/>
      <c r="B98" s="2"/>
      <c r="C98" s="2"/>
      <c r="D98" s="22"/>
      <c r="E98" s="5"/>
      <c r="F98" s="6"/>
      <c r="G98" s="5" t="s">
        <v>7</v>
      </c>
      <c r="H98" s="63">
        <v>0.5</v>
      </c>
      <c r="I98" s="61"/>
      <c r="J98" s="5" t="s">
        <v>10</v>
      </c>
      <c r="K98" s="63">
        <v>3.855</v>
      </c>
      <c r="L98" s="61"/>
      <c r="M98" s="5" t="s">
        <v>9</v>
      </c>
      <c r="N98" s="5" t="s">
        <v>13</v>
      </c>
      <c r="O98" s="8">
        <v>2</v>
      </c>
      <c r="P98" s="5" t="s">
        <v>8</v>
      </c>
      <c r="Q98" s="63">
        <v>3.355</v>
      </c>
      <c r="R98" s="61"/>
      <c r="S98" s="5" t="s">
        <v>9</v>
      </c>
      <c r="T98" s="5" t="s">
        <v>8</v>
      </c>
      <c r="U98" s="5"/>
      <c r="V98" s="5"/>
      <c r="W98" s="5"/>
      <c r="X98" s="5"/>
      <c r="Y98" s="23"/>
      <c r="Z98" s="7"/>
      <c r="AA98" s="7"/>
      <c r="AB98" s="15" t="s">
        <v>15</v>
      </c>
    </row>
    <row r="99" spans="1:28" ht="15" customHeight="1" x14ac:dyDescent="0.15">
      <c r="A99" s="14"/>
      <c r="B99" s="2"/>
      <c r="C99" s="2"/>
      <c r="D99" s="22"/>
      <c r="E99" s="5"/>
      <c r="F99" s="6"/>
      <c r="G99" s="63">
        <v>38.587000000000003</v>
      </c>
      <c r="H99" s="61"/>
      <c r="I99" s="5" t="s">
        <v>9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 t="s">
        <v>14</v>
      </c>
      <c r="W99" s="63">
        <f>-ROUND((((H98+K98)/O98*Q98)*G99), 3)</f>
        <v>-281.89800000000002</v>
      </c>
      <c r="X99" s="61"/>
      <c r="Y99" s="62"/>
      <c r="Z99" s="57">
        <f>ROUND(SUM(W92:Y99), 3)</f>
        <v>1841.2909999999999</v>
      </c>
      <c r="AA99" s="58"/>
      <c r="AB99" s="59"/>
    </row>
    <row r="100" spans="1:28" ht="15" customHeight="1" x14ac:dyDescent="0.15">
      <c r="A100" s="16"/>
      <c r="B100" s="9"/>
      <c r="C100" s="9"/>
      <c r="D100" s="24"/>
      <c r="E100" s="10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25"/>
      <c r="Z100" s="12"/>
      <c r="AA100" s="12"/>
      <c r="AB100" s="17"/>
    </row>
    <row r="101" spans="1:28" ht="15" customHeight="1" x14ac:dyDescent="0.15">
      <c r="A101" s="18"/>
      <c r="B101" s="2"/>
      <c r="C101" s="2"/>
      <c r="D101" s="20"/>
      <c r="E101" s="5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21"/>
      <c r="Z101" s="7"/>
      <c r="AA101" s="7"/>
      <c r="AB101" s="19"/>
    </row>
    <row r="102" spans="1:28" ht="15" customHeight="1" x14ac:dyDescent="0.15">
      <c r="A102" s="14" t="s">
        <v>47</v>
      </c>
      <c r="B102" s="2"/>
      <c r="C102" s="2"/>
      <c r="D102" s="22"/>
      <c r="E102" s="5"/>
      <c r="F102" s="6" t="s">
        <v>48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23"/>
      <c r="Z102" s="7"/>
      <c r="AA102" s="7"/>
      <c r="AB102" s="15" t="s">
        <v>15</v>
      </c>
    </row>
    <row r="103" spans="1:28" ht="15" customHeight="1" x14ac:dyDescent="0.15">
      <c r="A103" s="14"/>
      <c r="B103" s="2"/>
      <c r="C103" s="2"/>
      <c r="D103" s="22"/>
      <c r="E103" s="5"/>
      <c r="F103" s="6"/>
      <c r="G103" s="64">
        <f>ROUND(W49+W54+W56+W60, 3)</f>
        <v>2499.7249999999999</v>
      </c>
      <c r="H103" s="61"/>
      <c r="I103" s="61"/>
      <c r="J103" s="5" t="s">
        <v>49</v>
      </c>
      <c r="K103" s="64">
        <f>ROUND(W92+W94+W95+W96+W99, 3)</f>
        <v>1841.2909999999999</v>
      </c>
      <c r="L103" s="61"/>
      <c r="M103" s="61"/>
      <c r="N103" s="5"/>
      <c r="O103" s="5"/>
      <c r="P103" s="5"/>
      <c r="Q103" s="5"/>
      <c r="R103" s="5"/>
      <c r="S103" s="5"/>
      <c r="T103" s="5"/>
      <c r="U103" s="5"/>
      <c r="V103" s="5" t="s">
        <v>14</v>
      </c>
      <c r="W103" s="63">
        <f>ROUND(G103-K103, 3)</f>
        <v>658.43399999999997</v>
      </c>
      <c r="X103" s="61"/>
      <c r="Y103" s="62"/>
      <c r="Z103" s="57">
        <f>ROUND(SUM(W103:X103), 3)</f>
        <v>658.43399999999997</v>
      </c>
      <c r="AA103" s="58"/>
      <c r="AB103" s="59"/>
    </row>
    <row r="104" spans="1:28" ht="15" customHeight="1" x14ac:dyDescent="0.15">
      <c r="A104" s="16"/>
      <c r="B104" s="9"/>
      <c r="C104" s="9"/>
      <c r="D104" s="24"/>
      <c r="E104" s="10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25"/>
      <c r="Z104" s="12"/>
      <c r="AA104" s="12"/>
      <c r="AB104" s="17"/>
    </row>
    <row r="105" spans="1:28" ht="15" customHeight="1" x14ac:dyDescent="0.15">
      <c r="A105" s="18"/>
      <c r="B105" s="2"/>
      <c r="C105" s="2"/>
      <c r="D105" s="20"/>
      <c r="E105" s="5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21"/>
      <c r="Z105" s="7"/>
      <c r="AA105" s="7"/>
      <c r="AB105" s="19"/>
    </row>
    <row r="106" spans="1:28" ht="15" customHeight="1" x14ac:dyDescent="0.15">
      <c r="A106" s="14" t="s">
        <v>50</v>
      </c>
      <c r="B106" s="2"/>
      <c r="C106" s="2"/>
      <c r="D106" s="22"/>
      <c r="E106" s="5"/>
      <c r="F106" s="6" t="s">
        <v>51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23"/>
      <c r="Z106" s="7"/>
      <c r="AA106" s="7"/>
      <c r="AB106" s="15"/>
    </row>
    <row r="107" spans="1:28" ht="15" customHeight="1" x14ac:dyDescent="0.15">
      <c r="A107" s="14"/>
      <c r="B107" s="2"/>
      <c r="C107" s="2"/>
      <c r="D107" s="22"/>
      <c r="E107" s="5"/>
      <c r="F107" s="6"/>
      <c r="G107" s="5" t="s">
        <v>7</v>
      </c>
      <c r="H107" s="63">
        <v>5.57</v>
      </c>
      <c r="I107" s="61"/>
      <c r="J107" s="5" t="s">
        <v>10</v>
      </c>
      <c r="K107" s="63">
        <v>6.57</v>
      </c>
      <c r="L107" s="61"/>
      <c r="M107" s="5" t="s">
        <v>9</v>
      </c>
      <c r="N107" s="5" t="s">
        <v>13</v>
      </c>
      <c r="O107" s="8">
        <v>2</v>
      </c>
      <c r="P107" s="5" t="s">
        <v>8</v>
      </c>
      <c r="Q107" s="63">
        <v>1</v>
      </c>
      <c r="R107" s="61"/>
      <c r="S107" s="5" t="s">
        <v>9</v>
      </c>
      <c r="T107" s="5" t="s">
        <v>8</v>
      </c>
      <c r="U107" s="5"/>
      <c r="V107" s="5"/>
      <c r="W107" s="5"/>
      <c r="X107" s="5"/>
      <c r="Y107" s="23"/>
      <c r="Z107" s="7"/>
      <c r="AA107" s="7"/>
      <c r="AB107" s="15" t="s">
        <v>15</v>
      </c>
    </row>
    <row r="108" spans="1:28" ht="15" customHeight="1" x14ac:dyDescent="0.15">
      <c r="A108" s="14"/>
      <c r="B108" s="2"/>
      <c r="C108" s="2"/>
      <c r="D108" s="22"/>
      <c r="E108" s="5"/>
      <c r="F108" s="6"/>
      <c r="G108" s="63">
        <v>38.587000000000003</v>
      </c>
      <c r="H108" s="61"/>
      <c r="I108" s="5" t="s">
        <v>9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 t="s">
        <v>14</v>
      </c>
      <c r="W108" s="63">
        <f>ROUND((((H107+K107)/O107*Q107)*G108), 3)</f>
        <v>234.22300000000001</v>
      </c>
      <c r="X108" s="61"/>
      <c r="Y108" s="62"/>
      <c r="Z108" s="57">
        <f>ROUND(SUM(W108:X108), 3)</f>
        <v>234.22300000000001</v>
      </c>
      <c r="AA108" s="58"/>
      <c r="AB108" s="59"/>
    </row>
    <row r="109" spans="1:28" ht="15" customHeight="1" x14ac:dyDescent="0.15">
      <c r="A109" s="14"/>
      <c r="B109" s="2"/>
      <c r="C109" s="2"/>
      <c r="D109" s="22"/>
      <c r="E109" s="5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23"/>
      <c r="Z109" s="7"/>
      <c r="AA109" s="7"/>
      <c r="AB109" s="15"/>
    </row>
    <row r="110" spans="1:28" ht="15" customHeight="1" x14ac:dyDescent="0.15">
      <c r="A110" s="14"/>
      <c r="B110" s="2"/>
      <c r="C110" s="2"/>
      <c r="D110" s="22"/>
      <c r="E110" s="5"/>
      <c r="F110" s="6" t="s">
        <v>52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23"/>
      <c r="Z110" s="7"/>
      <c r="AA110" s="7"/>
      <c r="AB110" s="15"/>
    </row>
    <row r="111" spans="1:28" ht="15" customHeight="1" x14ac:dyDescent="0.15">
      <c r="A111" s="14"/>
      <c r="B111" s="2"/>
      <c r="C111" s="2"/>
      <c r="D111" s="22"/>
      <c r="E111" s="5"/>
      <c r="F111" s="6"/>
      <c r="G111" s="5" t="s">
        <v>7</v>
      </c>
      <c r="H111" s="63">
        <v>4.8550000000000004</v>
      </c>
      <c r="I111" s="61"/>
      <c r="J111" s="5" t="s">
        <v>10</v>
      </c>
      <c r="K111" s="63">
        <v>5.57</v>
      </c>
      <c r="L111" s="61"/>
      <c r="M111" s="5" t="s">
        <v>9</v>
      </c>
      <c r="N111" s="5" t="s">
        <v>13</v>
      </c>
      <c r="O111" s="8">
        <v>2</v>
      </c>
      <c r="P111" s="5" t="s">
        <v>8</v>
      </c>
      <c r="Q111" s="63">
        <v>0.71499999999999997</v>
      </c>
      <c r="R111" s="61"/>
      <c r="S111" s="5" t="s">
        <v>9</v>
      </c>
      <c r="T111" s="5" t="s">
        <v>8</v>
      </c>
      <c r="U111" s="5"/>
      <c r="V111" s="5"/>
      <c r="W111" s="5"/>
      <c r="X111" s="5"/>
      <c r="Y111" s="23"/>
      <c r="Z111" s="7"/>
      <c r="AA111" s="7"/>
      <c r="AB111" s="15" t="s">
        <v>15</v>
      </c>
    </row>
    <row r="112" spans="1:28" ht="15" customHeight="1" x14ac:dyDescent="0.15">
      <c r="A112" s="14"/>
      <c r="B112" s="2"/>
      <c r="C112" s="2"/>
      <c r="D112" s="22"/>
      <c r="E112" s="5"/>
      <c r="F112" s="6"/>
      <c r="G112" s="63">
        <v>38.587000000000003</v>
      </c>
      <c r="H112" s="61"/>
      <c r="I112" s="5" t="s">
        <v>9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 t="s">
        <v>14</v>
      </c>
      <c r="W112" s="63">
        <f>ROUND((((H111+K111)/O111*Q111)*G112), 3)</f>
        <v>143.81100000000001</v>
      </c>
      <c r="X112" s="61"/>
      <c r="Y112" s="62"/>
      <c r="Z112" s="57">
        <f>ROUND(SUM(W112:X112), 3)</f>
        <v>143.81100000000001</v>
      </c>
      <c r="AA112" s="58"/>
      <c r="AB112" s="59"/>
    </row>
    <row r="113" spans="1:28" ht="15" customHeight="1" x14ac:dyDescent="0.15">
      <c r="A113" s="16"/>
      <c r="B113" s="9"/>
      <c r="C113" s="9"/>
      <c r="D113" s="24"/>
      <c r="E113" s="10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25"/>
      <c r="Z113" s="12"/>
      <c r="AA113" s="12"/>
      <c r="AB113" s="17"/>
    </row>
  </sheetData>
  <mergeCells count="81">
    <mergeCell ref="A2:D2"/>
    <mergeCell ref="E2:Y2"/>
    <mergeCell ref="Z2:AB2"/>
    <mergeCell ref="H48:I48"/>
    <mergeCell ref="K48:L48"/>
    <mergeCell ref="P48:Q48"/>
    <mergeCell ref="S48:T48"/>
    <mergeCell ref="H59:I59"/>
    <mergeCell ref="K59:L59"/>
    <mergeCell ref="P59:Q59"/>
    <mergeCell ref="S59:T59"/>
    <mergeCell ref="K49:L49"/>
    <mergeCell ref="H53:I53"/>
    <mergeCell ref="K53:L53"/>
    <mergeCell ref="P53:Q53"/>
    <mergeCell ref="S53:T53"/>
    <mergeCell ref="K54:L54"/>
    <mergeCell ref="H55:I55"/>
    <mergeCell ref="K55:L55"/>
    <mergeCell ref="P55:Q55"/>
    <mergeCell ref="S55:T55"/>
    <mergeCell ref="K56:L56"/>
    <mergeCell ref="Q80:R80"/>
    <mergeCell ref="G81:H81"/>
    <mergeCell ref="H85:I85"/>
    <mergeCell ref="K85:L85"/>
    <mergeCell ref="Q85:R85"/>
    <mergeCell ref="G95:H95"/>
    <mergeCell ref="J95:K95"/>
    <mergeCell ref="M95:N95"/>
    <mergeCell ref="K60:L60"/>
    <mergeCell ref="H80:I80"/>
    <mergeCell ref="K80:L80"/>
    <mergeCell ref="G86:H86"/>
    <mergeCell ref="G92:I92"/>
    <mergeCell ref="G94:H94"/>
    <mergeCell ref="J94:K94"/>
    <mergeCell ref="M94:N94"/>
    <mergeCell ref="Q107:R107"/>
    <mergeCell ref="G96:H96"/>
    <mergeCell ref="J96:K96"/>
    <mergeCell ref="M96:N96"/>
    <mergeCell ref="H98:I98"/>
    <mergeCell ref="K98:L98"/>
    <mergeCell ref="Q98:R98"/>
    <mergeCell ref="G99:H99"/>
    <mergeCell ref="G103:I103"/>
    <mergeCell ref="K103:M103"/>
    <mergeCell ref="H107:I107"/>
    <mergeCell ref="K107:L107"/>
    <mergeCell ref="W49:Y49"/>
    <mergeCell ref="W54:Y54"/>
    <mergeCell ref="W56:Y56"/>
    <mergeCell ref="W60:Y60"/>
    <mergeCell ref="W81:Y81"/>
    <mergeCell ref="G108:H108"/>
    <mergeCell ref="H111:I111"/>
    <mergeCell ref="K111:L111"/>
    <mergeCell ref="Q111:R111"/>
    <mergeCell ref="G112:H112"/>
    <mergeCell ref="W86:Y86"/>
    <mergeCell ref="W92:Y92"/>
    <mergeCell ref="W94:Y94"/>
    <mergeCell ref="W95:Y95"/>
    <mergeCell ref="W96:Y96"/>
    <mergeCell ref="Z103:AB103"/>
    <mergeCell ref="Z108:AB108"/>
    <mergeCell ref="Z112:AB112"/>
    <mergeCell ref="A48:D48"/>
    <mergeCell ref="A53:D53"/>
    <mergeCell ref="W99:Y99"/>
    <mergeCell ref="W103:Y103"/>
    <mergeCell ref="W108:Y108"/>
    <mergeCell ref="W112:Y112"/>
    <mergeCell ref="Z49:AB49"/>
    <mergeCell ref="Z56:AB56"/>
    <mergeCell ref="Z60:AB60"/>
    <mergeCell ref="Z76:AB76"/>
    <mergeCell ref="Z86:AB86"/>
    <mergeCell ref="Z99:AB99"/>
    <mergeCell ref="W83:Y83"/>
  </mergeCells>
  <phoneticPr fontId="1" type="noConversion"/>
  <printOptions horizontalCentered="1"/>
  <pageMargins left="0.59055118110236249" right="0.59055118110236249" top="0.98425196850393748" bottom="0.78740157480314998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0860-89A5-43B5-91B2-6AE509C44E40}">
  <dimension ref="A1"/>
  <sheetViews>
    <sheetView view="pageBreakPreview" zoomScaleNormal="100" zoomScaleSheetLayoutView="100"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토공수량 토공 집계표</vt:lpstr>
      <vt:lpstr>시점측 토공 산출근거</vt:lpstr>
      <vt:lpstr>종점측 토공 산출근거</vt:lpstr>
      <vt:lpstr>Sheet1</vt:lpstr>
      <vt:lpstr>'시점측 토공 산출근거'!Print_Area</vt:lpstr>
      <vt:lpstr>'종점측 토공 산출근거'!Print_Area</vt:lpstr>
      <vt:lpstr>'시점측 토공 산출근거'!Print_Titles</vt:lpstr>
      <vt:lpstr>'종점측 토공 산출근거'!Print_Titles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직원용</dc:creator>
  <cp:lastModifiedBy>찬욱 곽</cp:lastModifiedBy>
  <dcterms:created xsi:type="dcterms:W3CDTF">2025-11-19T06:03:41Z</dcterms:created>
  <dcterms:modified xsi:type="dcterms:W3CDTF">2026-03-05T12:03:25Z</dcterms:modified>
</cp:coreProperties>
</file>