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mon\speckitProject\quantity-aggregator\tests\fixtures\galjeon7\"/>
    </mc:Choice>
  </mc:AlternateContent>
  <bookViews>
    <workbookView xWindow="32760" yWindow="32760" windowWidth="28800" windowHeight="12285" tabRatio="899" activeTab="12"/>
  </bookViews>
  <sheets>
    <sheet name="간지" sheetId="19" r:id="rId1"/>
    <sheet name="간지(1)xx" sheetId="20" r:id="rId2"/>
    <sheet name="내역서" sheetId="24" r:id="rId3"/>
    <sheet name="간지(2)xx" sheetId="21" r:id="rId4"/>
    <sheet name="주요자재" sheetId="9" r:id="rId5"/>
    <sheet name="콘크리트자재집계" sheetId="10" r:id="rId6"/>
    <sheet name="골재수량 집계표" sheetId="12" state="hidden" r:id="rId7"/>
    <sheet name="시멘트 및 골재량 산출" sheetId="26" r:id="rId8"/>
    <sheet name="간지(3)xx" sheetId="25" r:id="rId9"/>
    <sheet name="전체이월수량" sheetId="17" r:id="rId10"/>
    <sheet name="간지(4)xx" sheetId="22" r:id="rId11"/>
    <sheet name="토공총괄집계표" sheetId="3" r:id="rId12"/>
    <sheet name="구조물공총괄집계표" sheetId="2" r:id="rId13"/>
    <sheet name="철근총괄" sheetId="14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</externalReferences>
  <calcPr calcId="191029" iterate="1"/>
</workbook>
</file>

<file path=xl/calcChain.xml><?xml version="1.0" encoding="utf-8"?>
<calcChain xmlns="http://schemas.openxmlformats.org/spreadsheetml/2006/main">
  <c r="F434" i="24" l="1"/>
  <c r="D31" i="17"/>
  <c r="G435" i="24"/>
  <c r="G357" i="24"/>
  <c r="N31" i="24"/>
  <c r="J31" i="24"/>
  <c r="G31" i="24"/>
  <c r="B31" i="24"/>
  <c r="N30" i="24"/>
  <c r="J30" i="24"/>
  <c r="G30" i="24"/>
  <c r="B30" i="24"/>
  <c r="N29" i="24"/>
  <c r="J29" i="24"/>
  <c r="G29" i="24"/>
  <c r="B29" i="24"/>
  <c r="N28" i="24"/>
  <c r="J28" i="24"/>
  <c r="G28" i="24"/>
  <c r="B28" i="24"/>
  <c r="N27" i="24"/>
  <c r="J27" i="24"/>
  <c r="B27" i="24"/>
  <c r="G27" i="24"/>
  <c r="G233" i="2"/>
  <c r="G232" i="2"/>
  <c r="G231" i="2"/>
  <c r="G230" i="2"/>
  <c r="E128" i="2"/>
  <c r="G128" i="2"/>
  <c r="F50" i="24"/>
  <c r="G50" i="24"/>
  <c r="E170" i="2"/>
  <c r="G170" i="2"/>
  <c r="E169" i="2"/>
  <c r="G169" i="2"/>
  <c r="G359" i="24"/>
  <c r="E168" i="2"/>
  <c r="G168" i="2"/>
  <c r="G358" i="24"/>
  <c r="N51" i="24"/>
  <c r="J51" i="24"/>
  <c r="B51" i="24"/>
  <c r="N50" i="24"/>
  <c r="J50" i="24"/>
  <c r="B50" i="24"/>
  <c r="E129" i="2"/>
  <c r="G129" i="2"/>
  <c r="F51" i="24"/>
  <c r="G51" i="24"/>
  <c r="E77" i="2"/>
  <c r="G77" i="2"/>
  <c r="E76" i="2"/>
  <c r="G76" i="2"/>
  <c r="F182" i="24"/>
  <c r="G182" i="24"/>
  <c r="E75" i="2"/>
  <c r="G75" i="2"/>
  <c r="F210" i="24"/>
  <c r="G210" i="24"/>
  <c r="E20" i="2"/>
  <c r="G20" i="2"/>
  <c r="F88" i="24"/>
  <c r="G88" i="24"/>
  <c r="E19" i="2"/>
  <c r="G19" i="2"/>
  <c r="F87" i="24"/>
  <c r="G87" i="24"/>
  <c r="E127" i="2"/>
  <c r="G127" i="2"/>
  <c r="F49" i="24"/>
  <c r="G49" i="24"/>
  <c r="E8" i="2"/>
  <c r="E11" i="2"/>
  <c r="G11" i="2"/>
  <c r="F135" i="24"/>
  <c r="G135" i="24"/>
  <c r="E70" i="2"/>
  <c r="G70" i="2"/>
  <c r="F230" i="24"/>
  <c r="G230" i="24"/>
  <c r="E131" i="2"/>
  <c r="G131" i="2"/>
  <c r="F34" i="24"/>
  <c r="G34" i="24"/>
  <c r="E111" i="2"/>
  <c r="G111" i="2"/>
  <c r="F124" i="24"/>
  <c r="G124" i="24"/>
  <c r="E69" i="2"/>
  <c r="G69" i="2"/>
  <c r="F139" i="24"/>
  <c r="G139" i="24"/>
  <c r="E122" i="2"/>
  <c r="G122" i="2"/>
  <c r="F140" i="24"/>
  <c r="G140" i="24"/>
  <c r="E64" i="2"/>
  <c r="G64" i="2"/>
  <c r="E66" i="2"/>
  <c r="G66" i="2"/>
  <c r="G321" i="24"/>
  <c r="N322" i="24"/>
  <c r="J322" i="24"/>
  <c r="B322" i="24"/>
  <c r="N339" i="24"/>
  <c r="J339" i="24"/>
  <c r="B339" i="24"/>
  <c r="N355" i="24"/>
  <c r="J355" i="24"/>
  <c r="B355" i="24"/>
  <c r="N353" i="24"/>
  <c r="J353" i="24"/>
  <c r="B353" i="24"/>
  <c r="N334" i="24"/>
  <c r="J334" i="24"/>
  <c r="G334" i="24"/>
  <c r="B334" i="24"/>
  <c r="N333" i="24"/>
  <c r="J333" i="24"/>
  <c r="B333" i="24"/>
  <c r="N292" i="24"/>
  <c r="J292" i="24"/>
  <c r="B292" i="24"/>
  <c r="G140" i="2"/>
  <c r="G141" i="2"/>
  <c r="F41" i="24"/>
  <c r="G41" i="24"/>
  <c r="G142" i="2"/>
  <c r="G143" i="2"/>
  <c r="G144" i="2"/>
  <c r="G145" i="2"/>
  <c r="F45" i="24"/>
  <c r="G45" i="24"/>
  <c r="G146" i="2"/>
  <c r="G147" i="2"/>
  <c r="G148" i="2"/>
  <c r="G149" i="2"/>
  <c r="G150" i="2"/>
  <c r="G151" i="2"/>
  <c r="G152" i="2"/>
  <c r="G153" i="2"/>
  <c r="G154" i="2"/>
  <c r="G155" i="2"/>
  <c r="F57" i="24"/>
  <c r="G57" i="24"/>
  <c r="G156" i="2"/>
  <c r="G157" i="2"/>
  <c r="G158" i="2"/>
  <c r="G159" i="2"/>
  <c r="G160" i="2"/>
  <c r="G161" i="2"/>
  <c r="F62" i="24"/>
  <c r="G62" i="24"/>
  <c r="G162" i="2"/>
  <c r="F65" i="24"/>
  <c r="G65" i="24"/>
  <c r="G163" i="2"/>
  <c r="G164" i="2"/>
  <c r="G165" i="2"/>
  <c r="G166" i="2"/>
  <c r="G167" i="2"/>
  <c r="G360" i="24"/>
  <c r="G171" i="2"/>
  <c r="G172" i="2"/>
  <c r="G173" i="2"/>
  <c r="F296" i="24"/>
  <c r="G296" i="24"/>
  <c r="G174" i="2"/>
  <c r="F297" i="24"/>
  <c r="G297" i="24"/>
  <c r="G175" i="2"/>
  <c r="F298" i="24"/>
  <c r="G298" i="24"/>
  <c r="G176" i="2"/>
  <c r="G177" i="2"/>
  <c r="G178" i="2"/>
  <c r="G179" i="2"/>
  <c r="G194" i="2"/>
  <c r="G195" i="2"/>
  <c r="G196" i="2"/>
  <c r="G201" i="2"/>
  <c r="G207" i="2"/>
  <c r="G208" i="2"/>
  <c r="G209" i="2"/>
  <c r="G210" i="2"/>
  <c r="G211" i="2"/>
  <c r="G212" i="2"/>
  <c r="F347" i="24"/>
  <c r="G347" i="24"/>
  <c r="G213" i="2"/>
  <c r="F348" i="24"/>
  <c r="G348" i="24"/>
  <c r="G214" i="2"/>
  <c r="C13" i="26"/>
  <c r="G215" i="2"/>
  <c r="G216" i="2"/>
  <c r="G217" i="2"/>
  <c r="G218" i="2"/>
  <c r="G219" i="2"/>
  <c r="G220" i="2"/>
  <c r="G221" i="2"/>
  <c r="G222" i="2"/>
  <c r="E202" i="2"/>
  <c r="G202" i="2"/>
  <c r="F328" i="24"/>
  <c r="G328" i="24"/>
  <c r="E200" i="2"/>
  <c r="G200" i="2"/>
  <c r="F333" i="24"/>
  <c r="G333" i="24"/>
  <c r="E199" i="2"/>
  <c r="G199" i="2"/>
  <c r="F332" i="24"/>
  <c r="G332" i="24"/>
  <c r="E198" i="2"/>
  <c r="G198" i="2"/>
  <c r="F331" i="24"/>
  <c r="G331" i="24"/>
  <c r="E229" i="2"/>
  <c r="G229" i="2"/>
  <c r="F356" i="24"/>
  <c r="G356" i="24"/>
  <c r="E228" i="2"/>
  <c r="G228" i="2"/>
  <c r="F355" i="24"/>
  <c r="G355" i="24"/>
  <c r="E227" i="2"/>
  <c r="G227" i="2"/>
  <c r="F354" i="24"/>
  <c r="G354" i="24"/>
  <c r="E226" i="2"/>
  <c r="G226" i="2"/>
  <c r="F353" i="24"/>
  <c r="G353" i="24"/>
  <c r="E225" i="2"/>
  <c r="G225" i="2"/>
  <c r="F351" i="24"/>
  <c r="G351" i="24"/>
  <c r="E224" i="2"/>
  <c r="G224" i="2"/>
  <c r="F352" i="24"/>
  <c r="G352" i="24"/>
  <c r="E206" i="2"/>
  <c r="G206" i="2"/>
  <c r="F339" i="24"/>
  <c r="G339" i="24"/>
  <c r="E205" i="2"/>
  <c r="G205" i="2"/>
  <c r="F338" i="24"/>
  <c r="G338" i="24"/>
  <c r="E204" i="2"/>
  <c r="G204" i="2"/>
  <c r="F327" i="24"/>
  <c r="G327" i="24"/>
  <c r="E203" i="2"/>
  <c r="G203" i="2"/>
  <c r="F340" i="24"/>
  <c r="G340" i="24"/>
  <c r="E197" i="2"/>
  <c r="G197" i="2"/>
  <c r="F335" i="24"/>
  <c r="G335" i="24"/>
  <c r="E193" i="2"/>
  <c r="G193" i="2"/>
  <c r="F324" i="24"/>
  <c r="G324" i="24"/>
  <c r="E192" i="2"/>
  <c r="G192" i="2"/>
  <c r="F323" i="24"/>
  <c r="G323" i="24"/>
  <c r="E191" i="2"/>
  <c r="G191" i="2"/>
  <c r="E190" i="2"/>
  <c r="G190" i="2"/>
  <c r="F319" i="24"/>
  <c r="G319" i="24"/>
  <c r="E189" i="2"/>
  <c r="G189" i="2"/>
  <c r="F318" i="24"/>
  <c r="G318" i="24"/>
  <c r="E188" i="2"/>
  <c r="G188" i="2"/>
  <c r="F307" i="24"/>
  <c r="G307" i="24"/>
  <c r="E187" i="2"/>
  <c r="G187" i="2"/>
  <c r="F306" i="24"/>
  <c r="G306" i="24"/>
  <c r="E186" i="2"/>
  <c r="G186" i="2"/>
  <c r="F288" i="24"/>
  <c r="G288" i="24"/>
  <c r="E185" i="2"/>
  <c r="G185" i="2"/>
  <c r="F292" i="24"/>
  <c r="G292" i="24"/>
  <c r="E184" i="2"/>
  <c r="G184" i="2"/>
  <c r="F291" i="24"/>
  <c r="G291" i="24"/>
  <c r="E183" i="2"/>
  <c r="G183" i="2"/>
  <c r="F290" i="24"/>
  <c r="G290" i="24"/>
  <c r="E182" i="2"/>
  <c r="G182" i="2"/>
  <c r="F287" i="24"/>
  <c r="G287" i="24"/>
  <c r="E181" i="2"/>
  <c r="G181" i="2"/>
  <c r="F286" i="24"/>
  <c r="G286" i="24"/>
  <c r="E223" i="2"/>
  <c r="G223" i="2"/>
  <c r="F350" i="24"/>
  <c r="G350" i="24"/>
  <c r="E180" i="2"/>
  <c r="G180" i="2"/>
  <c r="F283" i="24"/>
  <c r="G283" i="24"/>
  <c r="F346" i="24"/>
  <c r="G346" i="24"/>
  <c r="F345" i="24"/>
  <c r="G345" i="24"/>
  <c r="F342" i="24"/>
  <c r="G342" i="24"/>
  <c r="G336" i="24"/>
  <c r="G309" i="24"/>
  <c r="F301" i="24"/>
  <c r="G301" i="24"/>
  <c r="F300" i="24"/>
  <c r="G300" i="24"/>
  <c r="F302" i="24"/>
  <c r="G302" i="24"/>
  <c r="F295" i="24"/>
  <c r="G295" i="24"/>
  <c r="F294" i="24"/>
  <c r="G294" i="24"/>
  <c r="N499" i="24"/>
  <c r="N278" i="24"/>
  <c r="N271" i="24"/>
  <c r="N270" i="24"/>
  <c r="N269" i="24"/>
  <c r="N137" i="24"/>
  <c r="E56" i="3"/>
  <c r="E55" i="3"/>
  <c r="E54" i="3"/>
  <c r="E53" i="3"/>
  <c r="H53" i="3"/>
  <c r="F266" i="24"/>
  <c r="G266" i="24"/>
  <c r="E52" i="3"/>
  <c r="E133" i="2"/>
  <c r="G133" i="2"/>
  <c r="J499" i="24"/>
  <c r="J498" i="24"/>
  <c r="E35" i="3"/>
  <c r="H35" i="3"/>
  <c r="D12" i="17"/>
  <c r="F12" i="17"/>
  <c r="E34" i="3"/>
  <c r="H34" i="3"/>
  <c r="D11" i="17"/>
  <c r="F11" i="17"/>
  <c r="E29" i="3"/>
  <c r="H29" i="3"/>
  <c r="F21" i="24"/>
  <c r="G21" i="24"/>
  <c r="E26" i="3"/>
  <c r="H26" i="3"/>
  <c r="E40" i="9"/>
  <c r="F465" i="24"/>
  <c r="G465" i="24"/>
  <c r="E18" i="3"/>
  <c r="H18" i="3"/>
  <c r="D3" i="17"/>
  <c r="F3" i="17"/>
  <c r="E17" i="3"/>
  <c r="H17" i="3"/>
  <c r="F20" i="24"/>
  <c r="G20" i="24"/>
  <c r="E14" i="3"/>
  <c r="H14" i="3"/>
  <c r="F14" i="24"/>
  <c r="G14" i="24"/>
  <c r="E13" i="3"/>
  <c r="H13" i="3"/>
  <c r="F13" i="24"/>
  <c r="G13" i="24"/>
  <c r="E7" i="3"/>
  <c r="H7" i="3"/>
  <c r="F7" i="24"/>
  <c r="G7" i="24"/>
  <c r="J4" i="14"/>
  <c r="J32" i="14"/>
  <c r="I4" i="14"/>
  <c r="I32" i="14"/>
  <c r="H4" i="14"/>
  <c r="H32" i="14"/>
  <c r="G4" i="14"/>
  <c r="L4" i="14"/>
  <c r="F4" i="14"/>
  <c r="F5" i="14"/>
  <c r="A47" i="24"/>
  <c r="A54" i="24"/>
  <c r="A55" i="24"/>
  <c r="A74" i="24"/>
  <c r="N54" i="24"/>
  <c r="J54" i="24"/>
  <c r="B54" i="24"/>
  <c r="N140" i="24"/>
  <c r="J140" i="24"/>
  <c r="B140" i="24"/>
  <c r="E5" i="14"/>
  <c r="J271" i="24"/>
  <c r="J230" i="24"/>
  <c r="B230" i="24"/>
  <c r="J219" i="24"/>
  <c r="B219" i="24"/>
  <c r="J167" i="24"/>
  <c r="J174" i="24"/>
  <c r="J172" i="24"/>
  <c r="J171" i="24"/>
  <c r="B171" i="24"/>
  <c r="J170" i="24"/>
  <c r="J81" i="24"/>
  <c r="J80" i="24"/>
  <c r="B80" i="24"/>
  <c r="J79" i="24"/>
  <c r="J78" i="24"/>
  <c r="J77" i="24"/>
  <c r="J76" i="24"/>
  <c r="J75" i="24"/>
  <c r="B75" i="24"/>
  <c r="J73" i="24"/>
  <c r="J74" i="24"/>
  <c r="B74" i="24"/>
  <c r="F11" i="2"/>
  <c r="F10" i="2"/>
  <c r="N79" i="24"/>
  <c r="N78" i="24"/>
  <c r="N77" i="24"/>
  <c r="N76" i="24"/>
  <c r="A1" i="26"/>
  <c r="A5" i="10"/>
  <c r="G96" i="2"/>
  <c r="F167" i="24"/>
  <c r="G167" i="24"/>
  <c r="G118" i="2"/>
  <c r="F405" i="24"/>
  <c r="G405" i="24"/>
  <c r="G117" i="2"/>
  <c r="F421" i="24"/>
  <c r="G421" i="24"/>
  <c r="G116" i="2"/>
  <c r="F410" i="24"/>
  <c r="G410" i="24"/>
  <c r="J496" i="24"/>
  <c r="J495" i="24"/>
  <c r="J494" i="24"/>
  <c r="J481" i="24"/>
  <c r="J480" i="24"/>
  <c r="J479" i="24"/>
  <c r="J476" i="24"/>
  <c r="J475" i="24"/>
  <c r="J474" i="24"/>
  <c r="J473" i="24"/>
  <c r="J472" i="24"/>
  <c r="J471" i="24"/>
  <c r="J470" i="24"/>
  <c r="J469" i="24"/>
  <c r="J468" i="24"/>
  <c r="J466" i="24"/>
  <c r="B466" i="24"/>
  <c r="J465" i="24"/>
  <c r="J464" i="24"/>
  <c r="J463" i="24"/>
  <c r="J460" i="24"/>
  <c r="J453" i="24"/>
  <c r="B453" i="24"/>
  <c r="J452" i="24"/>
  <c r="J451" i="24"/>
  <c r="J444" i="24"/>
  <c r="J443" i="24"/>
  <c r="J442" i="24"/>
  <c r="B442" i="24"/>
  <c r="J434" i="24"/>
  <c r="J431" i="24"/>
  <c r="J423" i="24"/>
  <c r="B423" i="24"/>
  <c r="J422" i="24"/>
  <c r="J421" i="24"/>
  <c r="J420" i="24"/>
  <c r="J419" i="24"/>
  <c r="J418" i="24"/>
  <c r="J417" i="24"/>
  <c r="J416" i="24"/>
  <c r="J415" i="24"/>
  <c r="J414" i="24"/>
  <c r="B414" i="24"/>
  <c r="J366" i="24"/>
  <c r="J365" i="24"/>
  <c r="J364" i="24"/>
  <c r="J363" i="24"/>
  <c r="J362" i="24"/>
  <c r="J361" i="24"/>
  <c r="J360" i="24"/>
  <c r="J359" i="24"/>
  <c r="J358" i="24"/>
  <c r="J357" i="24"/>
  <c r="B357" i="24"/>
  <c r="J352" i="24"/>
  <c r="J351" i="24"/>
  <c r="J349" i="24"/>
  <c r="J348" i="24"/>
  <c r="J347" i="24"/>
  <c r="J346" i="24"/>
  <c r="J345" i="24"/>
  <c r="J344" i="24"/>
  <c r="J343" i="24"/>
  <c r="J342" i="24"/>
  <c r="J341" i="24"/>
  <c r="J336" i="24"/>
  <c r="J335" i="24"/>
  <c r="J328" i="24"/>
  <c r="J327" i="24"/>
  <c r="J326" i="24"/>
  <c r="J324" i="24"/>
  <c r="J321" i="24"/>
  <c r="J320" i="24"/>
  <c r="J319" i="24"/>
  <c r="J317" i="24"/>
  <c r="J311" i="24"/>
  <c r="J310" i="24"/>
  <c r="J308" i="24"/>
  <c r="J307" i="24"/>
  <c r="J306" i="24"/>
  <c r="J305" i="24"/>
  <c r="J304" i="24"/>
  <c r="J303" i="24"/>
  <c r="J302" i="24"/>
  <c r="J301" i="24"/>
  <c r="J300" i="24"/>
  <c r="J299" i="24"/>
  <c r="J298" i="24"/>
  <c r="J297" i="24"/>
  <c r="J296" i="24"/>
  <c r="J295" i="24"/>
  <c r="J294" i="24"/>
  <c r="J293" i="24"/>
  <c r="J281" i="24"/>
  <c r="B281" i="24"/>
  <c r="J279" i="24"/>
  <c r="J275" i="24"/>
  <c r="J272" i="24"/>
  <c r="B272" i="24"/>
  <c r="J270" i="24"/>
  <c r="J269" i="24"/>
  <c r="B269" i="24"/>
  <c r="J267" i="24"/>
  <c r="J266" i="24"/>
  <c r="J265" i="24"/>
  <c r="J264" i="24"/>
  <c r="J263" i="24"/>
  <c r="B263" i="24"/>
  <c r="J229" i="24"/>
  <c r="J227" i="24"/>
  <c r="J226" i="24"/>
  <c r="J225" i="24"/>
  <c r="J224" i="24"/>
  <c r="J223" i="24"/>
  <c r="B223" i="24"/>
  <c r="J222" i="24"/>
  <c r="J221" i="24"/>
  <c r="J220" i="24"/>
  <c r="B220" i="24"/>
  <c r="G22" i="2"/>
  <c r="F104" i="24"/>
  <c r="G104" i="24"/>
  <c r="N305" i="24"/>
  <c r="N306" i="24"/>
  <c r="N307" i="24"/>
  <c r="G304" i="24"/>
  <c r="G310" i="24"/>
  <c r="G305" i="24"/>
  <c r="N111" i="24"/>
  <c r="J111" i="24"/>
  <c r="B111" i="24"/>
  <c r="N21" i="24"/>
  <c r="J21" i="24"/>
  <c r="B21" i="24"/>
  <c r="H57" i="3"/>
  <c r="G366" i="24"/>
  <c r="G365" i="24"/>
  <c r="G364" i="24"/>
  <c r="G363" i="24"/>
  <c r="G362" i="24"/>
  <c r="N112" i="24"/>
  <c r="J112" i="24"/>
  <c r="B112" i="24"/>
  <c r="H54" i="3"/>
  <c r="F17" i="17"/>
  <c r="H56" i="3"/>
  <c r="F267" i="24"/>
  <c r="G267" i="24"/>
  <c r="H49" i="3"/>
  <c r="F26" i="17"/>
  <c r="H48" i="3"/>
  <c r="B496" i="24"/>
  <c r="B495" i="24"/>
  <c r="N496" i="24"/>
  <c r="N495" i="24"/>
  <c r="N16" i="24"/>
  <c r="J16" i="24"/>
  <c r="N15" i="24"/>
  <c r="J15" i="24"/>
  <c r="N497" i="24"/>
  <c r="J497" i="24"/>
  <c r="G9" i="14"/>
  <c r="B278" i="24"/>
  <c r="N81" i="24"/>
  <c r="B81" i="24"/>
  <c r="N80" i="24"/>
  <c r="I5" i="10"/>
  <c r="B137" i="24"/>
  <c r="N136" i="24"/>
  <c r="J136" i="24"/>
  <c r="B136" i="24"/>
  <c r="M15" i="26"/>
  <c r="M16" i="26"/>
  <c r="E5" i="26"/>
  <c r="G5" i="26"/>
  <c r="E6" i="26"/>
  <c r="G6" i="26"/>
  <c r="E7" i="26"/>
  <c r="G7" i="26"/>
  <c r="E9" i="26"/>
  <c r="G9" i="26"/>
  <c r="E10" i="26"/>
  <c r="I15" i="26"/>
  <c r="I16" i="26"/>
  <c r="K15" i="26"/>
  <c r="K16" i="26"/>
  <c r="O15" i="26"/>
  <c r="O16" i="26"/>
  <c r="N229" i="24"/>
  <c r="B229" i="24"/>
  <c r="N366" i="24"/>
  <c r="B366" i="24"/>
  <c r="N365" i="24"/>
  <c r="B365" i="24"/>
  <c r="N364" i="24"/>
  <c r="B364" i="24"/>
  <c r="N363" i="24"/>
  <c r="B363" i="24"/>
  <c r="N362" i="24"/>
  <c r="B362" i="24"/>
  <c r="N321" i="24"/>
  <c r="B321" i="24"/>
  <c r="G343" i="24"/>
  <c r="G317" i="24"/>
  <c r="N422" i="24"/>
  <c r="B422" i="24"/>
  <c r="N421" i="24"/>
  <c r="N420" i="24"/>
  <c r="N419" i="24"/>
  <c r="N418" i="24"/>
  <c r="N417" i="24"/>
  <c r="N416" i="24"/>
  <c r="N415" i="24"/>
  <c r="B421" i="24"/>
  <c r="B420" i="24"/>
  <c r="B419" i="24"/>
  <c r="B418" i="24"/>
  <c r="B417" i="24"/>
  <c r="B416" i="24"/>
  <c r="B415" i="24"/>
  <c r="N414" i="24"/>
  <c r="B271" i="24"/>
  <c r="B270" i="24"/>
  <c r="H11" i="14"/>
  <c r="G11" i="14"/>
  <c r="F11" i="14"/>
  <c r="J9" i="14"/>
  <c r="F9" i="14"/>
  <c r="O5" i="10"/>
  <c r="E5" i="10"/>
  <c r="E13" i="10"/>
  <c r="E28" i="9"/>
  <c r="F476" i="24"/>
  <c r="G476" i="24"/>
  <c r="B9" i="2"/>
  <c r="B7" i="2"/>
  <c r="B28" i="9"/>
  <c r="B26" i="9"/>
  <c r="D475" i="24"/>
  <c r="D474" i="24"/>
  <c r="B27" i="9"/>
  <c r="B8" i="2"/>
  <c r="G12" i="2"/>
  <c r="F134" i="24"/>
  <c r="G134" i="24"/>
  <c r="F5" i="10"/>
  <c r="F13" i="10"/>
  <c r="H31" i="3"/>
  <c r="N464" i="24"/>
  <c r="B464" i="24"/>
  <c r="N434" i="24"/>
  <c r="B434" i="24"/>
  <c r="G15" i="24"/>
  <c r="H9" i="3"/>
  <c r="F9" i="24"/>
  <c r="G9" i="24"/>
  <c r="H22" i="3"/>
  <c r="D7" i="17"/>
  <c r="F7" i="17"/>
  <c r="H19" i="3"/>
  <c r="D32" i="14"/>
  <c r="F63" i="14"/>
  <c r="G49" i="2"/>
  <c r="F227" i="24"/>
  <c r="G227" i="24"/>
  <c r="G38" i="2"/>
  <c r="F121" i="24"/>
  <c r="G121" i="24"/>
  <c r="N445" i="24"/>
  <c r="B445" i="24"/>
  <c r="N463" i="24"/>
  <c r="B463" i="24"/>
  <c r="N226" i="24"/>
  <c r="B226" i="24"/>
  <c r="N219" i="24"/>
  <c r="G175" i="24"/>
  <c r="B164" i="24"/>
  <c r="N164" i="24"/>
  <c r="B497" i="24"/>
  <c r="N498" i="24"/>
  <c r="L223" i="2"/>
  <c r="B499" i="24"/>
  <c r="B498" i="24"/>
  <c r="N4" i="24"/>
  <c r="N5" i="24"/>
  <c r="N6" i="24"/>
  <c r="N7" i="24"/>
  <c r="N8" i="24"/>
  <c r="N9" i="24"/>
  <c r="N10" i="24"/>
  <c r="N11" i="24"/>
  <c r="N12" i="24"/>
  <c r="N13" i="24"/>
  <c r="N14" i="24"/>
  <c r="N17" i="24"/>
  <c r="N18" i="24"/>
  <c r="N19" i="24"/>
  <c r="N20" i="24"/>
  <c r="N22" i="24"/>
  <c r="N23" i="24"/>
  <c r="N24" i="24"/>
  <c r="N25" i="24"/>
  <c r="N26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2" i="24"/>
  <c r="N53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8" i="24"/>
  <c r="N139" i="24"/>
  <c r="N141" i="24"/>
  <c r="N142" i="24"/>
  <c r="N143" i="24"/>
  <c r="N144" i="24"/>
  <c r="N145" i="24"/>
  <c r="N146" i="24"/>
  <c r="N147" i="24"/>
  <c r="N148" i="24"/>
  <c r="N149" i="24"/>
  <c r="N150" i="24"/>
  <c r="N151" i="24"/>
  <c r="N152" i="24"/>
  <c r="N153" i="24"/>
  <c r="N154" i="24"/>
  <c r="N155" i="24"/>
  <c r="N156" i="24"/>
  <c r="N157" i="24"/>
  <c r="N158" i="24"/>
  <c r="N159" i="24"/>
  <c r="N160" i="24"/>
  <c r="N161" i="24"/>
  <c r="N162" i="24"/>
  <c r="N163" i="24"/>
  <c r="N165" i="24"/>
  <c r="N166" i="24"/>
  <c r="N167" i="24"/>
  <c r="N168" i="24"/>
  <c r="N169" i="24"/>
  <c r="N170" i="24"/>
  <c r="N171" i="24"/>
  <c r="N172" i="24"/>
  <c r="N173" i="24"/>
  <c r="N174" i="24"/>
  <c r="N175" i="24"/>
  <c r="N176" i="24"/>
  <c r="N177" i="24"/>
  <c r="N178" i="24"/>
  <c r="N179" i="24"/>
  <c r="N180" i="24"/>
  <c r="N181" i="24"/>
  <c r="N182" i="24"/>
  <c r="N183" i="24"/>
  <c r="N184" i="24"/>
  <c r="N185" i="24"/>
  <c r="N186" i="24"/>
  <c r="N187" i="24"/>
  <c r="N188" i="24"/>
  <c r="N189" i="24"/>
  <c r="N190" i="24"/>
  <c r="N191" i="24"/>
  <c r="N192" i="24"/>
  <c r="N193" i="24"/>
  <c r="N194" i="24"/>
  <c r="N195" i="24"/>
  <c r="N196" i="24"/>
  <c r="N197" i="24"/>
  <c r="N198" i="24"/>
  <c r="N199" i="24"/>
  <c r="N200" i="24"/>
  <c r="N201" i="24"/>
  <c r="N202" i="24"/>
  <c r="N203" i="24"/>
  <c r="N204" i="24"/>
  <c r="N205" i="24"/>
  <c r="N206" i="24"/>
  <c r="N207" i="24"/>
  <c r="N208" i="24"/>
  <c r="N209" i="24"/>
  <c r="N210" i="24"/>
  <c r="N211" i="24"/>
  <c r="N212" i="24"/>
  <c r="N213" i="24"/>
  <c r="N214" i="24"/>
  <c r="N215" i="24"/>
  <c r="N216" i="24"/>
  <c r="N217" i="24"/>
  <c r="N218" i="24"/>
  <c r="N220" i="24"/>
  <c r="N221" i="24"/>
  <c r="N222" i="24"/>
  <c r="N223" i="24"/>
  <c r="N224" i="24"/>
  <c r="N225" i="24"/>
  <c r="N227" i="24"/>
  <c r="N228" i="24"/>
  <c r="N230" i="24"/>
  <c r="N231" i="24"/>
  <c r="N232" i="24"/>
  <c r="N233" i="24"/>
  <c r="N234" i="24"/>
  <c r="N235" i="24"/>
  <c r="N236" i="24"/>
  <c r="N237" i="24"/>
  <c r="N238" i="24"/>
  <c r="N239" i="24"/>
  <c r="N240" i="24"/>
  <c r="N241" i="24"/>
  <c r="N242" i="24"/>
  <c r="N243" i="24"/>
  <c r="N244" i="24"/>
  <c r="N245" i="24"/>
  <c r="N246" i="24"/>
  <c r="N247" i="24"/>
  <c r="N248" i="24"/>
  <c r="N249" i="24"/>
  <c r="N250" i="24"/>
  <c r="N251" i="24"/>
  <c r="N252" i="24"/>
  <c r="N253" i="24"/>
  <c r="N254" i="24"/>
  <c r="N255" i="24"/>
  <c r="N256" i="24"/>
  <c r="N257" i="24"/>
  <c r="N258" i="24"/>
  <c r="N259" i="24"/>
  <c r="N260" i="24"/>
  <c r="N261" i="24"/>
  <c r="N262" i="24"/>
  <c r="N263" i="24"/>
  <c r="N264" i="24"/>
  <c r="N265" i="24"/>
  <c r="N266" i="24"/>
  <c r="N267" i="24"/>
  <c r="N268" i="24"/>
  <c r="N272" i="24"/>
  <c r="N273" i="24"/>
  <c r="N274" i="24"/>
  <c r="N275" i="24"/>
  <c r="N276" i="24"/>
  <c r="N277" i="24"/>
  <c r="N279" i="24"/>
  <c r="N280" i="24"/>
  <c r="N281" i="24"/>
  <c r="N282" i="24"/>
  <c r="N283" i="24"/>
  <c r="N284" i="24"/>
  <c r="N285" i="24"/>
  <c r="N286" i="24"/>
  <c r="N287" i="24"/>
  <c r="N288" i="24"/>
  <c r="N289" i="24"/>
  <c r="N290" i="24"/>
  <c r="N291" i="24"/>
  <c r="N293" i="24"/>
  <c r="N294" i="24"/>
  <c r="N295" i="24"/>
  <c r="N296" i="24"/>
  <c r="N297" i="24"/>
  <c r="N298" i="24"/>
  <c r="N299" i="24"/>
  <c r="N300" i="24"/>
  <c r="N301" i="24"/>
  <c r="N302" i="24"/>
  <c r="N303" i="24"/>
  <c r="N304" i="24"/>
  <c r="N308" i="24"/>
  <c r="N309" i="24"/>
  <c r="N310" i="24"/>
  <c r="N311" i="24"/>
  <c r="N312" i="24"/>
  <c r="N313" i="24"/>
  <c r="N314" i="24"/>
  <c r="N315" i="24"/>
  <c r="N316" i="24"/>
  <c r="N317" i="24"/>
  <c r="N318" i="24"/>
  <c r="N319" i="24"/>
  <c r="N320" i="24"/>
  <c r="N323" i="24"/>
  <c r="N324" i="24"/>
  <c r="N325" i="24"/>
  <c r="N326" i="24"/>
  <c r="N327" i="24"/>
  <c r="N328" i="24"/>
  <c r="N329" i="24"/>
  <c r="N330" i="24"/>
  <c r="N331" i="24"/>
  <c r="N332" i="24"/>
  <c r="N335" i="24"/>
  <c r="N336" i="24"/>
  <c r="N337" i="24"/>
  <c r="N338" i="24"/>
  <c r="N340" i="24"/>
  <c r="N341" i="24"/>
  <c r="N342" i="24"/>
  <c r="N343" i="24"/>
  <c r="N344" i="24"/>
  <c r="N345" i="24"/>
  <c r="N346" i="24"/>
  <c r="N347" i="24"/>
  <c r="N348" i="24"/>
  <c r="N349" i="24"/>
  <c r="N350" i="24"/>
  <c r="N351" i="24"/>
  <c r="N352" i="24"/>
  <c r="N354" i="24"/>
  <c r="N356" i="24"/>
  <c r="N357" i="24"/>
  <c r="N358" i="24"/>
  <c r="N359" i="24"/>
  <c r="N360" i="24"/>
  <c r="N361" i="24"/>
  <c r="N367" i="24"/>
  <c r="N368" i="24"/>
  <c r="N369" i="24"/>
  <c r="N370" i="24"/>
  <c r="N371" i="24"/>
  <c r="N372" i="24"/>
  <c r="N373" i="24"/>
  <c r="N374" i="24"/>
  <c r="N375" i="24"/>
  <c r="N376" i="24"/>
  <c r="N377" i="24"/>
  <c r="N378" i="24"/>
  <c r="N379" i="24"/>
  <c r="N380" i="24"/>
  <c r="N381" i="24"/>
  <c r="N382" i="24"/>
  <c r="N383" i="24"/>
  <c r="N384" i="24"/>
  <c r="N385" i="24"/>
  <c r="N386" i="24"/>
  <c r="N387" i="24"/>
  <c r="N388" i="24"/>
  <c r="N389" i="24"/>
  <c r="N390" i="24"/>
  <c r="N391" i="24"/>
  <c r="N392" i="24"/>
  <c r="N393" i="24"/>
  <c r="N394" i="24"/>
  <c r="N395" i="24"/>
  <c r="N396" i="24"/>
  <c r="N397" i="24"/>
  <c r="N398" i="24"/>
  <c r="N399" i="24"/>
  <c r="N400" i="24"/>
  <c r="N401" i="24"/>
  <c r="N402" i="24"/>
  <c r="N403" i="24"/>
  <c r="N404" i="24"/>
  <c r="N405" i="24"/>
  <c r="N406" i="24"/>
  <c r="N407" i="24"/>
  <c r="N408" i="24"/>
  <c r="N409" i="24"/>
  <c r="N410" i="24"/>
  <c r="N411" i="24"/>
  <c r="N412" i="24"/>
  <c r="N413" i="24"/>
  <c r="N423" i="24"/>
  <c r="N424" i="24"/>
  <c r="N425" i="24"/>
  <c r="N426" i="24"/>
  <c r="N427" i="24"/>
  <c r="N428" i="24"/>
  <c r="N429" i="24"/>
  <c r="N430" i="24"/>
  <c r="N431" i="24"/>
  <c r="N432" i="24"/>
  <c r="N433" i="24"/>
  <c r="N435" i="24"/>
  <c r="N436" i="24"/>
  <c r="N437" i="24"/>
  <c r="N438" i="24"/>
  <c r="N439" i="24"/>
  <c r="N440" i="24"/>
  <c r="N441" i="24"/>
  <c r="N442" i="24"/>
  <c r="N443" i="24"/>
  <c r="N444" i="24"/>
  <c r="N446" i="24"/>
  <c r="N447" i="24"/>
  <c r="N448" i="24"/>
  <c r="N449" i="24"/>
  <c r="N450" i="24"/>
  <c r="N451" i="24"/>
  <c r="N452" i="24"/>
  <c r="N453" i="24"/>
  <c r="N454" i="24"/>
  <c r="N455" i="24"/>
  <c r="N456" i="24"/>
  <c r="N457" i="24"/>
  <c r="N458" i="24"/>
  <c r="N459" i="24"/>
  <c r="N460" i="24"/>
  <c r="N461" i="24"/>
  <c r="N462" i="24"/>
  <c r="N466" i="24"/>
  <c r="N467" i="24"/>
  <c r="N468" i="24"/>
  <c r="N469" i="24"/>
  <c r="N470" i="24"/>
  <c r="N471" i="24"/>
  <c r="N472" i="24"/>
  <c r="N473" i="24"/>
  <c r="N474" i="24"/>
  <c r="N475" i="24"/>
  <c r="N476" i="24"/>
  <c r="N477" i="24"/>
  <c r="N478" i="24"/>
  <c r="N479" i="24"/>
  <c r="N480" i="24"/>
  <c r="N481" i="24"/>
  <c r="N482" i="24"/>
  <c r="N483" i="24"/>
  <c r="N484" i="24"/>
  <c r="N485" i="24"/>
  <c r="N486" i="24"/>
  <c r="N487" i="24"/>
  <c r="N488" i="24"/>
  <c r="N489" i="24"/>
  <c r="N490" i="24"/>
  <c r="N491" i="24"/>
  <c r="N492" i="24"/>
  <c r="N493" i="24"/>
  <c r="N494" i="24"/>
  <c r="N465" i="24"/>
  <c r="N500" i="24"/>
  <c r="J4" i="24"/>
  <c r="J5" i="24"/>
  <c r="J6" i="24"/>
  <c r="J7" i="24"/>
  <c r="J8" i="24"/>
  <c r="J9" i="24"/>
  <c r="J10" i="24"/>
  <c r="J11" i="24"/>
  <c r="J12" i="24"/>
  <c r="J13" i="24"/>
  <c r="J14" i="24"/>
  <c r="J17" i="24"/>
  <c r="J18" i="24"/>
  <c r="J19" i="24"/>
  <c r="J20" i="24"/>
  <c r="J22" i="24"/>
  <c r="J23" i="24"/>
  <c r="J24" i="24"/>
  <c r="J25" i="24"/>
  <c r="J26" i="24"/>
  <c r="J32" i="24"/>
  <c r="B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B47" i="24"/>
  <c r="J48" i="24"/>
  <c r="J49" i="24"/>
  <c r="J52" i="24"/>
  <c r="J53" i="24"/>
  <c r="J55" i="24"/>
  <c r="B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82" i="24"/>
  <c r="B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5" i="24"/>
  <c r="J106" i="24"/>
  <c r="J107" i="24"/>
  <c r="J108" i="24"/>
  <c r="J109" i="24"/>
  <c r="J110" i="24"/>
  <c r="J113" i="24"/>
  <c r="B113" i="24"/>
  <c r="J114" i="24"/>
  <c r="J115" i="24"/>
  <c r="J116" i="24"/>
  <c r="B116" i="24"/>
  <c r="J117" i="24"/>
  <c r="J118" i="24"/>
  <c r="J119" i="24"/>
  <c r="J120" i="24"/>
  <c r="J121" i="24"/>
  <c r="J122" i="24"/>
  <c r="B122" i="24"/>
  <c r="J123" i="24"/>
  <c r="J124" i="24"/>
  <c r="J125" i="24"/>
  <c r="J126" i="24"/>
  <c r="J127" i="24"/>
  <c r="J128" i="24"/>
  <c r="J129" i="24"/>
  <c r="J130" i="24"/>
  <c r="J131" i="24"/>
  <c r="B131" i="24"/>
  <c r="J132" i="24"/>
  <c r="J133" i="24"/>
  <c r="J134" i="24"/>
  <c r="J135" i="24"/>
  <c r="J138" i="24"/>
  <c r="B138" i="24"/>
  <c r="J139" i="24"/>
  <c r="J141" i="24"/>
  <c r="J142" i="24"/>
  <c r="B142" i="24"/>
  <c r="J143" i="24"/>
  <c r="J144" i="24"/>
  <c r="J145" i="24"/>
  <c r="J146" i="24"/>
  <c r="J147" i="24"/>
  <c r="J148" i="24"/>
  <c r="J149" i="24"/>
  <c r="J150" i="24"/>
  <c r="J151" i="24"/>
  <c r="B151" i="24"/>
  <c r="J152" i="24"/>
  <c r="J153" i="24"/>
  <c r="J154" i="24"/>
  <c r="J155" i="24"/>
  <c r="J156" i="24"/>
  <c r="J157" i="24"/>
  <c r="B157" i="24"/>
  <c r="J158" i="24"/>
  <c r="J159" i="24"/>
  <c r="J160" i="24"/>
  <c r="J161" i="24"/>
  <c r="B161" i="24"/>
  <c r="J162" i="24"/>
  <c r="J163" i="24"/>
  <c r="J165" i="24"/>
  <c r="B165" i="24"/>
  <c r="J166" i="24"/>
  <c r="J168" i="24"/>
  <c r="B168" i="24"/>
  <c r="J169" i="24"/>
  <c r="J173" i="24"/>
  <c r="J175" i="24"/>
  <c r="B175" i="24"/>
  <c r="J176" i="24"/>
  <c r="B176" i="24"/>
  <c r="J177" i="24"/>
  <c r="J178" i="24"/>
  <c r="J179" i="24"/>
  <c r="J180" i="24"/>
  <c r="B180" i="24"/>
  <c r="J181" i="24"/>
  <c r="J182" i="24"/>
  <c r="J183" i="24"/>
  <c r="J184" i="24"/>
  <c r="J185" i="24"/>
  <c r="J186" i="24"/>
  <c r="J187" i="24"/>
  <c r="J188" i="24"/>
  <c r="J189" i="24"/>
  <c r="J190" i="24"/>
  <c r="J191" i="24"/>
  <c r="J192" i="24"/>
  <c r="J193" i="24"/>
  <c r="J194" i="24"/>
  <c r="J195" i="24"/>
  <c r="J196" i="24"/>
  <c r="J197" i="24"/>
  <c r="J198" i="24"/>
  <c r="J199" i="24"/>
  <c r="J200" i="24"/>
  <c r="J201" i="24"/>
  <c r="J202" i="24"/>
  <c r="J203" i="24"/>
  <c r="J204" i="24"/>
  <c r="J205" i="24"/>
  <c r="J206" i="24"/>
  <c r="J207" i="24"/>
  <c r="J208" i="24"/>
  <c r="J209" i="24"/>
  <c r="J210" i="24"/>
  <c r="J211" i="24"/>
  <c r="J212" i="24"/>
  <c r="J213" i="24"/>
  <c r="J214" i="24"/>
  <c r="J215" i="24"/>
  <c r="J216" i="24"/>
  <c r="J217" i="24"/>
  <c r="B217" i="24"/>
  <c r="J218" i="24"/>
  <c r="B218" i="24"/>
  <c r="J228" i="24"/>
  <c r="B228" i="24"/>
  <c r="J231" i="24"/>
  <c r="B231" i="24"/>
  <c r="J232" i="24"/>
  <c r="B232" i="24"/>
  <c r="J233" i="24"/>
  <c r="B233" i="24"/>
  <c r="J234" i="24"/>
  <c r="B234" i="24"/>
  <c r="J235" i="24"/>
  <c r="J236" i="24"/>
  <c r="J237" i="24"/>
  <c r="J238" i="24"/>
  <c r="J239" i="24"/>
  <c r="J240" i="24"/>
  <c r="B240" i="24"/>
  <c r="J241" i="24"/>
  <c r="J242" i="24"/>
  <c r="J243" i="24"/>
  <c r="J244" i="24"/>
  <c r="J245" i="24"/>
  <c r="J246" i="24"/>
  <c r="J247" i="24"/>
  <c r="J248" i="24"/>
  <c r="J249" i="24"/>
  <c r="B249" i="24"/>
  <c r="J250" i="24"/>
  <c r="J251" i="24"/>
  <c r="J252" i="24"/>
  <c r="B252" i="24"/>
  <c r="J253" i="24"/>
  <c r="J254" i="24"/>
  <c r="B254" i="24"/>
  <c r="J255" i="24"/>
  <c r="J256" i="24"/>
  <c r="J257" i="24"/>
  <c r="J258" i="24"/>
  <c r="J259" i="24"/>
  <c r="J260" i="24"/>
  <c r="B260" i="24"/>
  <c r="J261" i="24"/>
  <c r="B261" i="24"/>
  <c r="J262" i="24"/>
  <c r="B262" i="24"/>
  <c r="J268" i="24"/>
  <c r="J273" i="24"/>
  <c r="J274" i="24"/>
  <c r="J276" i="24"/>
  <c r="J277" i="24"/>
  <c r="J280" i="24"/>
  <c r="B280" i="24"/>
  <c r="J282" i="24"/>
  <c r="J283" i="24"/>
  <c r="J284" i="24"/>
  <c r="J285" i="24"/>
  <c r="J286" i="24"/>
  <c r="J287" i="24"/>
  <c r="J288" i="24"/>
  <c r="J289" i="24"/>
  <c r="J290" i="24"/>
  <c r="J291" i="24"/>
  <c r="J309" i="24"/>
  <c r="J312" i="24"/>
  <c r="J313" i="24"/>
  <c r="J314" i="24"/>
  <c r="J315" i="24"/>
  <c r="J316" i="24"/>
  <c r="J318" i="24"/>
  <c r="J323" i="24"/>
  <c r="J325" i="24"/>
  <c r="J329" i="24"/>
  <c r="J330" i="24"/>
  <c r="J331" i="24"/>
  <c r="J332" i="24"/>
  <c r="J337" i="24"/>
  <c r="J338" i="24"/>
  <c r="J340" i="24"/>
  <c r="J350" i="24"/>
  <c r="J354" i="24"/>
  <c r="J356" i="24"/>
  <c r="J367" i="24"/>
  <c r="B367" i="24"/>
  <c r="J368" i="24"/>
  <c r="J369" i="24"/>
  <c r="J370" i="24"/>
  <c r="B370" i="24"/>
  <c r="J371" i="24"/>
  <c r="J372" i="24"/>
  <c r="J373" i="24"/>
  <c r="J374" i="24"/>
  <c r="J375" i="24"/>
  <c r="J376" i="24"/>
  <c r="J377" i="24"/>
  <c r="J378" i="24"/>
  <c r="J379" i="24"/>
  <c r="J380" i="24"/>
  <c r="J381" i="24"/>
  <c r="J382" i="24"/>
  <c r="J383" i="24"/>
  <c r="J384" i="24"/>
  <c r="J385" i="24"/>
  <c r="J386" i="24"/>
  <c r="J387" i="24"/>
  <c r="J388" i="24"/>
  <c r="J389" i="24"/>
  <c r="J390" i="24"/>
  <c r="J391" i="24"/>
  <c r="J392" i="24"/>
  <c r="J393" i="24"/>
  <c r="J394" i="24"/>
  <c r="J395" i="24"/>
  <c r="J396" i="24"/>
  <c r="J397" i="24"/>
  <c r="J398" i="24"/>
  <c r="J399" i="24"/>
  <c r="J400" i="24"/>
  <c r="J401" i="24"/>
  <c r="J402" i="24"/>
  <c r="J403" i="24"/>
  <c r="J404" i="24"/>
  <c r="J405" i="24"/>
  <c r="J406" i="24"/>
  <c r="J407" i="24"/>
  <c r="J408" i="24"/>
  <c r="J409" i="24"/>
  <c r="J410" i="24"/>
  <c r="J411" i="24"/>
  <c r="J412" i="24"/>
  <c r="J413" i="24"/>
  <c r="B413" i="24"/>
  <c r="J424" i="24"/>
  <c r="J425" i="24"/>
  <c r="J426" i="24"/>
  <c r="J427" i="24"/>
  <c r="J428" i="24"/>
  <c r="J429" i="24"/>
  <c r="J430" i="24"/>
  <c r="J432" i="24"/>
  <c r="J433" i="24"/>
  <c r="J435" i="24"/>
  <c r="J436" i="24"/>
  <c r="J437" i="24"/>
  <c r="J438" i="24"/>
  <c r="J439" i="24"/>
  <c r="J440" i="24"/>
  <c r="J441" i="24"/>
  <c r="J446" i="24"/>
  <c r="J447" i="24"/>
  <c r="J448" i="24"/>
  <c r="J449" i="24"/>
  <c r="J450" i="24"/>
  <c r="J454" i="24"/>
  <c r="J455" i="24"/>
  <c r="J456" i="24"/>
  <c r="J457" i="24"/>
  <c r="J458" i="24"/>
  <c r="J459" i="24"/>
  <c r="J461" i="24"/>
  <c r="J462" i="24"/>
  <c r="J467" i="24"/>
  <c r="J477" i="24"/>
  <c r="J478" i="24"/>
  <c r="J482" i="24"/>
  <c r="J483" i="24"/>
  <c r="J484" i="24"/>
  <c r="J485" i="24"/>
  <c r="J486" i="24"/>
  <c r="J487" i="24"/>
  <c r="J488" i="24"/>
  <c r="J489" i="24"/>
  <c r="J490" i="24"/>
  <c r="J491" i="24"/>
  <c r="J492" i="24"/>
  <c r="J493" i="24"/>
  <c r="J500" i="24"/>
  <c r="B500" i="24"/>
  <c r="N3" i="24"/>
  <c r="J3" i="24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2" i="24"/>
  <c r="B23" i="24"/>
  <c r="B24" i="24"/>
  <c r="B25" i="24"/>
  <c r="B26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8" i="24"/>
  <c r="B49" i="24"/>
  <c r="B52" i="24"/>
  <c r="B53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4" i="24"/>
  <c r="B115" i="24"/>
  <c r="B117" i="24"/>
  <c r="B118" i="24"/>
  <c r="B119" i="24"/>
  <c r="B120" i="24"/>
  <c r="B121" i="24"/>
  <c r="B123" i="24"/>
  <c r="B124" i="24"/>
  <c r="B125" i="24"/>
  <c r="B126" i="24"/>
  <c r="B127" i="24"/>
  <c r="B128" i="24"/>
  <c r="B129" i="24"/>
  <c r="B130" i="24"/>
  <c r="B132" i="24"/>
  <c r="B133" i="24"/>
  <c r="B134" i="24"/>
  <c r="B135" i="24"/>
  <c r="B139" i="24"/>
  <c r="B141" i="24"/>
  <c r="B143" i="24"/>
  <c r="B144" i="24"/>
  <c r="B145" i="24"/>
  <c r="B146" i="24"/>
  <c r="B147" i="24"/>
  <c r="B148" i="24"/>
  <c r="B149" i="24"/>
  <c r="B150" i="24"/>
  <c r="B152" i="24"/>
  <c r="B153" i="24"/>
  <c r="B154" i="24"/>
  <c r="B155" i="24"/>
  <c r="B156" i="24"/>
  <c r="B158" i="24"/>
  <c r="B159" i="24"/>
  <c r="B160" i="24"/>
  <c r="B162" i="24"/>
  <c r="B163" i="24"/>
  <c r="B166" i="24"/>
  <c r="B167" i="24"/>
  <c r="B169" i="24"/>
  <c r="B170" i="24"/>
  <c r="B172" i="24"/>
  <c r="B173" i="24"/>
  <c r="B174" i="24"/>
  <c r="B177" i="24"/>
  <c r="B178" i="24"/>
  <c r="B179" i="24"/>
  <c r="B181" i="24"/>
  <c r="B182" i="24"/>
  <c r="B183" i="24"/>
  <c r="B184" i="24"/>
  <c r="B185" i="24"/>
  <c r="B186" i="24"/>
  <c r="B187" i="24"/>
  <c r="B188" i="24"/>
  <c r="B189" i="24"/>
  <c r="B190" i="24"/>
  <c r="B191" i="24"/>
  <c r="B192" i="24"/>
  <c r="B193" i="24"/>
  <c r="B194" i="24"/>
  <c r="B195" i="24"/>
  <c r="B196" i="24"/>
  <c r="B197" i="24"/>
  <c r="B198" i="24"/>
  <c r="B199" i="24"/>
  <c r="B200" i="24"/>
  <c r="B201" i="24"/>
  <c r="B202" i="24"/>
  <c r="B203" i="24"/>
  <c r="B204" i="24"/>
  <c r="B205" i="24"/>
  <c r="B206" i="24"/>
  <c r="B207" i="24"/>
  <c r="B208" i="24"/>
  <c r="B209" i="24"/>
  <c r="B210" i="24"/>
  <c r="B211" i="24"/>
  <c r="B212" i="24"/>
  <c r="B213" i="24"/>
  <c r="B214" i="24"/>
  <c r="B215" i="24"/>
  <c r="B216" i="24"/>
  <c r="B221" i="24"/>
  <c r="B222" i="24"/>
  <c r="B224" i="24"/>
  <c r="B225" i="24"/>
  <c r="B227" i="24"/>
  <c r="B235" i="24"/>
  <c r="B236" i="24"/>
  <c r="B237" i="24"/>
  <c r="B238" i="24"/>
  <c r="B239" i="24"/>
  <c r="B241" i="24"/>
  <c r="B242" i="24"/>
  <c r="B243" i="24"/>
  <c r="B244" i="24"/>
  <c r="B245" i="24"/>
  <c r="B246" i="24"/>
  <c r="B247" i="24"/>
  <c r="B248" i="24"/>
  <c r="B250" i="24"/>
  <c r="B251" i="24"/>
  <c r="B253" i="24"/>
  <c r="B255" i="24"/>
  <c r="B256" i="24"/>
  <c r="B257" i="24"/>
  <c r="B258" i="24"/>
  <c r="B259" i="24"/>
  <c r="B264" i="24"/>
  <c r="B265" i="24"/>
  <c r="B266" i="24"/>
  <c r="B267" i="24"/>
  <c r="B268" i="24"/>
  <c r="B273" i="24"/>
  <c r="B274" i="24"/>
  <c r="B275" i="24"/>
  <c r="B276" i="24"/>
  <c r="B277" i="24"/>
  <c r="B279" i="24"/>
  <c r="B282" i="24"/>
  <c r="B283" i="24"/>
  <c r="B284" i="24"/>
  <c r="B285" i="24"/>
  <c r="B286" i="24"/>
  <c r="B287" i="24"/>
  <c r="B288" i="24"/>
  <c r="B289" i="24"/>
  <c r="B290" i="24"/>
  <c r="B291" i="24"/>
  <c r="B293" i="24"/>
  <c r="B294" i="24"/>
  <c r="B295" i="24"/>
  <c r="B296" i="24"/>
  <c r="B297" i="24"/>
  <c r="B298" i="24"/>
  <c r="B299" i="24"/>
  <c r="B300" i="24"/>
  <c r="B301" i="24"/>
  <c r="B302" i="24"/>
  <c r="B303" i="24"/>
  <c r="B304" i="24"/>
  <c r="B305" i="24"/>
  <c r="B306" i="24"/>
  <c r="B307" i="24"/>
  <c r="B308" i="24"/>
  <c r="B309" i="24"/>
  <c r="B310" i="24"/>
  <c r="B311" i="24"/>
  <c r="B312" i="24"/>
  <c r="B313" i="24"/>
  <c r="B314" i="24"/>
  <c r="B315" i="24"/>
  <c r="B316" i="24"/>
  <c r="B317" i="24"/>
  <c r="B318" i="24"/>
  <c r="B319" i="24"/>
  <c r="B320" i="24"/>
  <c r="B323" i="24"/>
  <c r="B324" i="24"/>
  <c r="B325" i="24"/>
  <c r="B326" i="24"/>
  <c r="B327" i="24"/>
  <c r="B328" i="24"/>
  <c r="B329" i="24"/>
  <c r="B330" i="24"/>
  <c r="B331" i="24"/>
  <c r="B332" i="24"/>
  <c r="B335" i="24"/>
  <c r="B336" i="24"/>
  <c r="B337" i="24"/>
  <c r="B338" i="24"/>
  <c r="B340" i="24"/>
  <c r="B341" i="24"/>
  <c r="B342" i="24"/>
  <c r="B343" i="24"/>
  <c r="B344" i="24"/>
  <c r="B345" i="24"/>
  <c r="B346" i="24"/>
  <c r="B347" i="24"/>
  <c r="B348" i="24"/>
  <c r="B349" i="24"/>
  <c r="B350" i="24"/>
  <c r="B351" i="24"/>
  <c r="B352" i="24"/>
  <c r="B354" i="24"/>
  <c r="B356" i="24"/>
  <c r="B358" i="24"/>
  <c r="B359" i="24"/>
  <c r="B360" i="24"/>
  <c r="B361" i="24"/>
  <c r="B368" i="24"/>
  <c r="B369" i="24"/>
  <c r="B371" i="24"/>
  <c r="B372" i="24"/>
  <c r="B373" i="24"/>
  <c r="B374" i="24"/>
  <c r="B375" i="24"/>
  <c r="B376" i="24"/>
  <c r="B377" i="24"/>
  <c r="B378" i="24"/>
  <c r="B379" i="24"/>
  <c r="B380" i="24"/>
  <c r="B381" i="24"/>
  <c r="B382" i="24"/>
  <c r="B383" i="24"/>
  <c r="B384" i="24"/>
  <c r="B385" i="24"/>
  <c r="B386" i="24"/>
  <c r="B387" i="24"/>
  <c r="B388" i="24"/>
  <c r="B389" i="24"/>
  <c r="B390" i="24"/>
  <c r="B391" i="24"/>
  <c r="B392" i="24"/>
  <c r="B393" i="24"/>
  <c r="B394" i="24"/>
  <c r="B395" i="24"/>
  <c r="B396" i="24"/>
  <c r="B397" i="24"/>
  <c r="B398" i="24"/>
  <c r="B399" i="24"/>
  <c r="B400" i="24"/>
  <c r="B401" i="24"/>
  <c r="B402" i="24"/>
  <c r="B403" i="24"/>
  <c r="B404" i="24"/>
  <c r="B405" i="24"/>
  <c r="B406" i="24"/>
  <c r="B407" i="24"/>
  <c r="B408" i="24"/>
  <c r="B409" i="24"/>
  <c r="B410" i="24"/>
  <c r="B411" i="24"/>
  <c r="B412" i="24"/>
  <c r="B424" i="24"/>
  <c r="B425" i="24"/>
  <c r="B426" i="24"/>
  <c r="B427" i="24"/>
  <c r="B428" i="24"/>
  <c r="B429" i="24"/>
  <c r="B430" i="24"/>
  <c r="B431" i="24"/>
  <c r="B432" i="24"/>
  <c r="B433" i="24"/>
  <c r="B435" i="24"/>
  <c r="B436" i="24"/>
  <c r="B437" i="24"/>
  <c r="B438" i="24"/>
  <c r="B439" i="24"/>
  <c r="B440" i="24"/>
  <c r="B441" i="24"/>
  <c r="B443" i="24"/>
  <c r="B444" i="24"/>
  <c r="B446" i="24"/>
  <c r="B447" i="24"/>
  <c r="B448" i="24"/>
  <c r="B449" i="24"/>
  <c r="B450" i="24"/>
  <c r="B451" i="24"/>
  <c r="B452" i="24"/>
  <c r="B454" i="24"/>
  <c r="B455" i="24"/>
  <c r="B456" i="24"/>
  <c r="B457" i="24"/>
  <c r="B458" i="24"/>
  <c r="B459" i="24"/>
  <c r="B460" i="24"/>
  <c r="B461" i="24"/>
  <c r="B462" i="24"/>
  <c r="B467" i="24"/>
  <c r="B468" i="24"/>
  <c r="B469" i="24"/>
  <c r="B470" i="24"/>
  <c r="B471" i="24"/>
  <c r="B472" i="24"/>
  <c r="B473" i="24"/>
  <c r="B474" i="24"/>
  <c r="B475" i="24"/>
  <c r="B476" i="24"/>
  <c r="B477" i="24"/>
  <c r="B478" i="24"/>
  <c r="B479" i="24"/>
  <c r="B480" i="24"/>
  <c r="B481" i="24"/>
  <c r="B482" i="24"/>
  <c r="B483" i="24"/>
  <c r="B484" i="24"/>
  <c r="B485" i="24"/>
  <c r="B486" i="24"/>
  <c r="B487" i="24"/>
  <c r="B488" i="24"/>
  <c r="B489" i="24"/>
  <c r="B490" i="24"/>
  <c r="B491" i="24"/>
  <c r="B492" i="24"/>
  <c r="B493" i="24"/>
  <c r="B494" i="24"/>
  <c r="B465" i="24"/>
  <c r="G14" i="2"/>
  <c r="F85" i="24"/>
  <c r="G85" i="24"/>
  <c r="G15" i="2"/>
  <c r="F86" i="24"/>
  <c r="G86" i="24"/>
  <c r="G16" i="2"/>
  <c r="G23" i="2"/>
  <c r="F105" i="24"/>
  <c r="G105" i="24"/>
  <c r="G24" i="2"/>
  <c r="F106" i="24"/>
  <c r="G106" i="24"/>
  <c r="G25" i="2"/>
  <c r="F96" i="24"/>
  <c r="G96" i="24"/>
  <c r="G26" i="2"/>
  <c r="F97" i="24"/>
  <c r="G97" i="24"/>
  <c r="G27" i="2"/>
  <c r="F98" i="24"/>
  <c r="G98" i="24"/>
  <c r="G28" i="2"/>
  <c r="F100" i="24"/>
  <c r="G100" i="24"/>
  <c r="G29" i="2"/>
  <c r="F101" i="24"/>
  <c r="G101" i="24"/>
  <c r="G30" i="2"/>
  <c r="F102" i="24"/>
  <c r="G102" i="24"/>
  <c r="G34" i="2"/>
  <c r="F118" i="24"/>
  <c r="G118" i="24"/>
  <c r="G35" i="2"/>
  <c r="F119" i="24"/>
  <c r="G119" i="24"/>
  <c r="G36" i="2"/>
  <c r="F117" i="24"/>
  <c r="G117" i="24"/>
  <c r="G40" i="2"/>
  <c r="F115" i="24"/>
  <c r="G115" i="24"/>
  <c r="G41" i="2"/>
  <c r="G42" i="2"/>
  <c r="G43" i="2"/>
  <c r="G44" i="2"/>
  <c r="F241" i="24"/>
  <c r="G241" i="24"/>
  <c r="G45" i="2"/>
  <c r="F242" i="24"/>
  <c r="G242" i="24"/>
  <c r="G46" i="2"/>
  <c r="F243" i="24"/>
  <c r="G243" i="24"/>
  <c r="G47" i="2"/>
  <c r="F244" i="24"/>
  <c r="G244" i="24"/>
  <c r="G48" i="2"/>
  <c r="F245" i="24"/>
  <c r="G245" i="24"/>
  <c r="G50" i="2"/>
  <c r="G52" i="2"/>
  <c r="F160" i="24"/>
  <c r="G160" i="24"/>
  <c r="G53" i="2"/>
  <c r="G54" i="2"/>
  <c r="F255" i="24"/>
  <c r="G255" i="24"/>
  <c r="G55" i="2"/>
  <c r="F256" i="24"/>
  <c r="G256" i="24"/>
  <c r="G56" i="2"/>
  <c r="F257" i="24"/>
  <c r="G257" i="24"/>
  <c r="G57" i="2"/>
  <c r="F258" i="24"/>
  <c r="G258" i="24"/>
  <c r="G58" i="2"/>
  <c r="F259" i="24"/>
  <c r="G259" i="24"/>
  <c r="G60" i="2"/>
  <c r="F169" i="24"/>
  <c r="G169" i="24"/>
  <c r="G61" i="2"/>
  <c r="G62" i="2"/>
  <c r="G67" i="2"/>
  <c r="G72" i="2"/>
  <c r="G74" i="2"/>
  <c r="G78" i="2"/>
  <c r="G79" i="2"/>
  <c r="G80" i="2"/>
  <c r="G81" i="2"/>
  <c r="G82" i="2"/>
  <c r="G83" i="2"/>
  <c r="F218" i="24"/>
  <c r="G218" i="24"/>
  <c r="G87" i="2"/>
  <c r="G89" i="2"/>
  <c r="F253" i="24"/>
  <c r="G253" i="24"/>
  <c r="G92" i="2"/>
  <c r="F156" i="24"/>
  <c r="G156" i="24"/>
  <c r="G16" i="24"/>
  <c r="H8" i="3"/>
  <c r="F8" i="24"/>
  <c r="G8" i="24"/>
  <c r="G361" i="24"/>
  <c r="G413" i="24"/>
  <c r="F439" i="24"/>
  <c r="G439" i="24"/>
  <c r="H30" i="3"/>
  <c r="L11" i="12"/>
  <c r="L12" i="12"/>
  <c r="E36" i="9"/>
  <c r="F452" i="24"/>
  <c r="G452" i="24"/>
  <c r="G114" i="2"/>
  <c r="F127" i="24"/>
  <c r="G127" i="24"/>
  <c r="G239" i="24"/>
  <c r="D470" i="24"/>
  <c r="B4" i="2"/>
  <c r="F43" i="24"/>
  <c r="G43" i="24"/>
  <c r="G102" i="2"/>
  <c r="F149" i="24"/>
  <c r="G149" i="24"/>
  <c r="G101" i="2"/>
  <c r="F148" i="24"/>
  <c r="G148" i="24"/>
  <c r="G105" i="2"/>
  <c r="F250" i="24"/>
  <c r="G250" i="24"/>
  <c r="G329" i="24"/>
  <c r="L30" i="14"/>
  <c r="L31" i="14"/>
  <c r="G216" i="24"/>
  <c r="G215" i="24"/>
  <c r="G214" i="24"/>
  <c r="G213" i="24"/>
  <c r="G208" i="24"/>
  <c r="G207" i="24"/>
  <c r="G206" i="24"/>
  <c r="G205" i="24"/>
  <c r="G203" i="24"/>
  <c r="G201" i="24"/>
  <c r="G200" i="24"/>
  <c r="G199" i="24"/>
  <c r="G196" i="24"/>
  <c r="G195" i="24"/>
  <c r="G193" i="24"/>
  <c r="G192" i="24"/>
  <c r="G191" i="24"/>
  <c r="G190" i="24"/>
  <c r="G188" i="24"/>
  <c r="G187" i="24"/>
  <c r="G186" i="24"/>
  <c r="G184" i="24"/>
  <c r="G198" i="24"/>
  <c r="G202" i="24"/>
  <c r="G204" i="24"/>
  <c r="G211" i="24"/>
  <c r="G212" i="24"/>
  <c r="G341" i="24"/>
  <c r="G337" i="24"/>
  <c r="G330" i="24"/>
  <c r="G313" i="24"/>
  <c r="G285" i="24"/>
  <c r="G284" i="24"/>
  <c r="G312" i="24"/>
  <c r="G311" i="24"/>
  <c r="G123" i="2"/>
  <c r="F369" i="24"/>
  <c r="G369" i="24"/>
  <c r="G441" i="24"/>
  <c r="E39" i="9"/>
  <c r="G440" i="24"/>
  <c r="G438" i="24"/>
  <c r="G433" i="24"/>
  <c r="G437" i="24"/>
  <c r="G436" i="24"/>
  <c r="G430" i="24"/>
  <c r="G429" i="24"/>
  <c r="G425" i="24"/>
  <c r="G427" i="24"/>
  <c r="G426" i="24"/>
  <c r="G46" i="24"/>
  <c r="G44" i="24"/>
  <c r="G108" i="2"/>
  <c r="F130" i="24"/>
  <c r="G130" i="24"/>
  <c r="G103" i="2"/>
  <c r="F150" i="24"/>
  <c r="G150" i="24"/>
  <c r="G100" i="2"/>
  <c r="F146" i="24"/>
  <c r="G146" i="24"/>
  <c r="G99" i="2"/>
  <c r="F145" i="24"/>
  <c r="G145" i="24"/>
  <c r="G98" i="2"/>
  <c r="F144" i="24"/>
  <c r="G144" i="24"/>
  <c r="D149" i="24"/>
  <c r="D150" i="24"/>
  <c r="D148" i="24"/>
  <c r="D145" i="24"/>
  <c r="D146" i="24"/>
  <c r="D144" i="24"/>
  <c r="C150" i="24"/>
  <c r="C149" i="24"/>
  <c r="C148" i="24"/>
  <c r="C147" i="24"/>
  <c r="C146" i="24"/>
  <c r="C145" i="24"/>
  <c r="G63" i="14"/>
  <c r="G47" i="24"/>
  <c r="A2" i="14"/>
  <c r="L6" i="14"/>
  <c r="D7" i="14"/>
  <c r="E7" i="14"/>
  <c r="E33" i="14"/>
  <c r="E18" i="9"/>
  <c r="L12" i="14"/>
  <c r="D13" i="14"/>
  <c r="L13" i="14"/>
  <c r="E13" i="14"/>
  <c r="L14" i="14"/>
  <c r="R14" i="14"/>
  <c r="D15" i="14"/>
  <c r="L15" i="14"/>
  <c r="E15" i="14"/>
  <c r="F15" i="14"/>
  <c r="G15" i="14"/>
  <c r="H15" i="14"/>
  <c r="I15" i="14"/>
  <c r="J15" i="14"/>
  <c r="K15" i="14"/>
  <c r="R15" i="14"/>
  <c r="L16" i="14"/>
  <c r="R16" i="14"/>
  <c r="D17" i="14"/>
  <c r="L17" i="14"/>
  <c r="E17" i="14"/>
  <c r="F17" i="14"/>
  <c r="G17" i="14"/>
  <c r="H17" i="14"/>
  <c r="I17" i="14"/>
  <c r="J17" i="14"/>
  <c r="K17" i="14"/>
  <c r="R17" i="14"/>
  <c r="L18" i="14"/>
  <c r="D19" i="14"/>
  <c r="E19" i="14"/>
  <c r="F19" i="14"/>
  <c r="G19" i="14"/>
  <c r="H19" i="14"/>
  <c r="I19" i="14"/>
  <c r="J19" i="14"/>
  <c r="K19" i="14"/>
  <c r="L20" i="14"/>
  <c r="L21" i="14"/>
  <c r="L22" i="14"/>
  <c r="L23" i="14"/>
  <c r="L24" i="14"/>
  <c r="L25" i="14"/>
  <c r="D27" i="14"/>
  <c r="E27" i="14"/>
  <c r="F27" i="14"/>
  <c r="G27" i="14"/>
  <c r="F29" i="14"/>
  <c r="L29" i="14"/>
  <c r="H29" i="14"/>
  <c r="I29" i="14"/>
  <c r="J29" i="14"/>
  <c r="K29" i="14"/>
  <c r="A35" i="14"/>
  <c r="L41" i="14"/>
  <c r="H64" i="14"/>
  <c r="E6" i="9"/>
  <c r="J64" i="14"/>
  <c r="E4" i="9"/>
  <c r="L43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60" i="14"/>
  <c r="L61" i="14"/>
  <c r="L62" i="14"/>
  <c r="E63" i="14"/>
  <c r="H63" i="14"/>
  <c r="K63" i="14"/>
  <c r="H1" i="2"/>
  <c r="G104" i="2"/>
  <c r="G261" i="24"/>
  <c r="G106" i="2"/>
  <c r="F231" i="24"/>
  <c r="G231" i="24"/>
  <c r="G107" i="2"/>
  <c r="F129" i="24"/>
  <c r="G129" i="24"/>
  <c r="G109" i="2"/>
  <c r="G113" i="2"/>
  <c r="F126" i="24"/>
  <c r="G126" i="24"/>
  <c r="G115" i="2"/>
  <c r="F56" i="24"/>
  <c r="G56" i="24"/>
  <c r="F58" i="24"/>
  <c r="G58" i="24"/>
  <c r="F61" i="24"/>
  <c r="G61" i="24"/>
  <c r="F64" i="24"/>
  <c r="G64" i="24"/>
  <c r="F66" i="24"/>
  <c r="G66" i="24"/>
  <c r="F67" i="24"/>
  <c r="G67" i="24"/>
  <c r="F60" i="24"/>
  <c r="G60" i="24"/>
  <c r="G289" i="24"/>
  <c r="I1" i="3"/>
  <c r="H4" i="3"/>
  <c r="F5" i="24"/>
  <c r="G5" i="24"/>
  <c r="H5" i="3"/>
  <c r="H6" i="3"/>
  <c r="H10" i="3"/>
  <c r="F10" i="24"/>
  <c r="G10" i="24"/>
  <c r="H11" i="3"/>
  <c r="F11" i="24"/>
  <c r="G11" i="24"/>
  <c r="H12" i="3"/>
  <c r="F12" i="24"/>
  <c r="G12" i="24"/>
  <c r="H20" i="3"/>
  <c r="H24" i="3"/>
  <c r="H27" i="3"/>
  <c r="K12" i="12"/>
  <c r="E34" i="9"/>
  <c r="F458" i="24"/>
  <c r="F450" i="24"/>
  <c r="G450" i="24"/>
  <c r="H33" i="3"/>
  <c r="H36" i="3"/>
  <c r="F75" i="24"/>
  <c r="G75" i="24"/>
  <c r="H37" i="3"/>
  <c r="H38" i="3"/>
  <c r="H39" i="3"/>
  <c r="F177" i="24"/>
  <c r="G177" i="24"/>
  <c r="H40" i="3"/>
  <c r="F178" i="24"/>
  <c r="G178" i="24"/>
  <c r="H41" i="3"/>
  <c r="H42" i="3"/>
  <c r="F179" i="24"/>
  <c r="G179" i="24"/>
  <c r="H44" i="3"/>
  <c r="H45" i="3"/>
  <c r="F23" i="24"/>
  <c r="F24" i="24"/>
  <c r="G24" i="24"/>
  <c r="H46" i="3"/>
  <c r="H51" i="3"/>
  <c r="F25" i="24"/>
  <c r="G25" i="24"/>
  <c r="F29" i="17"/>
  <c r="F4" i="17"/>
  <c r="F5" i="17"/>
  <c r="F9" i="17"/>
  <c r="F20" i="17"/>
  <c r="F21" i="17"/>
  <c r="F28" i="17"/>
  <c r="F12" i="12"/>
  <c r="E32" i="9"/>
  <c r="F448" i="24"/>
  <c r="G448" i="24"/>
  <c r="E12" i="12"/>
  <c r="E31" i="9"/>
  <c r="A2" i="12"/>
  <c r="H12" i="12"/>
  <c r="I12" i="12"/>
  <c r="A1" i="10"/>
  <c r="M13" i="10"/>
  <c r="N13" i="10"/>
  <c r="A1" i="9"/>
  <c r="F1" i="24"/>
  <c r="A3" i="24"/>
  <c r="A32" i="24"/>
  <c r="G39" i="24"/>
  <c r="G55" i="24"/>
  <c r="G68" i="24"/>
  <c r="G69" i="24"/>
  <c r="G70" i="24"/>
  <c r="G71" i="24"/>
  <c r="G72" i="24"/>
  <c r="G73" i="24"/>
  <c r="G90" i="24"/>
  <c r="G91" i="24"/>
  <c r="G92" i="24"/>
  <c r="G93" i="24"/>
  <c r="G94" i="24"/>
  <c r="G95" i="24"/>
  <c r="G99" i="24"/>
  <c r="G103" i="24"/>
  <c r="G107" i="24"/>
  <c r="G128" i="24"/>
  <c r="C143" i="24"/>
  <c r="C144" i="24"/>
  <c r="G158" i="24"/>
  <c r="D159" i="24"/>
  <c r="D160" i="24"/>
  <c r="G162" i="24"/>
  <c r="G168" i="24"/>
  <c r="G173" i="24"/>
  <c r="G176" i="24"/>
  <c r="G217" i="24"/>
  <c r="G234" i="24"/>
  <c r="G236" i="24"/>
  <c r="G237" i="24"/>
  <c r="G246" i="24"/>
  <c r="G249" i="24"/>
  <c r="G251" i="24"/>
  <c r="G252" i="24"/>
  <c r="G254" i="24"/>
  <c r="G260" i="24"/>
  <c r="G262" i="24"/>
  <c r="G277" i="24"/>
  <c r="G282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6" i="24"/>
  <c r="G407" i="24"/>
  <c r="G408" i="24"/>
  <c r="A412" i="24"/>
  <c r="G412" i="24"/>
  <c r="G447" i="24"/>
  <c r="D469" i="24"/>
  <c r="B3" i="2"/>
  <c r="D471" i="24"/>
  <c r="B5" i="2"/>
  <c r="D472" i="24"/>
  <c r="B25" i="9"/>
  <c r="G482" i="24"/>
  <c r="G455" i="24"/>
  <c r="G486" i="24"/>
  <c r="F487" i="24"/>
  <c r="G487" i="24"/>
  <c r="F488" i="24"/>
  <c r="G488" i="24"/>
  <c r="G489" i="24"/>
  <c r="F490" i="24"/>
  <c r="G490" i="24"/>
  <c r="F491" i="24"/>
  <c r="G491" i="24"/>
  <c r="G492" i="24"/>
  <c r="F493" i="24"/>
  <c r="G493" i="24"/>
  <c r="D10" i="19"/>
  <c r="H43" i="3"/>
  <c r="F232" i="24"/>
  <c r="G232" i="24"/>
  <c r="G248" i="24"/>
  <c r="K13" i="10"/>
  <c r="H32" i="3"/>
  <c r="F80" i="24"/>
  <c r="G80" i="24"/>
  <c r="J13" i="10"/>
  <c r="F18" i="17"/>
  <c r="F153" i="24"/>
  <c r="E64" i="14"/>
  <c r="E9" i="9"/>
  <c r="L59" i="14"/>
  <c r="J63" i="14"/>
  <c r="L39" i="14"/>
  <c r="L40" i="14"/>
  <c r="F152" i="24"/>
  <c r="F154" i="24"/>
  <c r="G315" i="24"/>
  <c r="G314" i="24"/>
  <c r="K64" i="14"/>
  <c r="E3" i="9"/>
  <c r="F483" i="24"/>
  <c r="G483" i="24"/>
  <c r="E10" i="9"/>
  <c r="L44" i="14"/>
  <c r="E12" i="9"/>
  <c r="L42" i="14"/>
  <c r="G64" i="14"/>
  <c r="E7" i="9"/>
  <c r="G12" i="12"/>
  <c r="E33" i="9"/>
  <c r="F449" i="24"/>
  <c r="G449" i="24"/>
  <c r="D12" i="12"/>
  <c r="E30" i="9"/>
  <c r="F454" i="24"/>
  <c r="G454" i="24"/>
  <c r="G432" i="24"/>
  <c r="F26" i="24"/>
  <c r="G26" i="24"/>
  <c r="F280" i="24"/>
  <c r="G280" i="24"/>
  <c r="H50" i="3"/>
  <c r="D27" i="17"/>
  <c r="F27" i="17"/>
  <c r="G133" i="24"/>
  <c r="E32" i="14"/>
  <c r="I64" i="14"/>
  <c r="E5" i="9"/>
  <c r="G110" i="2"/>
  <c r="F123" i="24"/>
  <c r="G123" i="24"/>
  <c r="I6" i="10"/>
  <c r="I13" i="10"/>
  <c r="E25" i="9"/>
  <c r="F472" i="24"/>
  <c r="G472" i="24"/>
  <c r="D6" i="10"/>
  <c r="H47" i="3"/>
  <c r="D24" i="17"/>
  <c r="F24" i="17"/>
  <c r="G247" i="24"/>
  <c r="G228" i="24"/>
  <c r="G18" i="2"/>
  <c r="G17" i="2"/>
  <c r="G13" i="2"/>
  <c r="I63" i="14"/>
  <c r="L63" i="14"/>
  <c r="H55" i="3"/>
  <c r="F16" i="17"/>
  <c r="L37" i="14"/>
  <c r="L38" i="14"/>
  <c r="F64" i="14"/>
  <c r="E8" i="9"/>
  <c r="H15" i="3"/>
  <c r="F17" i="24"/>
  <c r="G17" i="24"/>
  <c r="H25" i="3"/>
  <c r="D10" i="17"/>
  <c r="F10" i="17"/>
  <c r="J223" i="2"/>
  <c r="G3" i="2"/>
  <c r="D5" i="10"/>
  <c r="D13" i="10"/>
  <c r="H9" i="14"/>
  <c r="G10" i="26"/>
  <c r="G273" i="24"/>
  <c r="G59" i="2"/>
  <c r="F137" i="24"/>
  <c r="G137" i="24"/>
  <c r="G51" i="2"/>
  <c r="F229" i="24"/>
  <c r="G229" i="24"/>
  <c r="H52" i="3"/>
  <c r="F264" i="24"/>
  <c r="G264" i="24"/>
  <c r="F13" i="17"/>
  <c r="G6" i="2"/>
  <c r="G9" i="2"/>
  <c r="G278" i="24"/>
  <c r="I9" i="14"/>
  <c r="G445" i="24"/>
  <c r="G325" i="24"/>
  <c r="G308" i="24"/>
  <c r="F299" i="24"/>
  <c r="G299" i="24"/>
  <c r="F344" i="24"/>
  <c r="G344" i="24"/>
  <c r="L19" i="14"/>
  <c r="E35" i="9"/>
  <c r="F459" i="24"/>
  <c r="G459" i="24"/>
  <c r="D33" i="14"/>
  <c r="E19" i="9"/>
  <c r="F484" i="24"/>
  <c r="G484" i="24"/>
  <c r="G121" i="2"/>
  <c r="F419" i="24"/>
  <c r="G419" i="24"/>
  <c r="L64" i="14"/>
  <c r="M63" i="14"/>
  <c r="L7" i="14"/>
  <c r="G11" i="9"/>
  <c r="G124" i="2"/>
  <c r="F422" i="24"/>
  <c r="G422" i="24"/>
  <c r="G120" i="2"/>
  <c r="F403" i="24"/>
  <c r="G403" i="24"/>
  <c r="G31" i="2"/>
  <c r="F108" i="24"/>
  <c r="G108" i="24"/>
  <c r="O6" i="10"/>
  <c r="G119" i="2"/>
  <c r="F404" i="24"/>
  <c r="G404" i="24"/>
  <c r="G7" i="2"/>
  <c r="J11" i="14"/>
  <c r="F15" i="17"/>
  <c r="F268" i="24"/>
  <c r="G268" i="24"/>
  <c r="D25" i="17"/>
  <c r="F25" i="17"/>
  <c r="G431" i="24"/>
  <c r="I11" i="14"/>
  <c r="L10" i="14"/>
  <c r="C6" i="10"/>
  <c r="G33" i="2"/>
  <c r="F112" i="24"/>
  <c r="G112" i="24"/>
  <c r="G65" i="2"/>
  <c r="F270" i="24"/>
  <c r="G270" i="24"/>
  <c r="G125" i="2"/>
  <c r="F48" i="24"/>
  <c r="G48" i="24"/>
  <c r="G73" i="2"/>
  <c r="F174" i="24"/>
  <c r="G174" i="24"/>
  <c r="G94" i="2"/>
  <c r="E37" i="9"/>
  <c r="F495" i="24"/>
  <c r="G495" i="24"/>
  <c r="G68" i="2"/>
  <c r="F141" i="24"/>
  <c r="G141" i="24"/>
  <c r="H28" i="3"/>
  <c r="F19" i="24"/>
  <c r="G19" i="24"/>
  <c r="H23" i="3"/>
  <c r="D8" i="17"/>
  <c r="F8" i="17"/>
  <c r="H16" i="3"/>
  <c r="F18" i="24"/>
  <c r="G18" i="24"/>
  <c r="H21" i="3"/>
  <c r="D6" i="17"/>
  <c r="F6" i="17"/>
  <c r="L11" i="14"/>
  <c r="G368" i="24"/>
  <c r="G274" i="24"/>
  <c r="F19" i="17"/>
  <c r="G233" i="24"/>
  <c r="F23" i="17"/>
  <c r="G109" i="24"/>
  <c r="G467" i="24"/>
  <c r="D30" i="17"/>
  <c r="F30" i="17"/>
  <c r="E93" i="2"/>
  <c r="G93" i="2"/>
  <c r="E38" i="9"/>
  <c r="F496" i="24"/>
  <c r="G496" i="24"/>
  <c r="E139" i="2"/>
  <c r="G139" i="2"/>
  <c r="F54" i="24"/>
  <c r="G54" i="24"/>
  <c r="G130" i="2"/>
  <c r="F53" i="24"/>
  <c r="G53" i="24"/>
  <c r="E71" i="2"/>
  <c r="G71" i="2"/>
  <c r="F172" i="24"/>
  <c r="G172" i="24"/>
  <c r="E97" i="2"/>
  <c r="G97" i="2"/>
  <c r="F166" i="24"/>
  <c r="G166" i="24"/>
  <c r="E126" i="2"/>
  <c r="G126" i="2"/>
  <c r="F52" i="24"/>
  <c r="G52" i="24"/>
  <c r="E138" i="2"/>
  <c r="G138" i="2"/>
  <c r="F37" i="24"/>
  <c r="G37" i="24"/>
  <c r="E135" i="2"/>
  <c r="G135" i="2"/>
  <c r="E136" i="2"/>
  <c r="G136" i="2"/>
  <c r="F38" i="24"/>
  <c r="G38" i="24"/>
  <c r="E134" i="2"/>
  <c r="G134" i="2"/>
  <c r="E132" i="2"/>
  <c r="G132" i="2"/>
  <c r="E88" i="2"/>
  <c r="G88" i="2"/>
  <c r="F219" i="24"/>
  <c r="G219" i="24"/>
  <c r="E86" i="2"/>
  <c r="G86" i="2"/>
  <c r="F226" i="24"/>
  <c r="G226" i="24"/>
  <c r="E85" i="2"/>
  <c r="G85" i="2"/>
  <c r="F225" i="24"/>
  <c r="G225" i="24"/>
  <c r="E84" i="2"/>
  <c r="G84" i="2"/>
  <c r="F224" i="24"/>
  <c r="G224" i="24"/>
  <c r="E91" i="2"/>
  <c r="G91" i="2"/>
  <c r="F221" i="24"/>
  <c r="G221" i="24"/>
  <c r="E5" i="2"/>
  <c r="G5" i="2"/>
  <c r="E37" i="2"/>
  <c r="G37" i="2"/>
  <c r="F120" i="24"/>
  <c r="G120" i="24"/>
  <c r="E137" i="2"/>
  <c r="G137" i="2"/>
  <c r="F36" i="24"/>
  <c r="G36" i="24"/>
  <c r="E95" i="2"/>
  <c r="G95" i="2"/>
  <c r="F164" i="24"/>
  <c r="G164" i="24"/>
  <c r="E63" i="2"/>
  <c r="G63" i="2"/>
  <c r="F163" i="24"/>
  <c r="G163" i="24"/>
  <c r="E39" i="2"/>
  <c r="G39" i="2"/>
  <c r="F114" i="24"/>
  <c r="G114" i="24"/>
  <c r="E112" i="2"/>
  <c r="G112" i="2"/>
  <c r="F125" i="24"/>
  <c r="G125" i="24"/>
  <c r="G276" i="24"/>
  <c r="F265" i="24"/>
  <c r="G265" i="24"/>
  <c r="E46" i="9"/>
  <c r="F497" i="24"/>
  <c r="G497" i="24"/>
  <c r="F22" i="24"/>
  <c r="G22" i="24"/>
  <c r="F14" i="17"/>
  <c r="F485" i="24"/>
  <c r="G485" i="24"/>
  <c r="F457" i="24"/>
  <c r="G457" i="24"/>
  <c r="F446" i="24"/>
  <c r="G446" i="24"/>
  <c r="F456" i="24"/>
  <c r="G456" i="24"/>
  <c r="E11" i="9"/>
  <c r="H11" i="9"/>
  <c r="G458" i="24"/>
  <c r="F451" i="24"/>
  <c r="G451" i="24"/>
  <c r="G463" i="24"/>
  <c r="G326" i="24"/>
  <c r="F418" i="24"/>
  <c r="G418" i="24"/>
  <c r="F409" i="24"/>
  <c r="G409" i="24"/>
  <c r="E47" i="9"/>
  <c r="F411" i="24"/>
  <c r="G411" i="24"/>
  <c r="F420" i="24"/>
  <c r="G420" i="24"/>
  <c r="F59" i="24"/>
  <c r="G59" i="24"/>
  <c r="G23" i="24"/>
  <c r="B24" i="9"/>
  <c r="F159" i="24"/>
  <c r="G159" i="24"/>
  <c r="E22" i="17"/>
  <c r="F22" i="17"/>
  <c r="F170" i="24"/>
  <c r="G170" i="24"/>
  <c r="F42" i="24"/>
  <c r="G42" i="24"/>
  <c r="O13" i="10"/>
  <c r="E26" i="9"/>
  <c r="F473" i="24"/>
  <c r="G473" i="24"/>
  <c r="F417" i="24"/>
  <c r="G417" i="24"/>
  <c r="F416" i="24"/>
  <c r="G416" i="24"/>
  <c r="F235" i="24"/>
  <c r="G235" i="24"/>
  <c r="G316" i="24"/>
  <c r="E90" i="2"/>
  <c r="G90" i="2"/>
  <c r="F222" i="24"/>
  <c r="G222" i="24"/>
  <c r="E4" i="2"/>
  <c r="G4" i="2"/>
  <c r="E21" i="2"/>
  <c r="G21" i="2"/>
  <c r="F89" i="24"/>
  <c r="G89" i="24"/>
  <c r="G32" i="2"/>
  <c r="F111" i="24"/>
  <c r="G111" i="24"/>
  <c r="G434" i="24"/>
  <c r="F31" i="17"/>
  <c r="B23" i="9"/>
  <c r="F499" i="24"/>
  <c r="G499" i="24"/>
  <c r="B6" i="2"/>
  <c r="F63" i="24"/>
  <c r="G63" i="24"/>
  <c r="G153" i="24"/>
  <c r="I5" i="14"/>
  <c r="I33" i="14"/>
  <c r="E14" i="9"/>
  <c r="G152" i="24"/>
  <c r="G13" i="26"/>
  <c r="E13" i="26"/>
  <c r="F84" i="24"/>
  <c r="G84" i="24"/>
  <c r="F81" i="24"/>
  <c r="G81" i="24"/>
  <c r="F462" i="24"/>
  <c r="G462" i="24"/>
  <c r="F238" i="24"/>
  <c r="G238" i="24"/>
  <c r="G8" i="2"/>
  <c r="C8" i="26"/>
  <c r="G154" i="24"/>
  <c r="F155" i="24"/>
  <c r="G155" i="24"/>
  <c r="G8" i="26"/>
  <c r="E8" i="26"/>
  <c r="A80" i="24"/>
  <c r="A75" i="24"/>
  <c r="A27" i="24"/>
  <c r="A82" i="24"/>
  <c r="A113" i="24"/>
  <c r="A116" i="24"/>
  <c r="A122" i="24"/>
  <c r="A131" i="24"/>
  <c r="A138" i="24"/>
  <c r="A142" i="24"/>
  <c r="A151" i="24"/>
  <c r="A157" i="24"/>
  <c r="A161" i="24"/>
  <c r="A165" i="24"/>
  <c r="A168" i="24"/>
  <c r="A171" i="24"/>
  <c r="A175" i="24"/>
  <c r="A176" i="24"/>
  <c r="A180" i="24"/>
  <c r="A217" i="24"/>
  <c r="A219" i="24"/>
  <c r="A218" i="24"/>
  <c r="A220" i="24"/>
  <c r="A223" i="24"/>
  <c r="A228" i="24"/>
  <c r="A230" i="24"/>
  <c r="A231" i="24"/>
  <c r="A233" i="24"/>
  <c r="A234" i="24"/>
  <c r="A240" i="24"/>
  <c r="A249" i="24"/>
  <c r="A252" i="24"/>
  <c r="A254" i="24"/>
  <c r="A260" i="24"/>
  <c r="A232" i="24"/>
  <c r="A261" i="24"/>
  <c r="A269" i="24"/>
  <c r="A263" i="24"/>
  <c r="A272" i="24"/>
  <c r="A414" i="24"/>
  <c r="A262" i="24"/>
  <c r="A280" i="24"/>
  <c r="A281" i="24"/>
  <c r="A357" i="24"/>
  <c r="A367" i="24"/>
  <c r="A370" i="24"/>
  <c r="A413" i="24"/>
  <c r="A423" i="24"/>
  <c r="A442" i="24"/>
  <c r="A453" i="24"/>
  <c r="A466" i="24"/>
  <c r="A500" i="24"/>
  <c r="C5" i="10"/>
  <c r="C13" i="10"/>
  <c r="C14" i="10"/>
  <c r="G5" i="10"/>
  <c r="G13" i="10"/>
  <c r="E23" i="9"/>
  <c r="F470" i="24"/>
  <c r="G470" i="24"/>
  <c r="F32" i="14"/>
  <c r="H5" i="14"/>
  <c r="H33" i="14"/>
  <c r="E15" i="9"/>
  <c r="C11" i="26"/>
  <c r="G11" i="26"/>
  <c r="E27" i="9"/>
  <c r="F474" i="24"/>
  <c r="G474" i="24"/>
  <c r="F181" i="24"/>
  <c r="G181" i="24"/>
  <c r="E11" i="26"/>
  <c r="F35" i="24"/>
  <c r="G35" i="24"/>
  <c r="E48" i="9"/>
  <c r="F498" i="24"/>
  <c r="G498" i="24"/>
  <c r="F275" i="24"/>
  <c r="G275" i="24"/>
  <c r="E10" i="2"/>
  <c r="G10" i="2"/>
  <c r="F132" i="24"/>
  <c r="G132" i="24"/>
  <c r="H5" i="10"/>
  <c r="H13" i="10"/>
  <c r="E24" i="9"/>
  <c r="F471" i="24"/>
  <c r="G471" i="24"/>
  <c r="J5" i="14"/>
  <c r="J33" i="14"/>
  <c r="E13" i="9"/>
  <c r="F279" i="24"/>
  <c r="G279" i="24"/>
  <c r="E49" i="9"/>
  <c r="F464" i="24"/>
  <c r="G464" i="24"/>
  <c r="F33" i="14"/>
  <c r="F183" i="24"/>
  <c r="G183" i="24"/>
  <c r="F197" i="24"/>
  <c r="G197" i="24"/>
  <c r="F480" i="24"/>
  <c r="F322" i="24"/>
  <c r="G322" i="24"/>
  <c r="F320" i="24"/>
  <c r="G320" i="24"/>
  <c r="G32" i="14"/>
  <c r="L32" i="14"/>
  <c r="G5" i="14"/>
  <c r="G33" i="14"/>
  <c r="E16" i="9"/>
  <c r="J9" i="12"/>
  <c r="J12" i="12"/>
  <c r="H40" i="9"/>
  <c r="F74" i="24"/>
  <c r="G74" i="24"/>
  <c r="C12" i="26"/>
  <c r="G14" i="10"/>
  <c r="C16" i="10"/>
  <c r="G480" i="24"/>
  <c r="C15" i="26"/>
  <c r="G12" i="26"/>
  <c r="G15" i="26"/>
  <c r="G16" i="26"/>
  <c r="E12" i="26"/>
  <c r="E15" i="26"/>
  <c r="E16" i="26"/>
  <c r="L5" i="14"/>
  <c r="E17" i="9"/>
  <c r="E20" i="9"/>
  <c r="E21" i="9"/>
  <c r="E22" i="9"/>
  <c r="L33" i="14"/>
  <c r="F481" i="24"/>
  <c r="G481" i="24"/>
  <c r="E18" i="26"/>
  <c r="E19" i="26"/>
  <c r="E29" i="9"/>
  <c r="E22" i="26"/>
  <c r="D18" i="26"/>
  <c r="G20" i="9"/>
  <c r="H20" i="9"/>
  <c r="M33" i="14"/>
  <c r="F500" i="24"/>
  <c r="G500" i="24"/>
  <c r="F444" i="24"/>
  <c r="G444" i="24"/>
  <c r="F460" i="24"/>
  <c r="G460" i="24"/>
  <c r="F443" i="24"/>
  <c r="G443" i="24"/>
</calcChain>
</file>

<file path=xl/sharedStrings.xml><?xml version="1.0" encoding="utf-8"?>
<sst xmlns="http://schemas.openxmlformats.org/spreadsheetml/2006/main" count="2473" uniqueCount="1177">
  <si>
    <t>공종</t>
  </si>
  <si>
    <t>규격</t>
  </si>
  <si>
    <t>단위</t>
  </si>
  <si>
    <t>비고</t>
  </si>
  <si>
    <t>㎥</t>
  </si>
  <si>
    <t>콘크리트타설</t>
  </si>
  <si>
    <t>거푸집</t>
  </si>
  <si>
    <t>H=0~7m</t>
  </si>
  <si>
    <t>㎡</t>
  </si>
  <si>
    <t>동바리</t>
  </si>
  <si>
    <t>공/㎥</t>
  </si>
  <si>
    <t>비계다리</t>
  </si>
  <si>
    <t>m</t>
  </si>
  <si>
    <t>EA</t>
  </si>
  <si>
    <t>토사</t>
  </si>
  <si>
    <t>리핑암</t>
  </si>
  <si>
    <t>발파암</t>
  </si>
  <si>
    <t>철근가공조립</t>
  </si>
  <si>
    <t>간단</t>
  </si>
  <si>
    <t>tonf</t>
  </si>
  <si>
    <t>복잡</t>
  </si>
  <si>
    <t>매우복잡</t>
  </si>
  <si>
    <t>스페이서 설치</t>
  </si>
  <si>
    <t>슬래브 및 기초(수평)</t>
  </si>
  <si>
    <t>시공이음</t>
  </si>
  <si>
    <t>스치로폴</t>
  </si>
  <si>
    <t>T=5mm</t>
  </si>
  <si>
    <t>T=10mm</t>
  </si>
  <si>
    <t>T=20mm</t>
  </si>
  <si>
    <t>아스팔트방수</t>
  </si>
  <si>
    <t>DOWEL BAR</t>
  </si>
  <si>
    <t>접속 SLAB용</t>
  </si>
  <si>
    <t>교량받침</t>
  </si>
  <si>
    <t>무수축몰탈</t>
  </si>
  <si>
    <t>철근콘크리트</t>
    <phoneticPr fontId="7" type="noConversion"/>
  </si>
  <si>
    <t>합판3회</t>
    <phoneticPr fontId="7" type="noConversion"/>
  </si>
  <si>
    <t>중분대</t>
    <phoneticPr fontId="7" type="noConversion"/>
  </si>
  <si>
    <t>일체형</t>
    <phoneticPr fontId="7" type="noConversion"/>
  </si>
  <si>
    <t>m</t>
    <phoneticPr fontId="7" type="noConversion"/>
  </si>
  <si>
    <t>방호벽</t>
    <phoneticPr fontId="7" type="noConversion"/>
  </si>
  <si>
    <t>일반용</t>
    <phoneticPr fontId="7" type="noConversion"/>
  </si>
  <si>
    <t>NR</t>
    <phoneticPr fontId="7" type="noConversion"/>
  </si>
  <si>
    <t>콘크리트</t>
    <phoneticPr fontId="7" type="noConversion"/>
  </si>
  <si>
    <t>교면방수</t>
    <phoneticPr fontId="7" type="noConversion"/>
  </si>
  <si>
    <t>교면포장</t>
    <phoneticPr fontId="7" type="noConversion"/>
  </si>
  <si>
    <t>㎡</t>
    <phoneticPr fontId="7" type="noConversion"/>
  </si>
  <si>
    <t>특수마무리</t>
    <phoneticPr fontId="7" type="noConversion"/>
  </si>
  <si>
    <t>데크피니셔 면고르기</t>
    <phoneticPr fontId="7" type="noConversion"/>
  </si>
  <si>
    <t>곡  관</t>
    <phoneticPr fontId="7" type="noConversion"/>
  </si>
  <si>
    <t>연결관</t>
    <phoneticPr fontId="7" type="noConversion"/>
  </si>
  <si>
    <t>교 면 물 빼 기 공</t>
    <phoneticPr fontId="7" type="noConversion"/>
  </si>
  <si>
    <t>교    명    판</t>
    <phoneticPr fontId="7" type="noConversion"/>
  </si>
  <si>
    <t>설    명    판</t>
    <phoneticPr fontId="7" type="noConversion"/>
  </si>
  <si>
    <t>측량기준점 설치</t>
    <phoneticPr fontId="7" type="noConversion"/>
  </si>
  <si>
    <t>교    명    주</t>
    <phoneticPr fontId="7" type="noConversion"/>
  </si>
  <si>
    <t>NOTCH</t>
    <phoneticPr fontId="7" type="noConversion"/>
  </si>
  <si>
    <t>낙하물 방지공</t>
    <phoneticPr fontId="7" type="noConversion"/>
  </si>
  <si>
    <t>T형관</t>
  </si>
  <si>
    <t>L형곡간-a</t>
  </si>
  <si>
    <t>L형곡간-c</t>
  </si>
  <si>
    <t>총계</t>
    <phoneticPr fontId="7" type="noConversion"/>
  </si>
  <si>
    <t>무근콘크리트</t>
    <phoneticPr fontId="7" type="noConversion"/>
  </si>
  <si>
    <t>무근</t>
    <phoneticPr fontId="7" type="noConversion"/>
  </si>
  <si>
    <t>H=0.0~15.0m</t>
    <phoneticPr fontId="7" type="noConversion"/>
  </si>
  <si>
    <t>철근</t>
    <phoneticPr fontId="7" type="noConversion"/>
  </si>
  <si>
    <t>합판6회</t>
    <phoneticPr fontId="7" type="noConversion"/>
  </si>
  <si>
    <t>H=7~10m</t>
    <phoneticPr fontId="7" type="noConversion"/>
  </si>
  <si>
    <t>H=10~13m</t>
    <phoneticPr fontId="7" type="noConversion"/>
  </si>
  <si>
    <t>강재</t>
    <phoneticPr fontId="7" type="noConversion"/>
  </si>
  <si>
    <t>무늬</t>
    <phoneticPr fontId="7" type="noConversion"/>
  </si>
  <si>
    <t>수평연결재</t>
    <phoneticPr fontId="7" type="noConversion"/>
  </si>
  <si>
    <t>공/㎥</t>
    <phoneticPr fontId="7" type="noConversion"/>
  </si>
  <si>
    <t>비계</t>
    <phoneticPr fontId="7" type="noConversion"/>
  </si>
  <si>
    <t>SOLE PLATE</t>
    <phoneticPr fontId="7" type="noConversion"/>
  </si>
  <si>
    <t>무수축콘크리트</t>
    <phoneticPr fontId="7" type="noConversion"/>
  </si>
  <si>
    <t>벽체용(수직)</t>
    <phoneticPr fontId="7" type="noConversion"/>
  </si>
  <si>
    <t>EA</t>
    <phoneticPr fontId="7" type="noConversion"/>
  </si>
  <si>
    <t>택코팅</t>
    <phoneticPr fontId="7" type="noConversion"/>
  </si>
  <si>
    <t>배수시설</t>
    <phoneticPr fontId="7" type="noConversion"/>
  </si>
  <si>
    <t>식</t>
    <phoneticPr fontId="7" type="noConversion"/>
  </si>
  <si>
    <t>프라임 코팅</t>
    <phoneticPr fontId="7" type="noConversion"/>
  </si>
  <si>
    <t>상부슬래브양생</t>
    <phoneticPr fontId="7" type="noConversion"/>
  </si>
  <si>
    <t>VIB제외</t>
    <phoneticPr fontId="7" type="noConversion"/>
  </si>
  <si>
    <t>VIB포함</t>
    <phoneticPr fontId="7" type="noConversion"/>
  </si>
  <si>
    <t>m</t>
    <phoneticPr fontId="7" type="noConversion"/>
  </si>
  <si>
    <t>계</t>
  </si>
  <si>
    <t>육상깎기</t>
  </si>
  <si>
    <t>토  사</t>
  </si>
  <si>
    <t>터파기</t>
  </si>
  <si>
    <t>육상토사</t>
  </si>
  <si>
    <t>되메우기</t>
  </si>
  <si>
    <t>기계다짐</t>
  </si>
  <si>
    <t>뒷채움</t>
  </si>
  <si>
    <t>면고르기</t>
  </si>
  <si>
    <t>물푸기</t>
  </si>
  <si>
    <t>hr</t>
  </si>
  <si>
    <t>공제토</t>
  </si>
  <si>
    <t>노상공제</t>
  </si>
  <si>
    <t>노체공제</t>
  </si>
  <si>
    <t>앞성토</t>
  </si>
  <si>
    <t>보호블럭</t>
  </si>
  <si>
    <t>타공정이월</t>
    <phoneticPr fontId="7" type="noConversion"/>
  </si>
  <si>
    <t>줄떼공제</t>
    <phoneticPr fontId="7" type="noConversion"/>
  </si>
  <si>
    <t>줄떼추가</t>
    <phoneticPr fontId="7" type="noConversion"/>
  </si>
  <si>
    <t>전선관</t>
    <phoneticPr fontId="7" type="noConversion"/>
  </si>
  <si>
    <t>PVC PIPE</t>
    <phoneticPr fontId="7" type="noConversion"/>
  </si>
  <si>
    <t>Φ100</t>
    <phoneticPr fontId="7" type="noConversion"/>
  </si>
  <si>
    <t>m</t>
    <phoneticPr fontId="7" type="noConversion"/>
  </si>
  <si>
    <t>회</t>
    <phoneticPr fontId="7" type="noConversion"/>
  </si>
  <si>
    <t>본</t>
    <phoneticPr fontId="7" type="noConversion"/>
  </si>
  <si>
    <t>벽체용</t>
  </si>
  <si>
    <t>TON</t>
  </si>
  <si>
    <t>신축이음         
덮개시설</t>
    <phoneticPr fontId="7" type="noConversion"/>
  </si>
  <si>
    <t>육상발파암</t>
    <phoneticPr fontId="7" type="noConversion"/>
  </si>
  <si>
    <t>자  재  명</t>
  </si>
  <si>
    <t xml:space="preserve">                 규           격</t>
  </si>
  <si>
    <t>단     위</t>
  </si>
  <si>
    <t>수     량</t>
  </si>
  <si>
    <t>비     고</t>
  </si>
  <si>
    <t>D10</t>
  </si>
  <si>
    <t>D13</t>
  </si>
  <si>
    <t>"</t>
  </si>
  <si>
    <t>연</t>
  </si>
  <si>
    <t>D16</t>
  </si>
  <si>
    <t>D19</t>
  </si>
  <si>
    <t>강</t>
  </si>
  <si>
    <t>D22</t>
  </si>
  <si>
    <t>D25</t>
  </si>
  <si>
    <t>D29</t>
  </si>
  <si>
    <t>D32</t>
  </si>
  <si>
    <t xml:space="preserve">           소       계</t>
  </si>
  <si>
    <t>H10</t>
  </si>
  <si>
    <t>H13</t>
  </si>
  <si>
    <t>H16</t>
  </si>
  <si>
    <t>고</t>
  </si>
  <si>
    <t>H19</t>
  </si>
  <si>
    <t>H22</t>
  </si>
  <si>
    <t>H25</t>
  </si>
  <si>
    <t>H29</t>
  </si>
  <si>
    <t>H32</t>
  </si>
  <si>
    <t xml:space="preserve">       철     근     계</t>
  </si>
  <si>
    <t>M³</t>
  </si>
  <si>
    <t>구   분</t>
  </si>
  <si>
    <t>0-15.0 m</t>
  </si>
  <si>
    <t>15.0 m 이상</t>
  </si>
  <si>
    <t>비   고</t>
  </si>
  <si>
    <t>소   계</t>
  </si>
  <si>
    <t>총   계</t>
  </si>
  <si>
    <t>(단위중량 - 모래 : 1.6 t/m³, 자갈 : 1.7 t/m³)</t>
  </si>
  <si>
    <t>세골재</t>
  </si>
  <si>
    <t>깬 잡 석</t>
  </si>
  <si>
    <t>Φ19M/M</t>
  </si>
  <si>
    <t>Φ25M/M</t>
  </si>
  <si>
    <t>Φ32M/M</t>
  </si>
  <si>
    <t>Φ40M/M</t>
  </si>
  <si>
    <t>콘   크   리   트   용</t>
  </si>
  <si>
    <t>말 뚝  속  채 움  모 래</t>
  </si>
  <si>
    <t>돌 망 태 용 깬 잡 석</t>
  </si>
  <si>
    <t>구분</t>
  </si>
  <si>
    <t>NET</t>
  </si>
  <si>
    <t>Ton</t>
  </si>
  <si>
    <t>ADD</t>
  </si>
  <si>
    <t>D 32</t>
  </si>
  <si>
    <t>D 29</t>
  </si>
  <si>
    <t>D 25</t>
  </si>
  <si>
    <t>D 22</t>
  </si>
  <si>
    <t>D 19</t>
  </si>
  <si>
    <t>D 16</t>
  </si>
  <si>
    <t>D 13</t>
  </si>
  <si>
    <t>D 10</t>
  </si>
  <si>
    <t>할증</t>
    <phoneticPr fontId="8" type="noConversion"/>
  </si>
  <si>
    <t>1% 할증</t>
    <phoneticPr fontId="7" type="noConversion"/>
  </si>
  <si>
    <t>"</t>
    <phoneticPr fontId="25" type="noConversion"/>
  </si>
  <si>
    <t>2% 할증</t>
    <phoneticPr fontId="25" type="noConversion"/>
  </si>
  <si>
    <t>아스콘</t>
    <phoneticPr fontId="5" type="noConversion"/>
  </si>
  <si>
    <t>t=80mm</t>
    <phoneticPr fontId="5" type="noConversion"/>
  </si>
  <si>
    <t>2% 할증</t>
    <phoneticPr fontId="5" type="noConversion"/>
  </si>
  <si>
    <t>드럼</t>
    <phoneticPr fontId="5" type="noConversion"/>
  </si>
  <si>
    <t>3% 할증</t>
    <phoneticPr fontId="5" type="noConversion"/>
  </si>
  <si>
    <t>택코팅</t>
    <phoneticPr fontId="5" type="noConversion"/>
  </si>
  <si>
    <t>RSC-4</t>
    <phoneticPr fontId="5" type="noConversion"/>
  </si>
  <si>
    <t>무근</t>
    <phoneticPr fontId="5" type="noConversion"/>
  </si>
  <si>
    <t>육상펌프카</t>
    <phoneticPr fontId="5" type="noConversion"/>
  </si>
  <si>
    <t>구조물공 골재수량 집계표</t>
    <phoneticPr fontId="5" type="noConversion"/>
  </si>
  <si>
    <t>뒷  채  움</t>
    <phoneticPr fontId="5" type="noConversion"/>
  </si>
  <si>
    <t>사   석</t>
    <phoneticPr fontId="5" type="noConversion"/>
  </si>
  <si>
    <t>(M³)</t>
    <phoneticPr fontId="5" type="noConversion"/>
  </si>
  <si>
    <t>SB-1</t>
    <phoneticPr fontId="5" type="noConversion"/>
  </si>
  <si>
    <t>세굴 방지용 사석 채움</t>
    <phoneticPr fontId="5" type="noConversion"/>
  </si>
  <si>
    <t>현장암유용</t>
    <phoneticPr fontId="5" type="noConversion"/>
  </si>
  <si>
    <t>교  대  뒷  채  움</t>
    <phoneticPr fontId="7" type="noConversion"/>
  </si>
  <si>
    <t>계</t>
    <phoneticPr fontId="5" type="noConversion"/>
  </si>
  <si>
    <t>M³</t>
    <phoneticPr fontId="5" type="noConversion"/>
  </si>
  <si>
    <t>공   종</t>
    <phoneticPr fontId="5" type="noConversion"/>
  </si>
  <si>
    <t>H 32</t>
    <phoneticPr fontId="5" type="noConversion"/>
  </si>
  <si>
    <t>H 29</t>
    <phoneticPr fontId="5" type="noConversion"/>
  </si>
  <si>
    <t>H 25</t>
    <phoneticPr fontId="5" type="noConversion"/>
  </si>
  <si>
    <t>H 22</t>
    <phoneticPr fontId="5" type="noConversion"/>
  </si>
  <si>
    <t>H 19</t>
    <phoneticPr fontId="5" type="noConversion"/>
  </si>
  <si>
    <t>H 16</t>
    <phoneticPr fontId="5" type="noConversion"/>
  </si>
  <si>
    <t>H 13</t>
    <phoneticPr fontId="5" type="noConversion"/>
  </si>
  <si>
    <t>H 10</t>
    <phoneticPr fontId="5" type="noConversion"/>
  </si>
  <si>
    <t>합   계</t>
    <phoneticPr fontId="7" type="noConversion"/>
  </si>
  <si>
    <t>접속슬래브
(3% 적용)</t>
    <phoneticPr fontId="5" type="noConversion"/>
  </si>
  <si>
    <t>식</t>
  </si>
  <si>
    <t>0∼4 m</t>
  </si>
  <si>
    <t>ea</t>
  </si>
  <si>
    <t>본</t>
  </si>
  <si>
    <t>회</t>
  </si>
  <si>
    <t>0~ 7 m</t>
  </si>
  <si>
    <t>7∼10 m</t>
  </si>
  <si>
    <t>0~ 7m</t>
  </si>
  <si>
    <t>H=0∼30 m</t>
  </si>
  <si>
    <t>교량용</t>
  </si>
  <si>
    <t>ton</t>
  </si>
  <si>
    <t>보 통</t>
  </si>
  <si>
    <t>복 잡</t>
  </si>
  <si>
    <t>무근,VIB 제외</t>
  </si>
  <si>
    <t>양생제</t>
  </si>
  <si>
    <t>데크휘니샤</t>
  </si>
  <si>
    <t>D25 m/m, L=600</t>
  </si>
  <si>
    <t>T=10 mm</t>
  </si>
  <si>
    <t>T=20 mm</t>
  </si>
  <si>
    <t>스테인레스</t>
  </si>
  <si>
    <t>H13m/m</t>
  </si>
  <si>
    <t>H16-32m/m</t>
  </si>
  <si>
    <t>D10m/m</t>
  </si>
  <si>
    <t>D13m/m</t>
  </si>
  <si>
    <t>D16-32m/m</t>
  </si>
  <si>
    <t>공    종</t>
    <phoneticPr fontId="7" type="noConversion"/>
  </si>
  <si>
    <t>규     격</t>
    <phoneticPr fontId="7" type="noConversion"/>
  </si>
  <si>
    <t>단위</t>
    <phoneticPr fontId="7" type="noConversion"/>
  </si>
  <si>
    <t>토공</t>
    <phoneticPr fontId="29" type="noConversion"/>
  </si>
  <si>
    <t>계</t>
    <phoneticPr fontId="7" type="noConversion"/>
  </si>
  <si>
    <t>비고</t>
    <phoneticPr fontId="7" type="noConversion"/>
  </si>
  <si>
    <t>m³</t>
    <phoneticPr fontId="7" type="noConversion"/>
  </si>
  <si>
    <t>공제토</t>
    <phoneticPr fontId="27" type="noConversion"/>
  </si>
  <si>
    <t>노상</t>
    <phoneticPr fontId="7" type="noConversion"/>
  </si>
  <si>
    <t>노체</t>
    <phoneticPr fontId="7" type="noConversion"/>
  </si>
  <si>
    <t>m</t>
    <phoneticPr fontId="27" type="noConversion"/>
  </si>
  <si>
    <t>앞성토</t>
    <phoneticPr fontId="27" type="noConversion"/>
  </si>
  <si>
    <t>줄떼</t>
    <phoneticPr fontId="27" type="noConversion"/>
  </si>
  <si>
    <t>추가</t>
    <phoneticPr fontId="27" type="noConversion"/>
  </si>
  <si>
    <t>공제</t>
    <phoneticPr fontId="27" type="noConversion"/>
  </si>
  <si>
    <t>내역서 적용수량</t>
    <phoneticPr fontId="7" type="noConversion"/>
  </si>
  <si>
    <t>주요자재 집계표</t>
    <phoneticPr fontId="7" type="noConversion"/>
  </si>
  <si>
    <t>총괄수량 집계표</t>
    <phoneticPr fontId="7" type="noConversion"/>
  </si>
  <si>
    <t xml:space="preserve">교량명 : </t>
    <phoneticPr fontId="21" type="noConversion"/>
  </si>
  <si>
    <t>Φ150</t>
    <phoneticPr fontId="7" type="noConversion"/>
  </si>
  <si>
    <t>COUPLER</t>
    <phoneticPr fontId="7" type="noConversion"/>
  </si>
  <si>
    <t>세굴방지
사석채움</t>
    <phoneticPr fontId="7" type="noConversion"/>
  </si>
  <si>
    <t>사석 부설</t>
    <phoneticPr fontId="7" type="noConversion"/>
  </si>
  <si>
    <t>흙쌓기
및 헐기</t>
    <phoneticPr fontId="7" type="noConversion"/>
  </si>
  <si>
    <t>가도공</t>
    <phoneticPr fontId="7" type="noConversion"/>
  </si>
  <si>
    <t>마대쌓기
및 헐기</t>
    <phoneticPr fontId="7" type="noConversion"/>
  </si>
  <si>
    <t>오탁방지막 설치</t>
    <phoneticPr fontId="7" type="noConversion"/>
  </si>
  <si>
    <t>m</t>
    <phoneticPr fontId="7" type="noConversion"/>
  </si>
  <si>
    <t>4m이상</t>
    <phoneticPr fontId="7" type="noConversion"/>
  </si>
  <si>
    <t>육상리핑암</t>
    <phoneticPr fontId="7" type="noConversion"/>
  </si>
  <si>
    <t>PSC E-BEAM</t>
    <phoneticPr fontId="5" type="noConversion"/>
  </si>
  <si>
    <t>토량환산계수
적용  (L/C)</t>
    <phoneticPr fontId="5" type="noConversion"/>
  </si>
  <si>
    <t>포장공</t>
    <phoneticPr fontId="27" type="noConversion"/>
  </si>
  <si>
    <t>교면포장</t>
    <phoneticPr fontId="27" type="noConversion"/>
  </si>
  <si>
    <t>가도 축도</t>
    <phoneticPr fontId="27" type="noConversion"/>
  </si>
  <si>
    <t>철
근</t>
    <phoneticPr fontId="5" type="noConversion"/>
  </si>
  <si>
    <t>고   철</t>
    <phoneticPr fontId="5" type="noConversion"/>
  </si>
  <si>
    <t>Kg</t>
    <phoneticPr fontId="5" type="noConversion"/>
  </si>
  <si>
    <t>시멘트</t>
    <phoneticPr fontId="5" type="noConversion"/>
  </si>
  <si>
    <t>(40KG)</t>
    <phoneticPr fontId="5" type="noConversion"/>
  </si>
  <si>
    <t>tonf</t>
    <phoneticPr fontId="5" type="noConversion"/>
  </si>
  <si>
    <t>오탁방지막</t>
    <phoneticPr fontId="27" type="noConversion"/>
  </si>
  <si>
    <t>m</t>
    <phoneticPr fontId="27" type="noConversion"/>
  </si>
  <si>
    <t>가축도 본선 유용토</t>
    <phoneticPr fontId="7" type="noConversion"/>
  </si>
  <si>
    <t>본선 유용 (80%)</t>
    <phoneticPr fontId="27" type="noConversion"/>
  </si>
  <si>
    <t>Φ13M/M</t>
    <phoneticPr fontId="5" type="noConversion"/>
  </si>
  <si>
    <t>모래</t>
    <phoneticPr fontId="5" type="noConversion"/>
  </si>
  <si>
    <t>자갈</t>
    <phoneticPr fontId="5" type="noConversion"/>
  </si>
  <si>
    <t>뒷채움</t>
    <phoneticPr fontId="5" type="noConversion"/>
  </si>
  <si>
    <t>Φ13M/M</t>
    <phoneticPr fontId="7" type="noConversion"/>
  </si>
  <si>
    <t>Φ19M/M</t>
    <phoneticPr fontId="7" type="noConversion"/>
  </si>
  <si>
    <t>Φ25M/M</t>
    <phoneticPr fontId="7" type="noConversion"/>
  </si>
  <si>
    <t>SB-1</t>
    <phoneticPr fontId="5" type="noConversion"/>
  </si>
  <si>
    <t>M³</t>
    <phoneticPr fontId="5" type="noConversion"/>
  </si>
  <si>
    <t>M³</t>
    <phoneticPr fontId="5" type="noConversion"/>
  </si>
  <si>
    <t>4% 할증</t>
    <phoneticPr fontId="25" type="noConversion"/>
  </si>
  <si>
    <t>교량유지관리표지판</t>
  </si>
  <si>
    <t>규    격</t>
    <phoneticPr fontId="7" type="noConversion"/>
  </si>
  <si>
    <t>단위</t>
    <phoneticPr fontId="7" type="noConversion"/>
  </si>
  <si>
    <t>합  계</t>
    <phoneticPr fontId="7" type="noConversion"/>
  </si>
  <si>
    <t>비고</t>
    <phoneticPr fontId="7" type="noConversion"/>
  </si>
  <si>
    <t>구  조  물  공</t>
    <phoneticPr fontId="7" type="noConversion"/>
  </si>
  <si>
    <t>토       공</t>
    <phoneticPr fontId="7" type="noConversion"/>
  </si>
  <si>
    <t>구조물터파기</t>
    <phoneticPr fontId="7" type="noConversion"/>
  </si>
  <si>
    <t>육상 토사</t>
    <phoneticPr fontId="7" type="noConversion"/>
  </si>
  <si>
    <t>4m이상</t>
    <phoneticPr fontId="7" type="noConversion"/>
  </si>
  <si>
    <t>육상 리핑암</t>
    <phoneticPr fontId="7" type="noConversion"/>
  </si>
  <si>
    <t>육상 발파암</t>
    <phoneticPr fontId="7" type="noConversion"/>
  </si>
  <si>
    <t>용수 토사</t>
    <phoneticPr fontId="7" type="noConversion"/>
  </si>
  <si>
    <t>용수 리핑암</t>
    <phoneticPr fontId="7" type="noConversion"/>
  </si>
  <si>
    <t>용수 발파암</t>
    <phoneticPr fontId="7" type="noConversion"/>
  </si>
  <si>
    <t>면정리 및 청소</t>
    <phoneticPr fontId="7" type="noConversion"/>
  </si>
  <si>
    <t>되메우기및다짐</t>
    <phoneticPr fontId="7" type="noConversion"/>
  </si>
  <si>
    <t>물푸기공</t>
    <phoneticPr fontId="7" type="noConversion"/>
  </si>
  <si>
    <t>hr</t>
    <phoneticPr fontId="7" type="noConversion"/>
  </si>
  <si>
    <t>거 푸 집</t>
    <phoneticPr fontId="7" type="noConversion"/>
  </si>
  <si>
    <t>합판거푸집</t>
    <phoneticPr fontId="7" type="noConversion"/>
  </si>
  <si>
    <t>3회 0~ 7 m</t>
    <phoneticPr fontId="7" type="noConversion"/>
  </si>
  <si>
    <t>3회 7∼10 m</t>
    <phoneticPr fontId="7" type="noConversion"/>
  </si>
  <si>
    <t>3회10∼13 m</t>
    <phoneticPr fontId="7" type="noConversion"/>
  </si>
  <si>
    <t>3회13∼16 m</t>
    <phoneticPr fontId="7" type="noConversion"/>
  </si>
  <si>
    <t>6회 0~ 7 m</t>
    <phoneticPr fontId="7" type="noConversion"/>
  </si>
  <si>
    <t>목재 원형 거푸집</t>
    <phoneticPr fontId="7" type="noConversion"/>
  </si>
  <si>
    <t>강재거푸집</t>
    <phoneticPr fontId="7" type="noConversion"/>
  </si>
  <si>
    <t>10∼13 m</t>
    <phoneticPr fontId="7" type="noConversion"/>
  </si>
  <si>
    <t>강재 원형 거푸집</t>
    <phoneticPr fontId="7" type="noConversion"/>
  </si>
  <si>
    <t>무늬거푸집</t>
    <phoneticPr fontId="7" type="noConversion"/>
  </si>
  <si>
    <t>비계</t>
    <phoneticPr fontId="7" type="noConversion"/>
  </si>
  <si>
    <t>비계다리</t>
    <phoneticPr fontId="7" type="noConversion"/>
  </si>
  <si>
    <t>동 바 리</t>
    <phoneticPr fontId="7" type="noConversion"/>
  </si>
  <si>
    <t>공/㎥</t>
    <phoneticPr fontId="7" type="noConversion"/>
  </si>
  <si>
    <t>철근가공조립</t>
    <phoneticPr fontId="7" type="noConversion"/>
  </si>
  <si>
    <t>간 단</t>
    <phoneticPr fontId="7" type="noConversion"/>
  </si>
  <si>
    <t>ea</t>
    <phoneticPr fontId="7" type="noConversion"/>
  </si>
  <si>
    <t>콘크리트타설</t>
    <phoneticPr fontId="7" type="noConversion"/>
  </si>
  <si>
    <t>표 면 처 리</t>
    <phoneticPr fontId="7" type="noConversion"/>
  </si>
  <si>
    <t>슬래브양생</t>
    <phoneticPr fontId="7" type="noConversion"/>
  </si>
  <si>
    <t>면고르기</t>
    <phoneticPr fontId="7" type="noConversion"/>
  </si>
  <si>
    <t>교량받침</t>
    <phoneticPr fontId="7" type="noConversion"/>
  </si>
  <si>
    <t>신축이음</t>
    <phoneticPr fontId="7" type="noConversion"/>
  </si>
  <si>
    <t>신축이음장치</t>
    <phoneticPr fontId="7" type="noConversion"/>
  </si>
  <si>
    <t>m</t>
    <phoneticPr fontId="7" type="noConversion"/>
  </si>
  <si>
    <t>교면방수</t>
    <phoneticPr fontId="7" type="noConversion"/>
  </si>
  <si>
    <t>침투식</t>
    <phoneticPr fontId="7" type="noConversion"/>
  </si>
  <si>
    <t>다웰바 설치</t>
    <phoneticPr fontId="7" type="noConversion"/>
  </si>
  <si>
    <t>다웰바 설치(접속슬래브)</t>
    <phoneticPr fontId="7" type="noConversion"/>
  </si>
  <si>
    <t>다웰바 설치(옹벽용)</t>
    <phoneticPr fontId="7" type="noConversion"/>
  </si>
  <si>
    <t>D32 m/m, L=800</t>
    <phoneticPr fontId="7" type="noConversion"/>
  </si>
  <si>
    <t>무수축 콘크리트</t>
    <phoneticPr fontId="7" type="noConversion"/>
  </si>
  <si>
    <t>T=5 mm</t>
    <phoneticPr fontId="7" type="noConversion"/>
  </si>
  <si>
    <t>아스팔트 방수</t>
    <phoneticPr fontId="7" type="noConversion"/>
  </si>
  <si>
    <t>배면방수</t>
    <phoneticPr fontId="7" type="noConversion"/>
  </si>
  <si>
    <t>교대보호블럭</t>
    <phoneticPr fontId="7" type="noConversion"/>
  </si>
  <si>
    <t>육교용</t>
    <phoneticPr fontId="7" type="noConversion"/>
  </si>
  <si>
    <t>보호블럭</t>
    <phoneticPr fontId="7" type="noConversion"/>
  </si>
  <si>
    <t>보호블럭 기초</t>
    <phoneticPr fontId="7" type="noConversion"/>
  </si>
  <si>
    <t>식</t>
    <phoneticPr fontId="7" type="noConversion"/>
  </si>
  <si>
    <t>집수구</t>
    <phoneticPr fontId="7" type="noConversion"/>
  </si>
  <si>
    <t>직관</t>
    <phoneticPr fontId="7" type="noConversion"/>
  </si>
  <si>
    <t>곡관</t>
    <phoneticPr fontId="7" type="noConversion"/>
  </si>
  <si>
    <t>교면물빼기공</t>
    <phoneticPr fontId="7" type="noConversion"/>
  </si>
  <si>
    <t>기존구조물 배수구 뚫기</t>
    <phoneticPr fontId="7" type="noConversion"/>
  </si>
  <si>
    <t>스페이셔</t>
    <phoneticPr fontId="7" type="noConversion"/>
  </si>
  <si>
    <t>스페이셔 설치</t>
    <phoneticPr fontId="7" type="noConversion"/>
  </si>
  <si>
    <t>설 명 판</t>
    <phoneticPr fontId="7" type="noConversion"/>
  </si>
  <si>
    <t>측량 기준점 설치</t>
    <phoneticPr fontId="7" type="noConversion"/>
  </si>
  <si>
    <t>콘크리트양생</t>
    <phoneticPr fontId="7" type="noConversion"/>
  </si>
  <si>
    <t>점검용 계단</t>
    <phoneticPr fontId="7" type="noConversion"/>
  </si>
  <si>
    <t>방호울타리</t>
    <phoneticPr fontId="7" type="noConversion"/>
  </si>
  <si>
    <t>방음벽용</t>
    <phoneticPr fontId="7" type="noConversion"/>
  </si>
  <si>
    <t>H=1000mm</t>
    <phoneticPr fontId="7" type="noConversion"/>
  </si>
  <si>
    <t>중앙분리대</t>
    <phoneticPr fontId="7" type="noConversion"/>
  </si>
  <si>
    <t>일체형</t>
    <phoneticPr fontId="7" type="noConversion"/>
  </si>
  <si>
    <t>조합방호벽</t>
    <phoneticPr fontId="7" type="noConversion"/>
  </si>
  <si>
    <t>일반방호벽</t>
    <phoneticPr fontId="7" type="noConversion"/>
  </si>
  <si>
    <t>방음벽 기초</t>
    <phoneticPr fontId="7" type="noConversion"/>
  </si>
  <si>
    <t>전선관</t>
    <phoneticPr fontId="7" type="noConversion"/>
  </si>
  <si>
    <t>P.V.C 150</t>
    <phoneticPr fontId="7" type="noConversion"/>
  </si>
  <si>
    <t>교량유지관리표지판</t>
    <phoneticPr fontId="7" type="noConversion"/>
  </si>
  <si>
    <t>교각용</t>
    <phoneticPr fontId="7" type="noConversion"/>
  </si>
  <si>
    <t>난간용</t>
    <phoneticPr fontId="7" type="noConversion"/>
  </si>
  <si>
    <t>낙하물방지공</t>
    <phoneticPr fontId="7" type="noConversion"/>
  </si>
  <si>
    <t>COVER PLATE</t>
    <phoneticPr fontId="7" type="noConversion"/>
  </si>
  <si>
    <t>중앙분리대용</t>
    <phoneticPr fontId="7" type="noConversion"/>
  </si>
  <si>
    <t>조합방호벽용</t>
    <phoneticPr fontId="7" type="noConversion"/>
  </si>
  <si>
    <t>일반방호벽용</t>
    <phoneticPr fontId="7" type="noConversion"/>
  </si>
  <si>
    <t>방음벽 기초용</t>
    <phoneticPr fontId="7" type="noConversion"/>
  </si>
  <si>
    <t>도면보관함</t>
    <phoneticPr fontId="7" type="noConversion"/>
  </si>
  <si>
    <t>교량 점검 시설</t>
    <phoneticPr fontId="7" type="noConversion"/>
  </si>
  <si>
    <t>가도 및 축도</t>
    <phoneticPr fontId="7" type="noConversion"/>
  </si>
  <si>
    <t>흙쌓기 및 철거</t>
    <phoneticPr fontId="7" type="noConversion"/>
  </si>
  <si>
    <t>복구 및 유지보수비</t>
    <phoneticPr fontId="7" type="noConversion"/>
  </si>
  <si>
    <t>교면 포장</t>
    <phoneticPr fontId="7" type="noConversion"/>
  </si>
  <si>
    <t>㎥</t>
    <phoneticPr fontId="7" type="noConversion"/>
  </si>
  <si>
    <t>교면포장</t>
    <phoneticPr fontId="7" type="noConversion"/>
  </si>
  <si>
    <t>LMC 포장(t=50mm)</t>
    <phoneticPr fontId="7" type="noConversion"/>
  </si>
  <si>
    <t>아스콘 포장(t=80mm)</t>
    <phoneticPr fontId="7" type="noConversion"/>
  </si>
  <si>
    <t>프라임코팅</t>
    <phoneticPr fontId="7" type="noConversion"/>
  </si>
  <si>
    <t>RSC-3</t>
    <phoneticPr fontId="7" type="noConversion"/>
  </si>
  <si>
    <t>택코팅</t>
    <phoneticPr fontId="7" type="noConversion"/>
  </si>
  <si>
    <t>기초잡석 깔기</t>
    <phoneticPr fontId="7" type="noConversion"/>
  </si>
  <si>
    <t>가시설공</t>
    <phoneticPr fontId="7" type="noConversion"/>
  </si>
  <si>
    <t>시멘트</t>
    <phoneticPr fontId="7" type="noConversion"/>
  </si>
  <si>
    <t>운반비</t>
    <phoneticPr fontId="7" type="noConversion"/>
  </si>
  <si>
    <t>포대</t>
    <phoneticPr fontId="7" type="noConversion"/>
  </si>
  <si>
    <t>철근</t>
    <phoneticPr fontId="7" type="noConversion"/>
  </si>
  <si>
    <t>레미콘</t>
    <phoneticPr fontId="7" type="noConversion"/>
  </si>
  <si>
    <t>철  근(고강)</t>
    <phoneticPr fontId="7" type="noConversion"/>
  </si>
  <si>
    <t>철  근</t>
    <phoneticPr fontId="7" type="noConversion"/>
  </si>
  <si>
    <t>철  근(연강)</t>
    <phoneticPr fontId="7" type="noConversion"/>
  </si>
  <si>
    <t>고재대</t>
    <phoneticPr fontId="7" type="noConversion"/>
  </si>
  <si>
    <t>H = 1.350m</t>
    <phoneticPr fontId="7" type="noConversion"/>
  </si>
  <si>
    <t>강재원형</t>
    <phoneticPr fontId="7" type="noConversion"/>
  </si>
  <si>
    <t>콘크리트양생</t>
    <phoneticPr fontId="7" type="noConversion"/>
  </si>
  <si>
    <t>유공관, Φ10mm</t>
    <phoneticPr fontId="7" type="noConversion"/>
  </si>
  <si>
    <t>몰탈 1 : 1</t>
    <phoneticPr fontId="7" type="noConversion"/>
  </si>
  <si>
    <t>몰탈 1 : 3</t>
    <phoneticPr fontId="7" type="noConversion"/>
  </si>
  <si>
    <t>그라우팅 밀크</t>
    <phoneticPr fontId="7" type="noConversion"/>
  </si>
  <si>
    <t>토사</t>
    <phoneticPr fontId="7" type="noConversion"/>
  </si>
  <si>
    <t>리핑암</t>
    <phoneticPr fontId="7" type="noConversion"/>
  </si>
  <si>
    <t>발파암</t>
    <phoneticPr fontId="7" type="noConversion"/>
  </si>
  <si>
    <t>방호벽용</t>
    <phoneticPr fontId="7" type="noConversion"/>
  </si>
  <si>
    <t>방음벽용</t>
    <phoneticPr fontId="7" type="noConversion"/>
  </si>
  <si>
    <t>H = 1.180m</t>
    <phoneticPr fontId="7" type="noConversion"/>
  </si>
  <si>
    <t>초 기 우 수 시 설</t>
    <phoneticPr fontId="7" type="noConversion"/>
  </si>
  <si>
    <t>EA</t>
    <phoneticPr fontId="7" type="noConversion"/>
  </si>
  <si>
    <t>안전점검시설</t>
    <phoneticPr fontId="7" type="noConversion"/>
  </si>
  <si>
    <t>복구 및 유지보수비</t>
    <phoneticPr fontId="7" type="noConversion"/>
  </si>
  <si>
    <t>SHEET PILE</t>
    <phoneticPr fontId="7" type="noConversion"/>
  </si>
  <si>
    <t>SHEET PILE 압입</t>
    <phoneticPr fontId="7" type="noConversion"/>
  </si>
  <si>
    <t>SHEET PILE 인발</t>
    <phoneticPr fontId="7" type="noConversion"/>
  </si>
  <si>
    <t>U-400X150X13.0</t>
    <phoneticPr fontId="7" type="noConversion"/>
  </si>
  <si>
    <t>개소</t>
    <phoneticPr fontId="7" type="noConversion"/>
  </si>
  <si>
    <t>코너 SHEET PILE 제작</t>
    <phoneticPr fontId="7" type="noConversion"/>
  </si>
  <si>
    <t>쐐기 SHEET PILE 제작</t>
    <phoneticPr fontId="7" type="noConversion"/>
  </si>
  <si>
    <t>GUIDE BEAM 이동 설치</t>
    <phoneticPr fontId="7" type="noConversion"/>
  </si>
  <si>
    <t>WALE 설치 및 철거 (H-300)</t>
    <phoneticPr fontId="7" type="noConversion"/>
  </si>
  <si>
    <t>(L=6~8m)</t>
    <phoneticPr fontId="7" type="noConversion"/>
  </si>
  <si>
    <t>WALE 연결</t>
    <phoneticPr fontId="7" type="noConversion"/>
  </si>
  <si>
    <t>H-300X300X10X15</t>
    <phoneticPr fontId="7" type="noConversion"/>
  </si>
  <si>
    <t>보걸이 설치 철거</t>
    <phoneticPr fontId="7" type="noConversion"/>
  </si>
  <si>
    <t>CORNER STRUT 설치 및 철거 (H-300)</t>
    <phoneticPr fontId="7" type="noConversion"/>
  </si>
  <si>
    <t>(0~3m)</t>
    <phoneticPr fontId="7" type="noConversion"/>
  </si>
  <si>
    <t>사보강연결재 설치 및 해체</t>
    <phoneticPr fontId="7" type="noConversion"/>
  </si>
  <si>
    <t>CHANNEL 설치 철거</t>
    <phoneticPr fontId="7" type="noConversion"/>
  </si>
  <si>
    <t>ㄷ-150X75X6.5X10</t>
    <phoneticPr fontId="7" type="noConversion"/>
  </si>
  <si>
    <t>L-130X130X9</t>
    <phoneticPr fontId="7" type="noConversion"/>
  </si>
  <si>
    <t>강재사용 및 운반</t>
    <phoneticPr fontId="7" type="noConversion"/>
  </si>
  <si>
    <t>SHEET PILE 사용 및 운반</t>
    <phoneticPr fontId="7" type="noConversion"/>
  </si>
  <si>
    <t>ton</t>
    <phoneticPr fontId="7" type="noConversion"/>
  </si>
  <si>
    <t>H-형강 사용 및 운반</t>
    <phoneticPr fontId="7" type="noConversion"/>
  </si>
  <si>
    <t>CHANNEL  사용 및 운반</t>
    <phoneticPr fontId="7" type="noConversion"/>
  </si>
  <si>
    <t>용수토사</t>
    <phoneticPr fontId="7" type="noConversion"/>
  </si>
  <si>
    <t>토사</t>
    <phoneticPr fontId="7" type="noConversion"/>
  </si>
  <si>
    <t>발파암</t>
    <phoneticPr fontId="7" type="noConversion"/>
  </si>
  <si>
    <t>뒷채움</t>
    <phoneticPr fontId="27" type="noConversion"/>
  </si>
  <si>
    <t>SB-1</t>
    <phoneticPr fontId="27" type="noConversion"/>
  </si>
  <si>
    <t>m³</t>
    <phoneticPr fontId="7" type="noConversion"/>
  </si>
  <si>
    <t>토사</t>
    <phoneticPr fontId="7" type="noConversion"/>
  </si>
  <si>
    <t>m³</t>
    <phoneticPr fontId="7" type="noConversion"/>
  </si>
  <si>
    <t>리핑암</t>
    <phoneticPr fontId="7" type="noConversion"/>
  </si>
  <si>
    <t>발파암</t>
    <phoneticPr fontId="27" type="noConversion"/>
  </si>
  <si>
    <t>Φ300</t>
    <phoneticPr fontId="5" type="noConversion"/>
  </si>
  <si>
    <t>오탁방지막 설치</t>
    <phoneticPr fontId="7" type="noConversion"/>
  </si>
  <si>
    <t>h=1.0m</t>
    <phoneticPr fontId="7" type="noConversion"/>
  </si>
  <si>
    <t>m</t>
    <phoneticPr fontId="7" type="noConversion"/>
  </si>
  <si>
    <t>현장타설말뚝
D=1000</t>
    <phoneticPr fontId="7" type="noConversion"/>
  </si>
  <si>
    <t>현장타설말뚝</t>
  </si>
  <si>
    <t>길이</t>
  </si>
  <si>
    <t>본수</t>
  </si>
  <si>
    <t>정재하시험</t>
  </si>
  <si>
    <t>건전도시험</t>
  </si>
  <si>
    <t>풍화암</t>
  </si>
  <si>
    <t>연암</t>
  </si>
  <si>
    <t>CASING 압침</t>
  </si>
  <si>
    <t>RCD 굴착</t>
  </si>
  <si>
    <t>SPACER 제작 및 설치</t>
  </si>
  <si>
    <t>두부 정리</t>
  </si>
  <si>
    <t>잔토처리</t>
  </si>
  <si>
    <t>폐기물 처리</t>
  </si>
  <si>
    <t>SLIME 제거</t>
  </si>
  <si>
    <t>콘크리트 타설</t>
  </si>
  <si>
    <t>철근망 근입</t>
  </si>
  <si>
    <t>말뚝시험비</t>
    <phoneticPr fontId="7" type="noConversion"/>
  </si>
  <si>
    <t>강관내부굴착
(대구경천공)</t>
    <phoneticPr fontId="7" type="noConversion"/>
  </si>
  <si>
    <t>강관내부굴착
(RCD천공)</t>
    <phoneticPr fontId="7" type="noConversion"/>
  </si>
  <si>
    <t>장비이동및거치</t>
    <phoneticPr fontId="7" type="noConversion"/>
  </si>
  <si>
    <t>정재하 시험</t>
    <phoneticPr fontId="7" type="noConversion"/>
  </si>
  <si>
    <t>건전도 시험</t>
    <phoneticPr fontId="7" type="noConversion"/>
  </si>
  <si>
    <t>스탠드파이프</t>
    <phoneticPr fontId="7" type="noConversion"/>
  </si>
  <si>
    <t>0∼4 m</t>
    <phoneticPr fontId="7" type="noConversion"/>
  </si>
  <si>
    <t xml:space="preserve"> </t>
    <phoneticPr fontId="7" type="noConversion"/>
  </si>
  <si>
    <t>철근인상</t>
    <phoneticPr fontId="7" type="noConversion"/>
  </si>
  <si>
    <t>난간 설치</t>
    <phoneticPr fontId="7" type="noConversion"/>
  </si>
  <si>
    <t>유로폼</t>
    <phoneticPr fontId="7" type="noConversion"/>
  </si>
  <si>
    <t>콘크리트 표면 보호재</t>
    <phoneticPr fontId="7" type="noConversion"/>
  </si>
  <si>
    <t>교대 점검계단</t>
    <phoneticPr fontId="7" type="noConversion"/>
  </si>
  <si>
    <t>황동</t>
    <phoneticPr fontId="7" type="noConversion"/>
  </si>
  <si>
    <t>수직면(H=0~7m)</t>
  </si>
  <si>
    <t>수직면(H=7~10m)</t>
  </si>
  <si>
    <t>수직면(H=10~13m)</t>
  </si>
  <si>
    <t>수직면(H=13~16m)</t>
  </si>
  <si>
    <t>경사면(H=0~7m)</t>
  </si>
  <si>
    <t>수평면(H=0~7m)</t>
  </si>
  <si>
    <t>No. 60</t>
    <phoneticPr fontId="7" type="noConversion"/>
  </si>
  <si>
    <t>10% 할증</t>
    <phoneticPr fontId="5" type="noConversion"/>
  </si>
  <si>
    <t>스탠드파이프</t>
    <phoneticPr fontId="7" type="noConversion"/>
  </si>
  <si>
    <t>m</t>
    <phoneticPr fontId="7" type="noConversion"/>
  </si>
  <si>
    <t>케이싱 손료</t>
    <phoneticPr fontId="7" type="noConversion"/>
  </si>
  <si>
    <t>0~4m</t>
  </si>
  <si>
    <t>원지반토</t>
  </si>
  <si>
    <t>사토</t>
  </si>
  <si>
    <t>폐아스콘</t>
  </si>
  <si>
    <t>방조제 피복석 헐기</t>
  </si>
  <si>
    <t>방조제 피복석 쌓기</t>
  </si>
  <si>
    <t>아스콘 포장 깨기</t>
  </si>
  <si>
    <t>m³</t>
  </si>
  <si>
    <t>사 토</t>
  </si>
  <si>
    <t>철근인상작업</t>
  </si>
  <si>
    <t>30m 미만</t>
  </si>
  <si>
    <t>30m 이상</t>
  </si>
  <si>
    <t>H=30m 미만</t>
    <phoneticPr fontId="7" type="noConversion"/>
  </si>
  <si>
    <t>탄성받침</t>
    <phoneticPr fontId="7" type="noConversion"/>
  </si>
  <si>
    <t>강판</t>
    <phoneticPr fontId="7" type="noConversion"/>
  </si>
  <si>
    <t>450x1500x12T</t>
    <phoneticPr fontId="7" type="noConversion"/>
  </si>
  <si>
    <t>150x1500x12T</t>
    <phoneticPr fontId="7" type="noConversion"/>
  </si>
  <si>
    <t>볼트, 너트</t>
    <phoneticPr fontId="7" type="noConversion"/>
  </si>
  <si>
    <t>M22x65L 고장력볼트</t>
    <phoneticPr fontId="7" type="noConversion"/>
  </si>
  <si>
    <t>M22x275L 고장력볼트</t>
    <phoneticPr fontId="7" type="noConversion"/>
  </si>
  <si>
    <t>L형강</t>
  </si>
  <si>
    <t>150x150x10T</t>
    <phoneticPr fontId="7" type="noConversion"/>
  </si>
  <si>
    <t>강 판</t>
    <phoneticPr fontId="5" type="noConversion"/>
  </si>
  <si>
    <t>450x1500x12T</t>
    <phoneticPr fontId="5" type="noConversion"/>
  </si>
  <si>
    <t>150x1500x12T</t>
    <phoneticPr fontId="5" type="noConversion"/>
  </si>
  <si>
    <t>볼트, 너트</t>
    <phoneticPr fontId="5" type="noConversion"/>
  </si>
  <si>
    <t>M22x65L 고장력볼트</t>
    <phoneticPr fontId="5" type="noConversion"/>
  </si>
  <si>
    <t>M22x275L 고장력볼트</t>
    <phoneticPr fontId="5" type="noConversion"/>
  </si>
  <si>
    <t>개</t>
    <phoneticPr fontId="5" type="noConversion"/>
  </si>
  <si>
    <t>개</t>
    <phoneticPr fontId="5" type="noConversion"/>
  </si>
  <si>
    <t>L형강</t>
    <phoneticPr fontId="5" type="noConversion"/>
  </si>
  <si>
    <t>150x150x10T</t>
    <phoneticPr fontId="5" type="noConversion"/>
  </si>
  <si>
    <t>M</t>
    <phoneticPr fontId="5" type="noConversion"/>
  </si>
  <si>
    <t>"</t>
    <phoneticPr fontId="5" type="noConversion"/>
  </si>
  <si>
    <t>3% 할증</t>
    <phoneticPr fontId="5" type="noConversion"/>
  </si>
  <si>
    <t>7% 할증</t>
    <phoneticPr fontId="5" type="noConversion"/>
  </si>
  <si>
    <t>동재하 시험</t>
  </si>
  <si>
    <t xml:space="preserve"> </t>
    <phoneticPr fontId="7" type="noConversion"/>
  </si>
  <si>
    <t>H=1000mm</t>
    <phoneticPr fontId="7" type="noConversion"/>
  </si>
  <si>
    <t>도면에서 확인 후 입력</t>
  </si>
  <si>
    <t>A1</t>
  </si>
  <si>
    <t>A2</t>
  </si>
  <si>
    <t>합 계</t>
  </si>
  <si>
    <t>H25</t>
    <phoneticPr fontId="5" type="noConversion"/>
  </si>
  <si>
    <t>H22</t>
    <phoneticPr fontId="5" type="noConversion"/>
  </si>
  <si>
    <t>H19</t>
    <phoneticPr fontId="5" type="noConversion"/>
  </si>
  <si>
    <t>H16</t>
    <phoneticPr fontId="5" type="noConversion"/>
  </si>
  <si>
    <t>7~ 10 m</t>
    <phoneticPr fontId="7" type="noConversion"/>
  </si>
  <si>
    <t>10~ 13 m</t>
    <phoneticPr fontId="7" type="noConversion"/>
  </si>
  <si>
    <t>가로등 기초</t>
    <phoneticPr fontId="5" type="noConversion"/>
  </si>
  <si>
    <t>철거공</t>
    <phoneticPr fontId="7" type="noConversion"/>
  </si>
  <si>
    <t>사석</t>
    <phoneticPr fontId="27" type="noConversion"/>
  </si>
  <si>
    <t>사석(방조제피복석)</t>
    <phoneticPr fontId="7" type="noConversion"/>
  </si>
  <si>
    <t>피복석투하(해상수상)</t>
    <phoneticPr fontId="7" type="noConversion"/>
  </si>
  <si>
    <t>0.1~0.4㎥</t>
    <phoneticPr fontId="7" type="noConversion"/>
  </si>
  <si>
    <t>피복석고르기(해상수상)</t>
    <phoneticPr fontId="7" type="noConversion"/>
  </si>
  <si>
    <t>0.2㎥ 이하</t>
    <phoneticPr fontId="7" type="noConversion"/>
  </si>
  <si>
    <t>콘크리트타설</t>
    <phoneticPr fontId="7" type="noConversion"/>
  </si>
  <si>
    <t>철근 펌프카 18cm(100-300㎥)</t>
    <phoneticPr fontId="7" type="noConversion"/>
  </si>
  <si>
    <t>무근,VIB 포함</t>
    <phoneticPr fontId="7" type="noConversion"/>
  </si>
  <si>
    <t>투척방지휀스</t>
    <phoneticPr fontId="7" type="noConversion"/>
  </si>
  <si>
    <t>황동주물</t>
    <phoneticPr fontId="7" type="noConversion"/>
  </si>
  <si>
    <t>연직도 시험</t>
    <phoneticPr fontId="7" type="noConversion"/>
  </si>
  <si>
    <t>H=780mm</t>
    <phoneticPr fontId="7" type="noConversion"/>
  </si>
  <si>
    <t>ton</t>
    <phoneticPr fontId="7" type="noConversion"/>
  </si>
  <si>
    <t>H=270mm</t>
    <phoneticPr fontId="7" type="noConversion"/>
  </si>
  <si>
    <t>옹벽공</t>
    <phoneticPr fontId="5" type="noConversion"/>
  </si>
  <si>
    <t>25-35-180</t>
    <phoneticPr fontId="7" type="noConversion"/>
  </si>
  <si>
    <t>옹벽공</t>
    <phoneticPr fontId="7" type="noConversion"/>
  </si>
  <si>
    <t>합판거푸집</t>
    <phoneticPr fontId="7" type="noConversion"/>
  </si>
  <si>
    <t>3회 0~ 7 m</t>
    <phoneticPr fontId="7" type="noConversion"/>
  </si>
  <si>
    <t>4회 0~ 7 m</t>
    <phoneticPr fontId="7" type="noConversion"/>
  </si>
  <si>
    <t>6회 0~ 7 m</t>
    <phoneticPr fontId="7" type="noConversion"/>
  </si>
  <si>
    <t>무늬거푸집</t>
    <phoneticPr fontId="7" type="noConversion"/>
  </si>
  <si>
    <t>10∼13 m</t>
    <phoneticPr fontId="7" type="noConversion"/>
  </si>
  <si>
    <t>유로폼</t>
    <phoneticPr fontId="7" type="noConversion"/>
  </si>
  <si>
    <t>비계</t>
    <phoneticPr fontId="7" type="noConversion"/>
  </si>
  <si>
    <t>강관비계</t>
    <phoneticPr fontId="7" type="noConversion"/>
  </si>
  <si>
    <t>비계다리</t>
    <phoneticPr fontId="7" type="noConversion"/>
  </si>
  <si>
    <t>철근가공조립</t>
    <phoneticPr fontId="7" type="noConversion"/>
  </si>
  <si>
    <t>간 단</t>
    <phoneticPr fontId="7" type="noConversion"/>
  </si>
  <si>
    <t>콘크리트타설</t>
    <phoneticPr fontId="7" type="noConversion"/>
  </si>
  <si>
    <t>무근,VIB 포함</t>
    <phoneticPr fontId="7" type="noConversion"/>
  </si>
  <si>
    <t>스페이셔</t>
    <phoneticPr fontId="7" type="noConversion"/>
  </si>
  <si>
    <t>스페이셔 설치</t>
    <phoneticPr fontId="7" type="noConversion"/>
  </si>
  <si>
    <t>옹벽배수시설</t>
    <phoneticPr fontId="7" type="noConversion"/>
  </si>
  <si>
    <t>DRAIN BOARD 설치</t>
    <phoneticPr fontId="7" type="noConversion"/>
  </si>
  <si>
    <t>부직포</t>
    <phoneticPr fontId="7" type="noConversion"/>
  </si>
  <si>
    <t>m</t>
    <phoneticPr fontId="7" type="noConversion"/>
  </si>
  <si>
    <t>ea</t>
    <phoneticPr fontId="7" type="noConversion"/>
  </si>
  <si>
    <t>수축이음</t>
    <phoneticPr fontId="7" type="noConversion"/>
  </si>
  <si>
    <t>시공이음면 정리</t>
    <phoneticPr fontId="7" type="noConversion"/>
  </si>
  <si>
    <t>㎡</t>
    <phoneticPr fontId="7" type="noConversion"/>
  </si>
  <si>
    <t>콘크리트 양생</t>
    <phoneticPr fontId="7" type="noConversion"/>
  </si>
  <si>
    <t>양생제</t>
    <phoneticPr fontId="7" type="noConversion"/>
  </si>
  <si>
    <t>H=1100mm</t>
    <phoneticPr fontId="7" type="noConversion"/>
  </si>
  <si>
    <t>Φ40, T=100mm</t>
    <phoneticPr fontId="27" type="noConversion"/>
  </si>
  <si>
    <t>제작장잡석</t>
    <phoneticPr fontId="27" type="noConversion"/>
  </si>
  <si>
    <t>제작장 잡석</t>
    <phoneticPr fontId="27" type="noConversion"/>
  </si>
  <si>
    <t>기계100%</t>
    <phoneticPr fontId="7" type="noConversion"/>
  </si>
  <si>
    <t>기계100%</t>
    <phoneticPr fontId="7" type="noConversion"/>
  </si>
  <si>
    <t>현장타설말뚝(D=1,000)</t>
    <phoneticPr fontId="7" type="noConversion"/>
  </si>
  <si>
    <t>케이싱 압입 및 굴착</t>
    <phoneticPr fontId="7" type="noConversion"/>
  </si>
  <si>
    <t>φ1.000mm</t>
    <phoneticPr fontId="7" type="noConversion"/>
  </si>
  <si>
    <t>R.C.D 굴착</t>
    <phoneticPr fontId="7" type="noConversion"/>
  </si>
  <si>
    <t>R.C.D 말뚝조성공</t>
    <phoneticPr fontId="7" type="noConversion"/>
  </si>
  <si>
    <t>본</t>
    <phoneticPr fontId="7" type="noConversion"/>
  </si>
  <si>
    <t>케이싱손료</t>
    <phoneticPr fontId="7" type="noConversion"/>
  </si>
  <si>
    <t>철근가공조립</t>
    <phoneticPr fontId="7" type="noConversion"/>
  </si>
  <si>
    <t>복잡</t>
    <phoneticPr fontId="7" type="noConversion"/>
  </si>
  <si>
    <t>ton</t>
    <phoneticPr fontId="7" type="noConversion"/>
  </si>
  <si>
    <t>철근오름방지</t>
    <phoneticPr fontId="7" type="noConversion"/>
  </si>
  <si>
    <t>φ1.000</t>
    <phoneticPr fontId="7" type="noConversion"/>
  </si>
  <si>
    <t>말뚝두부정리</t>
    <phoneticPr fontId="7" type="noConversion"/>
  </si>
  <si>
    <t>굴착토처리</t>
    <phoneticPr fontId="7" type="noConversion"/>
  </si>
  <si>
    <t>SLIME 제거</t>
    <phoneticPr fontId="7" type="noConversion"/>
  </si>
  <si>
    <t>콘크리트 타설</t>
    <phoneticPr fontId="7" type="noConversion"/>
  </si>
  <si>
    <t>BEAM교</t>
    <phoneticPr fontId="7" type="noConversion"/>
  </si>
  <si>
    <t>양방향재하 시험</t>
    <phoneticPr fontId="7" type="noConversion"/>
  </si>
  <si>
    <t>양방향 재하시험</t>
    <phoneticPr fontId="7" type="noConversion"/>
  </si>
  <si>
    <t xml:space="preserve"> ---&gt; 표준품셈에서 모르타르 재료할증은 포함있으므로 할증안함</t>
    <phoneticPr fontId="5" type="noConversion"/>
  </si>
  <si>
    <t>ton</t>
    <phoneticPr fontId="5" type="noConversion"/>
  </si>
  <si>
    <t>스페이서 제작설치</t>
    <phoneticPr fontId="7" type="noConversion"/>
  </si>
  <si>
    <t>말뚝 재하시험</t>
    <phoneticPr fontId="7" type="noConversion"/>
  </si>
  <si>
    <t>구조물 뒷채움</t>
    <phoneticPr fontId="7" type="noConversion"/>
  </si>
  <si>
    <t>교대 앞성토</t>
    <phoneticPr fontId="7" type="noConversion"/>
  </si>
  <si>
    <t>목재동바리</t>
    <phoneticPr fontId="7" type="noConversion"/>
  </si>
  <si>
    <t>수평연결재</t>
    <phoneticPr fontId="7" type="noConversion"/>
  </si>
  <si>
    <t>나사식이음</t>
    <phoneticPr fontId="7" type="noConversion"/>
  </si>
  <si>
    <t>D16~25mm</t>
    <phoneticPr fontId="7" type="noConversion"/>
  </si>
  <si>
    <t>D29~35mm</t>
    <phoneticPr fontId="7" type="noConversion"/>
  </si>
  <si>
    <t>무수축 몰탈</t>
    <phoneticPr fontId="7" type="noConversion"/>
  </si>
  <si>
    <t>무수축 콘크리트</t>
    <phoneticPr fontId="7" type="noConversion"/>
  </si>
  <si>
    <t>1:1</t>
    <phoneticPr fontId="7" type="noConversion"/>
  </si>
  <si>
    <t>스치로폼</t>
    <phoneticPr fontId="7" type="noConversion"/>
  </si>
  <si>
    <t>교량 배수시설</t>
    <phoneticPr fontId="7" type="noConversion"/>
  </si>
  <si>
    <t>초기우수처리시설(분리형)</t>
    <phoneticPr fontId="7" type="noConversion"/>
  </si>
  <si>
    <t>슬래브 및 기초용</t>
    <phoneticPr fontId="7" type="noConversion"/>
  </si>
  <si>
    <t>물끊기홈(NOTCH)</t>
    <phoneticPr fontId="7" type="noConversion"/>
  </si>
  <si>
    <t>공사용 가교</t>
    <phoneticPr fontId="7" type="noConversion"/>
  </si>
  <si>
    <t>배수파이프</t>
    <phoneticPr fontId="7" type="noConversion"/>
  </si>
  <si>
    <t>P.V.C PIPE 100mm</t>
    <phoneticPr fontId="7" type="noConversion"/>
  </si>
  <si>
    <t>신축이음</t>
    <phoneticPr fontId="7" type="noConversion"/>
  </si>
  <si>
    <t>스치로폼 T=20mm</t>
    <phoneticPr fontId="7" type="noConversion"/>
  </si>
  <si>
    <t>다웰바 설치</t>
    <phoneticPr fontId="7" type="noConversion"/>
  </si>
  <si>
    <t>(D32, L=800mm)</t>
    <phoneticPr fontId="7" type="noConversion"/>
  </si>
  <si>
    <t>실런트</t>
    <phoneticPr fontId="7" type="noConversion"/>
  </si>
  <si>
    <t>(비중1.40,20mm*25mm)</t>
    <phoneticPr fontId="7" type="noConversion"/>
  </si>
  <si>
    <t>수팽창 고무지수재</t>
    <phoneticPr fontId="7" type="noConversion"/>
  </si>
  <si>
    <t>40kg/대(포장품)</t>
    <phoneticPr fontId="7" type="noConversion"/>
  </si>
  <si>
    <t>Φ19M/M (C/R ~ 현장)</t>
    <phoneticPr fontId="7" type="noConversion"/>
  </si>
  <si>
    <t>Φ25M/M (C/R ~ 현장)</t>
    <phoneticPr fontId="7" type="noConversion"/>
  </si>
  <si>
    <t>(세척사,상차도)</t>
    <phoneticPr fontId="7" type="noConversion"/>
  </si>
  <si>
    <t>SOLE PLATE 제작 및 설치</t>
    <phoneticPr fontId="7" type="noConversion"/>
  </si>
  <si>
    <t>골재원~현장</t>
    <phoneticPr fontId="7" type="noConversion"/>
  </si>
  <si>
    <t>철근, 펌프카 0~15M</t>
  </si>
  <si>
    <t>포대</t>
    <phoneticPr fontId="5" type="noConversion"/>
  </si>
  <si>
    <t>H = 1.080m</t>
    <phoneticPr fontId="7" type="noConversion"/>
  </si>
  <si>
    <t>H=1080mm, 인력타설</t>
    <phoneticPr fontId="7" type="noConversion"/>
  </si>
  <si>
    <t>개소</t>
  </si>
  <si>
    <t>풍화암 천공</t>
  </si>
  <si>
    <t>공</t>
  </si>
  <si>
    <t>H-300X300X10X15</t>
    <phoneticPr fontId="7" type="noConversion"/>
  </si>
  <si>
    <t>EARTH ANCHOR
설치공</t>
  </si>
  <si>
    <t>PC CON'C 조립 및 인장</t>
  </si>
  <si>
    <t>지압판 설치철거</t>
  </si>
  <si>
    <t>그라우팅</t>
  </si>
  <si>
    <t>가시설수량</t>
    <phoneticPr fontId="7" type="noConversion"/>
  </si>
  <si>
    <t>할증</t>
    <phoneticPr fontId="8" type="noConversion"/>
  </si>
  <si>
    <t>강관파일 자재비</t>
  </si>
  <si>
    <t>두부및선단보강</t>
  </si>
  <si>
    <t>강관파일이음</t>
  </si>
  <si>
    <t>시멘트밀크</t>
  </si>
  <si>
    <t>동적재하시험</t>
  </si>
  <si>
    <t>정적재하시험</t>
  </si>
  <si>
    <t>회</t>
    <phoneticPr fontId="7" type="noConversion"/>
  </si>
  <si>
    <t>장비조립 및 해체</t>
    <phoneticPr fontId="7" type="noConversion"/>
  </si>
  <si>
    <t>천공, 항타</t>
    <phoneticPr fontId="7" type="noConversion"/>
  </si>
  <si>
    <t>평판재하시험</t>
    <phoneticPr fontId="7" type="noConversion"/>
  </si>
  <si>
    <t>동재하시험</t>
  </si>
  <si>
    <t>자재비(직항)</t>
  </si>
  <si>
    <t>천공비(토사)</t>
  </si>
  <si>
    <t>천공비(풍화암)</t>
  </si>
  <si>
    <t>천공비(연암)</t>
  </si>
  <si>
    <t>두부보강</t>
  </si>
  <si>
    <t>강관파일공</t>
    <phoneticPr fontId="7" type="noConversion"/>
  </si>
  <si>
    <t>천공 후 항타</t>
    <phoneticPr fontId="7" type="noConversion"/>
  </si>
  <si>
    <t>BEAM 제작및 설치</t>
    <phoneticPr fontId="7" type="noConversion"/>
  </si>
  <si>
    <t>BEAM 전도방지</t>
    <phoneticPr fontId="7" type="noConversion"/>
  </si>
  <si>
    <t>BEAM교</t>
    <phoneticPr fontId="7" type="noConversion"/>
  </si>
  <si>
    <t>BEAM 제작</t>
    <phoneticPr fontId="7" type="noConversion"/>
  </si>
  <si>
    <t>BEAM 가설</t>
    <phoneticPr fontId="7" type="noConversion"/>
  </si>
  <si>
    <t>BEAM 전도방지시설</t>
    <phoneticPr fontId="7" type="noConversion"/>
  </si>
  <si>
    <t>띠장 설치및철거</t>
    <phoneticPr fontId="7" type="noConversion"/>
  </si>
  <si>
    <t>H-형강 손료</t>
    <phoneticPr fontId="7" type="noConversion"/>
  </si>
  <si>
    <t>H-형강 소운반</t>
    <phoneticPr fontId="7" type="noConversion"/>
  </si>
  <si>
    <t>CORNER STRUT 설치 및 철거 (H-300)</t>
    <phoneticPr fontId="7" type="noConversion"/>
  </si>
  <si>
    <t>(3~5m)</t>
    <phoneticPr fontId="7" type="noConversion"/>
  </si>
  <si>
    <t>화타 쐐기 설치 및 철거</t>
    <phoneticPr fontId="7" type="noConversion"/>
  </si>
  <si>
    <t>U볼트 설치 및 철거</t>
    <phoneticPr fontId="7" type="noConversion"/>
  </si>
  <si>
    <t>H = 0.780m</t>
    <phoneticPr fontId="7" type="noConversion"/>
  </si>
  <si>
    <t>조합형</t>
    <phoneticPr fontId="7" type="noConversion"/>
  </si>
  <si>
    <t>일반형</t>
    <phoneticPr fontId="7" type="noConversion"/>
  </si>
  <si>
    <t>방음벽형</t>
    <phoneticPr fontId="7" type="noConversion"/>
  </si>
  <si>
    <t>조합용</t>
    <phoneticPr fontId="7" type="noConversion"/>
  </si>
  <si>
    <t>방호벽</t>
    <phoneticPr fontId="7" type="noConversion"/>
  </si>
  <si>
    <t>난간용</t>
    <phoneticPr fontId="7" type="noConversion"/>
  </si>
  <si>
    <t>난간 기초용</t>
    <phoneticPr fontId="7" type="noConversion"/>
  </si>
  <si>
    <t>25-35-150</t>
    <phoneticPr fontId="5" type="noConversion"/>
  </si>
  <si>
    <t>25-30-150</t>
    <phoneticPr fontId="5" type="noConversion"/>
  </si>
  <si>
    <t>거더 제작장 부설다짐</t>
    <phoneticPr fontId="7" type="noConversion"/>
  </si>
  <si>
    <t>난간기초</t>
    <phoneticPr fontId="7" type="noConversion"/>
  </si>
  <si>
    <t>난간기초형</t>
    <phoneticPr fontId="7" type="noConversion"/>
  </si>
  <si>
    <t>1.</t>
    <phoneticPr fontId="7" type="noConversion"/>
  </si>
  <si>
    <t>φ40, T=100mm</t>
  </si>
  <si>
    <t>D=609,T=12</t>
    <phoneticPr fontId="7" type="noConversion"/>
  </si>
  <si>
    <t>D32</t>
    <phoneticPr fontId="7" type="noConversion"/>
  </si>
  <si>
    <t>D19</t>
    <phoneticPr fontId="7" type="noConversion"/>
  </si>
  <si>
    <t>유지관리표지판</t>
    <phoneticPr fontId="7" type="noConversion"/>
  </si>
  <si>
    <t>유용토
(용수)</t>
    <phoneticPr fontId="7" type="noConversion"/>
  </si>
  <si>
    <t>SB-1</t>
    <phoneticPr fontId="7" type="noConversion"/>
  </si>
  <si>
    <t>보호블럭기초</t>
    <phoneticPr fontId="7" type="noConversion"/>
  </si>
  <si>
    <t>보호블럭마감</t>
    <phoneticPr fontId="7" type="noConversion"/>
  </si>
  <si>
    <t>도수로</t>
    <phoneticPr fontId="7" type="noConversion"/>
  </si>
  <si>
    <t>가설계단</t>
    <phoneticPr fontId="7" type="noConversion"/>
  </si>
  <si>
    <t>도수로</t>
    <phoneticPr fontId="7" type="noConversion"/>
  </si>
  <si>
    <t>가설계단</t>
    <phoneticPr fontId="7" type="noConversion"/>
  </si>
  <si>
    <t>1750kN</t>
    <phoneticPr fontId="7" type="noConversion"/>
  </si>
  <si>
    <t>유용토
(육상)</t>
    <phoneticPr fontId="7" type="noConversion"/>
  </si>
  <si>
    <t>유용토
(용수)</t>
    <phoneticPr fontId="7" type="noConversion"/>
  </si>
  <si>
    <t>방호선반</t>
    <phoneticPr fontId="7" type="noConversion"/>
  </si>
  <si>
    <t>방호선반</t>
    <phoneticPr fontId="7" type="noConversion"/>
  </si>
  <si>
    <t>선단근고액</t>
    <phoneticPr fontId="7" type="noConversion"/>
  </si>
  <si>
    <t>주면고정액</t>
    <phoneticPr fontId="7" type="noConversion"/>
  </si>
  <si>
    <t>천공비(연암)</t>
    <phoneticPr fontId="7" type="noConversion"/>
  </si>
  <si>
    <t>Φ609.0M/M, T=12mm</t>
    <phoneticPr fontId="7" type="noConversion"/>
  </si>
  <si>
    <t>능형망</t>
    <phoneticPr fontId="7" type="noConversion"/>
  </si>
  <si>
    <t>쇄석 하상골재</t>
    <phoneticPr fontId="7" type="noConversion"/>
  </si>
  <si>
    <t>세굴방지사석</t>
    <phoneticPr fontId="5" type="noConversion"/>
  </si>
  <si>
    <t>10% 할증</t>
    <phoneticPr fontId="25" type="noConversion"/>
  </si>
  <si>
    <t>Φ300m (세굴방지용)</t>
    <phoneticPr fontId="7" type="noConversion"/>
  </si>
  <si>
    <t>6% 할증</t>
    <phoneticPr fontId="25" type="noConversion"/>
  </si>
  <si>
    <t>4% 할증</t>
    <phoneticPr fontId="7" type="noConversion"/>
  </si>
  <si>
    <t>사급자재대</t>
    <phoneticPr fontId="7" type="noConversion"/>
  </si>
  <si>
    <t>관급자재대</t>
    <phoneticPr fontId="7" type="noConversion"/>
  </si>
  <si>
    <t>사석</t>
    <phoneticPr fontId="7" type="noConversion"/>
  </si>
  <si>
    <t>자 갈</t>
    <phoneticPr fontId="7" type="noConversion"/>
  </si>
  <si>
    <t>모 래</t>
    <phoneticPr fontId="7" type="noConversion"/>
  </si>
  <si>
    <t>사 석</t>
    <phoneticPr fontId="7" type="noConversion"/>
  </si>
  <si>
    <t>하천용</t>
    <phoneticPr fontId="7" type="noConversion"/>
  </si>
  <si>
    <t>수평재하시험</t>
    <phoneticPr fontId="7" type="noConversion"/>
  </si>
  <si>
    <t>가설교량</t>
    <phoneticPr fontId="7" type="noConversion"/>
  </si>
  <si>
    <t>잡  석</t>
    <phoneticPr fontId="7" type="noConversion"/>
  </si>
  <si>
    <t>Φ40, T=100mm (제작장부지)</t>
    <phoneticPr fontId="7" type="noConversion"/>
  </si>
  <si>
    <t>잡  석</t>
    <phoneticPr fontId="7" type="noConversion"/>
  </si>
  <si>
    <t>Φ40, T=100mm (제작장부지)</t>
    <phoneticPr fontId="7" type="noConversion"/>
  </si>
  <si>
    <t>제작장 잡석</t>
    <phoneticPr fontId="5" type="noConversion"/>
  </si>
  <si>
    <t>Φ40, T=100mm</t>
    <phoneticPr fontId="5" type="noConversion"/>
  </si>
  <si>
    <t>M³</t>
    <phoneticPr fontId="5" type="noConversion"/>
  </si>
  <si>
    <t>4% 할증</t>
    <phoneticPr fontId="25" type="noConversion"/>
  </si>
  <si>
    <t>25-27-150</t>
    <phoneticPr fontId="5" type="noConversion"/>
  </si>
  <si>
    <t>25-24-150</t>
    <phoneticPr fontId="5" type="noConversion"/>
  </si>
  <si>
    <t>잡철물동바리</t>
    <phoneticPr fontId="7" type="noConversion"/>
  </si>
  <si>
    <t>잡철물동바리</t>
    <phoneticPr fontId="7" type="noConversion"/>
  </si>
  <si>
    <t>EA</t>
    <phoneticPr fontId="7" type="noConversion"/>
  </si>
  <si>
    <t>L=35m</t>
    <phoneticPr fontId="7" type="noConversion"/>
  </si>
  <si>
    <t>L=30m</t>
    <phoneticPr fontId="7" type="noConversion"/>
  </si>
  <si>
    <t>P.V.C 100</t>
    <phoneticPr fontId="7" type="noConversion"/>
  </si>
  <si>
    <t>No. 150</t>
    <phoneticPr fontId="7" type="noConversion"/>
  </si>
  <si>
    <t>1350kN</t>
    <phoneticPr fontId="7" type="noConversion"/>
  </si>
  <si>
    <t>일방향(H=198)</t>
    <phoneticPr fontId="7" type="noConversion"/>
  </si>
  <si>
    <t>양방향(H=198)</t>
    <phoneticPr fontId="7" type="noConversion"/>
  </si>
  <si>
    <t>일방향(H=182)</t>
    <phoneticPr fontId="7" type="noConversion"/>
  </si>
  <si>
    <t>고정단(H=198)</t>
    <phoneticPr fontId="7" type="noConversion"/>
  </si>
  <si>
    <t>양방향(H=182)</t>
    <phoneticPr fontId="7" type="noConversion"/>
  </si>
  <si>
    <t>고정단(H=182)</t>
    <phoneticPr fontId="7" type="noConversion"/>
  </si>
  <si>
    <t>Beam수량참조</t>
    <phoneticPr fontId="7" type="noConversion"/>
  </si>
  <si>
    <t>치핑</t>
    <phoneticPr fontId="7" type="noConversion"/>
  </si>
  <si>
    <t>면고르기</t>
    <phoneticPr fontId="7" type="noConversion"/>
  </si>
  <si>
    <t>ANCHOR BAR</t>
    <phoneticPr fontId="7" type="noConversion"/>
  </si>
  <si>
    <t>면고르기</t>
    <phoneticPr fontId="7" type="noConversion"/>
  </si>
  <si>
    <t>강관말뚝
(S.D.A)</t>
  </si>
  <si>
    <t>D=508,T=12</t>
    <phoneticPr fontId="7" type="noConversion"/>
  </si>
  <si>
    <t>강관파일</t>
    <phoneticPr fontId="7" type="noConversion"/>
  </si>
  <si>
    <t>Φ508.0M/M, T=12mm</t>
    <phoneticPr fontId="7" type="noConversion"/>
  </si>
  <si>
    <t>육상깎기</t>
    <phoneticPr fontId="7" type="noConversion"/>
  </si>
  <si>
    <t>육상 토사</t>
    <phoneticPr fontId="7" type="noConversion"/>
  </si>
  <si>
    <t>Φ310mm</t>
    <phoneticPr fontId="5" type="noConversion"/>
  </si>
  <si>
    <t>Φ310m (세굴방지용)</t>
    <phoneticPr fontId="7" type="noConversion"/>
  </si>
  <si>
    <t>기초연결</t>
    <phoneticPr fontId="7" type="noConversion"/>
  </si>
  <si>
    <t>인양홀</t>
    <phoneticPr fontId="7" type="noConversion"/>
  </si>
  <si>
    <t>D=100㎜,T=0.330m</t>
    <phoneticPr fontId="7" type="noConversion"/>
  </si>
  <si>
    <t>D=100㎜,T=0.880m</t>
    <phoneticPr fontId="7" type="noConversion"/>
  </si>
  <si>
    <t>절단홀</t>
    <phoneticPr fontId="7" type="noConversion"/>
  </si>
  <si>
    <t>D=100㎜,T=0.420m</t>
    <phoneticPr fontId="7" type="noConversion"/>
  </si>
  <si>
    <t>콘크리트 천공</t>
    <phoneticPr fontId="7" type="noConversion"/>
  </si>
  <si>
    <t>인양홀(D=100mm)</t>
    <phoneticPr fontId="7" type="noConversion"/>
  </si>
  <si>
    <t>절단홀(D=100mm)</t>
    <phoneticPr fontId="7" type="noConversion"/>
  </si>
  <si>
    <t>철근콘크리트깨기</t>
    <phoneticPr fontId="7" type="noConversion"/>
  </si>
  <si>
    <t>압쇄기</t>
    <phoneticPr fontId="7" type="noConversion"/>
  </si>
  <si>
    <t>Diamond Saw 절단</t>
    <phoneticPr fontId="7" type="noConversion"/>
  </si>
  <si>
    <t>수직</t>
    <phoneticPr fontId="7" type="noConversion"/>
  </si>
  <si>
    <t>수평</t>
    <phoneticPr fontId="7" type="noConversion"/>
  </si>
  <si>
    <t>30m이상(방호벽)</t>
    <phoneticPr fontId="7" type="noConversion"/>
  </si>
  <si>
    <t>교면포장제거</t>
    <phoneticPr fontId="7" type="noConversion"/>
  </si>
  <si>
    <t>아스콘 깨기</t>
    <phoneticPr fontId="7" type="noConversion"/>
  </si>
  <si>
    <t>부재인양 및 소운반</t>
    <phoneticPr fontId="7" type="noConversion"/>
  </si>
  <si>
    <t>콘크리트 치핑</t>
    <phoneticPr fontId="7" type="noConversion"/>
  </si>
  <si>
    <t>팽창제 주입</t>
    <phoneticPr fontId="7" type="noConversion"/>
  </si>
  <si>
    <t>1m3당 155 kg</t>
    <phoneticPr fontId="7" type="noConversion"/>
  </si>
  <si>
    <t>ton</t>
    <phoneticPr fontId="7" type="noConversion"/>
  </si>
  <si>
    <t>팽창제</t>
    <phoneticPr fontId="5" type="noConversion"/>
  </si>
  <si>
    <t>1m3당 155 kg</t>
    <phoneticPr fontId="5" type="noConversion"/>
  </si>
  <si>
    <t>ton</t>
    <phoneticPr fontId="5" type="noConversion"/>
  </si>
  <si>
    <t>평판재하시험</t>
    <phoneticPr fontId="7" type="noConversion"/>
  </si>
  <si>
    <t>회</t>
    <phoneticPr fontId="7" type="noConversion"/>
  </si>
  <si>
    <t>재하시험</t>
    <phoneticPr fontId="7" type="noConversion"/>
  </si>
  <si>
    <t>목재동바리</t>
    <phoneticPr fontId="7" type="noConversion"/>
  </si>
  <si>
    <t>목재동바리(4회)</t>
    <phoneticPr fontId="7" type="noConversion"/>
  </si>
  <si>
    <t>DECK FINISHER용</t>
    <phoneticPr fontId="7" type="noConversion"/>
  </si>
  <si>
    <t>강재동바리</t>
    <phoneticPr fontId="7" type="noConversion"/>
  </si>
  <si>
    <t>데크피니샤용 강재</t>
    <phoneticPr fontId="7" type="noConversion"/>
  </si>
  <si>
    <t>토사층</t>
    <phoneticPr fontId="7" type="noConversion"/>
  </si>
  <si>
    <t>풍화암</t>
    <phoneticPr fontId="7" type="noConversion"/>
  </si>
  <si>
    <t>연암</t>
    <phoneticPr fontId="7" type="noConversion"/>
  </si>
  <si>
    <t>H 300X300X10/15</t>
    <phoneticPr fontId="7" type="noConversion"/>
  </si>
  <si>
    <t>케이싱 튜브 설치 및 철거</t>
    <phoneticPr fontId="7" type="noConversion"/>
  </si>
  <si>
    <t>H-PILE 박기</t>
    <phoneticPr fontId="7" type="noConversion"/>
  </si>
  <si>
    <t>H-PILE 두부정리</t>
    <phoneticPr fontId="7" type="noConversion"/>
  </si>
  <si>
    <t>H-PILE 뽑기</t>
    <phoneticPr fontId="7" type="noConversion"/>
  </si>
  <si>
    <t>천공홀 되메우기</t>
    <phoneticPr fontId="7" type="noConversion"/>
  </si>
  <si>
    <t>H-250X250X9X14</t>
    <phoneticPr fontId="7" type="noConversion"/>
  </si>
  <si>
    <t>스크류잭</t>
    <phoneticPr fontId="7" type="noConversion"/>
  </si>
  <si>
    <t>개소</t>
    <phoneticPr fontId="7" type="noConversion"/>
  </si>
  <si>
    <t>가이드파일</t>
    <phoneticPr fontId="7" type="noConversion"/>
  </si>
  <si>
    <t>L 90x90x10/10</t>
    <phoneticPr fontId="7" type="noConversion"/>
  </si>
  <si>
    <t>ㄷ 150x75x6.5/10</t>
    <phoneticPr fontId="7" type="noConversion"/>
  </si>
  <si>
    <t>JACK 소운반</t>
    <phoneticPr fontId="7" type="noConversion"/>
  </si>
  <si>
    <t>L형강 소운반</t>
    <phoneticPr fontId="7" type="noConversion"/>
  </si>
  <si>
    <t>ㄷ형강 소운반</t>
    <phoneticPr fontId="7" type="noConversion"/>
  </si>
  <si>
    <t>H-PILE</t>
    <phoneticPr fontId="7" type="noConversion"/>
  </si>
  <si>
    <t>H-PILE 천공</t>
    <phoneticPr fontId="7" type="noConversion"/>
  </si>
  <si>
    <t>케이싱 튜브 설치 및 철거</t>
    <phoneticPr fontId="7" type="noConversion"/>
  </si>
  <si>
    <t>H-PILE 박기</t>
    <phoneticPr fontId="7" type="noConversion"/>
  </si>
  <si>
    <t>H-PILE 두부정리</t>
    <phoneticPr fontId="7" type="noConversion"/>
  </si>
  <si>
    <t>H-PILE 뽑기</t>
    <phoneticPr fontId="7" type="noConversion"/>
  </si>
  <si>
    <t>천공홀 되메우기</t>
    <phoneticPr fontId="7" type="noConversion"/>
  </si>
  <si>
    <t>H-300X300X10X15</t>
    <phoneticPr fontId="7" type="noConversion"/>
  </si>
  <si>
    <t>H-300X300X10X15</t>
    <phoneticPr fontId="7" type="noConversion"/>
  </si>
  <si>
    <t>WALE 설치 및 철거 (H-250)</t>
    <phoneticPr fontId="7" type="noConversion"/>
  </si>
  <si>
    <t>H-250X250X9X14</t>
    <phoneticPr fontId="7" type="noConversion"/>
  </si>
  <si>
    <t>(L=3~5m)</t>
    <phoneticPr fontId="7" type="noConversion"/>
  </si>
  <si>
    <t>(L=9~11m)</t>
    <phoneticPr fontId="7" type="noConversion"/>
  </si>
  <si>
    <t>(L=12~14m)</t>
    <phoneticPr fontId="7" type="noConversion"/>
  </si>
  <si>
    <t>(L=15m이상)</t>
    <phoneticPr fontId="7" type="noConversion"/>
  </si>
  <si>
    <t>토류판 설치</t>
    <phoneticPr fontId="7" type="noConversion"/>
  </si>
  <si>
    <t>T=100 mm</t>
    <phoneticPr fontId="7" type="noConversion"/>
  </si>
  <si>
    <t>EARTH ANCHOR 설치공</t>
    <phoneticPr fontId="7" type="noConversion"/>
  </si>
  <si>
    <t>EARTH ANCHOR 천공</t>
    <phoneticPr fontId="7" type="noConversion"/>
  </si>
  <si>
    <t>PC CON'C 조립 및 인장</t>
    <phoneticPr fontId="7" type="noConversion"/>
  </si>
  <si>
    <t>지압판 설치 철거</t>
    <phoneticPr fontId="7" type="noConversion"/>
  </si>
  <si>
    <t>그라우팅</t>
    <phoneticPr fontId="7" type="noConversion"/>
  </si>
  <si>
    <t>공</t>
    <phoneticPr fontId="7" type="noConversion"/>
  </si>
  <si>
    <t>EA</t>
    <phoneticPr fontId="7" type="noConversion"/>
  </si>
  <si>
    <t>PC CON'C 제작 설치</t>
    <phoneticPr fontId="7" type="noConversion"/>
  </si>
  <si>
    <t>(Φ12.7X4)</t>
    <phoneticPr fontId="7" type="noConversion"/>
  </si>
  <si>
    <t>연결집수구</t>
    <phoneticPr fontId="7" type="noConversion"/>
  </si>
  <si>
    <t>150x300</t>
    <phoneticPr fontId="7" type="noConversion"/>
  </si>
  <si>
    <t>곡관(ELB.90도)</t>
    <phoneticPr fontId="7" type="noConversion"/>
  </si>
  <si>
    <t>곡관(ELB.45도)</t>
    <phoneticPr fontId="7" type="noConversion"/>
  </si>
  <si>
    <t>150A</t>
    <phoneticPr fontId="7" type="noConversion"/>
  </si>
  <si>
    <t>250A</t>
    <phoneticPr fontId="7" type="noConversion"/>
  </si>
  <si>
    <t>250A</t>
    <phoneticPr fontId="7" type="noConversion"/>
  </si>
  <si>
    <t>직관고정대</t>
    <phoneticPr fontId="7" type="noConversion"/>
  </si>
  <si>
    <t>직관고정대(행거셋)</t>
    <phoneticPr fontId="7" type="noConversion"/>
  </si>
  <si>
    <t>직관고정대(직관고정밴드)</t>
    <phoneticPr fontId="7" type="noConversion"/>
  </si>
  <si>
    <t>150A</t>
    <phoneticPr fontId="7" type="noConversion"/>
  </si>
  <si>
    <t>200A</t>
    <phoneticPr fontId="7" type="noConversion"/>
  </si>
  <si>
    <t>직관(AL PIPE)</t>
    <phoneticPr fontId="7" type="noConversion"/>
  </si>
  <si>
    <t>200A</t>
    <phoneticPr fontId="7" type="noConversion"/>
  </si>
  <si>
    <t>250A</t>
    <phoneticPr fontId="7" type="noConversion"/>
  </si>
  <si>
    <t>청소구+</t>
    <phoneticPr fontId="7" type="noConversion"/>
  </si>
  <si>
    <t>곡관 TEE관(청소구 TEE관)</t>
    <phoneticPr fontId="7" type="noConversion"/>
  </si>
  <si>
    <t>150A-150A</t>
    <phoneticPr fontId="7" type="noConversion"/>
  </si>
  <si>
    <t>150A-200A</t>
    <phoneticPr fontId="7" type="noConversion"/>
  </si>
  <si>
    <t>150A-250A</t>
    <phoneticPr fontId="7" type="noConversion"/>
  </si>
  <si>
    <t>250A-250A</t>
    <phoneticPr fontId="7" type="noConversion"/>
  </si>
  <si>
    <t>볼트류</t>
    <phoneticPr fontId="7" type="noConversion"/>
  </si>
  <si>
    <t>SCREW BOLT</t>
    <phoneticPr fontId="7" type="noConversion"/>
  </si>
  <si>
    <t>BOLT/NUT</t>
    <phoneticPr fontId="7" type="noConversion"/>
  </si>
  <si>
    <t>SET ANCHOR</t>
    <phoneticPr fontId="7" type="noConversion"/>
  </si>
  <si>
    <t>M12</t>
    <phoneticPr fontId="7" type="noConversion"/>
  </si>
  <si>
    <t>M12*200L</t>
    <phoneticPr fontId="7" type="noConversion"/>
  </si>
  <si>
    <t>M12*50L</t>
    <phoneticPr fontId="7" type="noConversion"/>
  </si>
  <si>
    <t>3/8*70L</t>
    <phoneticPr fontId="7" type="noConversion"/>
  </si>
  <si>
    <t>집수구(일반형)</t>
    <phoneticPr fontId="7" type="noConversion"/>
  </si>
  <si>
    <t>250*250</t>
    <phoneticPr fontId="7" type="noConversion"/>
  </si>
  <si>
    <t>분기연결부</t>
    <phoneticPr fontId="7" type="noConversion"/>
  </si>
  <si>
    <t>150A</t>
    <phoneticPr fontId="7" type="noConversion"/>
  </si>
  <si>
    <t>NR</t>
    <phoneticPr fontId="7" type="noConversion"/>
  </si>
  <si>
    <t>코어천공</t>
    <phoneticPr fontId="7" type="noConversion"/>
  </si>
  <si>
    <t>배수구 철거</t>
    <phoneticPr fontId="7" type="noConversion"/>
  </si>
  <si>
    <t>철거직관</t>
    <phoneticPr fontId="7" type="noConversion"/>
  </si>
  <si>
    <t>강성화타</t>
    <phoneticPr fontId="7" type="noConversion"/>
  </si>
  <si>
    <t>H25</t>
    <phoneticPr fontId="7" type="noConversion"/>
  </si>
  <si>
    <t>H25, C.T.C = VAR</t>
    <phoneticPr fontId="7" type="noConversion"/>
  </si>
  <si>
    <t>25-35-150</t>
    <phoneticPr fontId="5" type="noConversion"/>
  </si>
  <si>
    <t>교량용</t>
    <phoneticPr fontId="7" type="noConversion"/>
  </si>
  <si>
    <t>옹벽</t>
    <phoneticPr fontId="7" type="noConversion"/>
  </si>
  <si>
    <t>PVC Pipe</t>
  </si>
  <si>
    <t>φ100mm</t>
    <phoneticPr fontId="104" type="noConversion"/>
  </si>
  <si>
    <t>부직포</t>
  </si>
  <si>
    <t>Drain Board</t>
  </si>
  <si>
    <t>시공이음 면정리</t>
    <phoneticPr fontId="7" type="noConversion"/>
  </si>
  <si>
    <t>수팽창성 지수제</t>
    <phoneticPr fontId="7" type="noConversion"/>
  </si>
  <si>
    <t>기초잡석채움</t>
    <phoneticPr fontId="7" type="noConversion"/>
  </si>
  <si>
    <t>본</t>
    <phoneticPr fontId="7" type="noConversion"/>
  </si>
  <si>
    <t>본</t>
    <phoneticPr fontId="7" type="noConversion"/>
  </si>
  <si>
    <t>기 초 잡 석 채 움</t>
    <phoneticPr fontId="7" type="noConversion"/>
  </si>
  <si>
    <t>기초잡석채움</t>
    <phoneticPr fontId="7" type="noConversion"/>
  </si>
  <si>
    <t>깬잡석</t>
    <phoneticPr fontId="7" type="noConversion"/>
  </si>
  <si>
    <t>기초잡석</t>
    <phoneticPr fontId="7" type="noConversion"/>
  </si>
  <si>
    <t>깬잡석</t>
    <phoneticPr fontId="5" type="noConversion"/>
  </si>
  <si>
    <t>가시설 계측</t>
    <phoneticPr fontId="7" type="noConversion"/>
  </si>
  <si>
    <t>지중경사계</t>
    <phoneticPr fontId="7" type="noConversion"/>
  </si>
  <si>
    <t>회</t>
    <phoneticPr fontId="7" type="noConversion"/>
  </si>
  <si>
    <t>지하수위계</t>
    <phoneticPr fontId="7" type="noConversion"/>
  </si>
  <si>
    <t>지표침하계</t>
    <phoneticPr fontId="7" type="noConversion"/>
  </si>
  <si>
    <t>변형률계</t>
    <phoneticPr fontId="7" type="noConversion"/>
  </si>
  <si>
    <t>하중계</t>
    <phoneticPr fontId="7" type="noConversion"/>
  </si>
  <si>
    <t>콘크리트 포장(t=50mm)</t>
    <phoneticPr fontId="7" type="noConversion"/>
  </si>
  <si>
    <t>가드레일설치</t>
    <phoneticPr fontId="7" type="noConversion"/>
  </si>
  <si>
    <t>보행자 방호울타리</t>
    <phoneticPr fontId="7" type="noConversion"/>
  </si>
  <si>
    <t>보도용 칼라콘크리트</t>
    <phoneticPr fontId="7" type="noConversion"/>
  </si>
  <si>
    <t>t=50mm</t>
    <phoneticPr fontId="7" type="noConversion"/>
  </si>
  <si>
    <t>이월수량 집계표</t>
    <phoneticPr fontId="7" type="noConversion"/>
  </si>
  <si>
    <t>배수시설        (하천용)</t>
    <phoneticPr fontId="7" type="noConversion"/>
  </si>
  <si>
    <t>난  간</t>
    <phoneticPr fontId="7" type="noConversion"/>
  </si>
  <si>
    <t>보도용 칼라콘크리트</t>
    <phoneticPr fontId="27" type="noConversion"/>
  </si>
  <si>
    <t>용수발파암</t>
    <phoneticPr fontId="7" type="noConversion"/>
  </si>
  <si>
    <t>시스템비계</t>
    <phoneticPr fontId="7" type="noConversion"/>
  </si>
  <si>
    <t>시스템비계</t>
    <phoneticPr fontId="7" type="noConversion"/>
  </si>
  <si>
    <t>난   간</t>
    <phoneticPr fontId="7" type="noConversion"/>
  </si>
  <si>
    <t>면목</t>
    <phoneticPr fontId="7" type="noConversion"/>
  </si>
  <si>
    <t>a</t>
    <phoneticPr fontId="7" type="noConversion"/>
  </si>
  <si>
    <t>b</t>
    <phoneticPr fontId="7" type="noConversion"/>
  </si>
  <si>
    <t>c</t>
    <phoneticPr fontId="7" type="noConversion"/>
  </si>
  <si>
    <t>d</t>
    <phoneticPr fontId="7" type="noConversion"/>
  </si>
  <si>
    <t>부족토</t>
    <phoneticPr fontId="7" type="noConversion"/>
  </si>
  <si>
    <t>되메우기토사</t>
    <phoneticPr fontId="7" type="noConversion"/>
  </si>
  <si>
    <t>부족토</t>
    <phoneticPr fontId="27" type="noConversion"/>
  </si>
  <si>
    <t>되메우기토사</t>
    <phoneticPr fontId="27" type="noConversion"/>
  </si>
  <si>
    <t>교 명 판</t>
    <phoneticPr fontId="7" type="noConversion"/>
  </si>
  <si>
    <t>b</t>
    <phoneticPr fontId="7" type="noConversion"/>
  </si>
  <si>
    <t>뒷채움재</t>
    <phoneticPr fontId="7" type="noConversion"/>
  </si>
  <si>
    <t>세굴방지사석</t>
    <phoneticPr fontId="27" type="noConversion"/>
  </si>
  <si>
    <t>가배수관 설치</t>
    <phoneticPr fontId="7" type="noConversion"/>
  </si>
  <si>
    <t>흙쌓기 및 철거</t>
    <phoneticPr fontId="27" type="noConversion"/>
  </si>
  <si>
    <t>마대쌓기 및 철거</t>
    <phoneticPr fontId="27" type="noConversion"/>
  </si>
  <si>
    <t>가배수관(Φ1000mm)</t>
    <phoneticPr fontId="27" type="noConversion"/>
  </si>
  <si>
    <t>콘크리트 깨기</t>
    <phoneticPr fontId="7" type="noConversion"/>
  </si>
  <si>
    <t>콘크리트 깨기</t>
    <phoneticPr fontId="27" type="noConversion"/>
  </si>
  <si>
    <t>무근콘크리트</t>
    <phoneticPr fontId="27" type="noConversion"/>
  </si>
  <si>
    <t>시스템 동바리</t>
    <phoneticPr fontId="7" type="noConversion"/>
  </si>
  <si>
    <t>시스템동바리</t>
    <phoneticPr fontId="7" type="noConversion"/>
  </si>
  <si>
    <t>흄관</t>
    <phoneticPr fontId="7" type="noConversion"/>
  </si>
  <si>
    <t>교량부속시설</t>
    <phoneticPr fontId="7" type="noConversion"/>
  </si>
  <si>
    <t>전 선 관</t>
    <phoneticPr fontId="7" type="noConversion"/>
  </si>
  <si>
    <t>도로</t>
    <phoneticPr fontId="7" type="noConversion"/>
  </si>
  <si>
    <t>Φ1000mm</t>
    <phoneticPr fontId="7" type="noConversion"/>
  </si>
  <si>
    <t>철근가공조립/공장가공</t>
    <phoneticPr fontId="7" type="noConversion"/>
  </si>
  <si>
    <t>도막식</t>
    <phoneticPr fontId="7" type="noConversion"/>
  </si>
  <si>
    <t>폐기물 상차</t>
    <phoneticPr fontId="7" type="noConversion"/>
  </si>
  <si>
    <t>아스팔트 택코팅</t>
    <phoneticPr fontId="7" type="noConversion"/>
  </si>
  <si>
    <t>D/M</t>
    <phoneticPr fontId="7" type="noConversion"/>
  </si>
  <si>
    <t>25-35-80</t>
    <phoneticPr fontId="5" type="noConversion"/>
  </si>
  <si>
    <t>19-27-15</t>
    <phoneticPr fontId="5" type="noConversion"/>
  </si>
  <si>
    <t>투스콘</t>
    <phoneticPr fontId="7" type="noConversion"/>
  </si>
  <si>
    <t>T=50mm</t>
    <phoneticPr fontId="7" type="noConversion"/>
  </si>
  <si>
    <t>25-24-150</t>
    <phoneticPr fontId="7" type="noConversion"/>
  </si>
  <si>
    <t>25-16-150</t>
    <phoneticPr fontId="7" type="noConversion"/>
  </si>
  <si>
    <t>옹벽용</t>
    <phoneticPr fontId="7" type="noConversion"/>
  </si>
  <si>
    <t>수축줄눈</t>
    <phoneticPr fontId="104" type="noConversion"/>
  </si>
  <si>
    <t>20 x 25</t>
    <phoneticPr fontId="7" type="noConversion"/>
  </si>
  <si>
    <t>m</t>
    <phoneticPr fontId="5" type="noConversion"/>
  </si>
  <si>
    <t>보도 포장</t>
    <phoneticPr fontId="7" type="noConversion"/>
  </si>
  <si>
    <t>20x25</t>
    <phoneticPr fontId="7" type="noConversion"/>
  </si>
  <si>
    <t>건물경사계</t>
    <phoneticPr fontId="7" type="noConversion"/>
  </si>
  <si>
    <t>균열측정계</t>
    <phoneticPr fontId="7" type="noConversion"/>
  </si>
  <si>
    <t>지중경사계 설치 천공</t>
    <phoneticPr fontId="7" type="noConversion"/>
  </si>
  <si>
    <t>지하수위계 설치 천공</t>
    <phoneticPr fontId="7" type="noConversion"/>
  </si>
  <si>
    <t>종방향 신축이음</t>
    <phoneticPr fontId="7" type="noConversion"/>
  </si>
  <si>
    <t>20mm</t>
    <phoneticPr fontId="7" type="noConversion"/>
  </si>
  <si>
    <t>시멘트 분말(TON)</t>
    <phoneticPr fontId="5" type="noConversion"/>
  </si>
  <si>
    <t>소     계</t>
  </si>
  <si>
    <t>EARTH ANCHOR 그라우팅</t>
    <phoneticPr fontId="5" type="noConversion"/>
  </si>
  <si>
    <t>주면보강</t>
    <phoneticPr fontId="5" type="noConversion"/>
  </si>
  <si>
    <t>선단보강</t>
    <phoneticPr fontId="5" type="noConversion"/>
  </si>
  <si>
    <t>BEAM</t>
    <phoneticPr fontId="5" type="noConversion"/>
  </si>
  <si>
    <t>그라우팅 밀크</t>
    <phoneticPr fontId="5" type="noConversion"/>
  </si>
  <si>
    <t>무수축몰탈(1:3)</t>
    <phoneticPr fontId="5" type="noConversion"/>
  </si>
  <si>
    <t>무수축콘크리트</t>
    <phoneticPr fontId="5" type="noConversion"/>
  </si>
  <si>
    <t>(1:1)</t>
    <phoneticPr fontId="5" type="noConversion"/>
  </si>
  <si>
    <t>하부공</t>
    <phoneticPr fontId="5" type="noConversion"/>
  </si>
  <si>
    <t>몰탈</t>
    <phoneticPr fontId="5" type="noConversion"/>
  </si>
  <si>
    <t>상부공</t>
    <phoneticPr fontId="5" type="noConversion"/>
  </si>
  <si>
    <t>무수축</t>
    <phoneticPr fontId="5" type="noConversion"/>
  </si>
  <si>
    <t>TON</t>
    <phoneticPr fontId="5" type="noConversion"/>
  </si>
  <si>
    <t>TON/㎥</t>
    <phoneticPr fontId="5" type="noConversion"/>
  </si>
  <si>
    <t>TON/㎥</t>
  </si>
  <si>
    <t>φ40</t>
    <phoneticPr fontId="7" type="noConversion"/>
  </si>
  <si>
    <t>φ25</t>
  </si>
  <si>
    <t>φ19</t>
  </si>
  <si>
    <t>φ13</t>
    <phoneticPr fontId="5" type="noConversion"/>
  </si>
  <si>
    <t>(㎥)</t>
  </si>
  <si>
    <t>종</t>
    <phoneticPr fontId="5" type="noConversion"/>
  </si>
  <si>
    <t xml:space="preserve">     공</t>
    <phoneticPr fontId="5" type="noConversion"/>
  </si>
  <si>
    <t>조        골        재</t>
  </si>
  <si>
    <t>세 골 재</t>
    <phoneticPr fontId="7" type="noConversion"/>
  </si>
  <si>
    <t>시 멘 트</t>
    <phoneticPr fontId="7" type="noConversion"/>
  </si>
  <si>
    <t>수   량</t>
  </si>
  <si>
    <t xml:space="preserve"> </t>
    <phoneticPr fontId="5" type="noConversion"/>
  </si>
  <si>
    <t>보도용 난간</t>
    <phoneticPr fontId="7" type="noConversion"/>
  </si>
  <si>
    <t>차량용 방호울타리</t>
    <phoneticPr fontId="7" type="noConversion"/>
  </si>
  <si>
    <t>보도포장</t>
    <phoneticPr fontId="7" type="noConversion"/>
  </si>
  <si>
    <t>보도용난간</t>
    <phoneticPr fontId="7" type="noConversion"/>
  </si>
  <si>
    <t>아스콘 포장</t>
    <phoneticPr fontId="27" type="noConversion"/>
  </si>
  <si>
    <t>철근 콘크리트</t>
    <phoneticPr fontId="27" type="noConversion"/>
  </si>
  <si>
    <t>페기물 처리</t>
    <phoneticPr fontId="27" type="noConversion"/>
  </si>
  <si>
    <t>철근가공조립/현장가공</t>
    <phoneticPr fontId="7" type="noConversion"/>
  </si>
  <si>
    <t>( 1.5회 )</t>
    <phoneticPr fontId="7" type="noConversion"/>
  </si>
  <si>
    <t>차량방호책</t>
    <phoneticPr fontId="7" type="noConversion"/>
  </si>
  <si>
    <t>칼라콘크리트</t>
    <phoneticPr fontId="7" type="noConversion"/>
  </si>
  <si>
    <t>칼라 콘크리트 포장(t=50mm)</t>
    <phoneticPr fontId="7" type="noConversion"/>
  </si>
  <si>
    <t>H=0.85m, SB4등급</t>
    <phoneticPr fontId="7" type="noConversion"/>
  </si>
  <si>
    <t>H=1.20m</t>
    <phoneticPr fontId="7" type="noConversion"/>
  </si>
  <si>
    <t>1.5회</t>
    <phoneticPr fontId="7" type="noConversion"/>
  </si>
  <si>
    <t>유로폼(복잡)</t>
    <phoneticPr fontId="7" type="noConversion"/>
  </si>
  <si>
    <t>유로폼(보통)</t>
    <phoneticPr fontId="7" type="noConversion"/>
  </si>
  <si>
    <t>H-PILE 장비조립 및 해체</t>
    <phoneticPr fontId="7" type="noConversion"/>
  </si>
  <si>
    <t>장비조립및해체</t>
    <phoneticPr fontId="7" type="noConversion"/>
  </si>
  <si>
    <t>띠장</t>
    <phoneticPr fontId="7" type="noConversion"/>
  </si>
  <si>
    <t>띠장 설치 및 철거 (H-300)</t>
    <phoneticPr fontId="7" type="noConversion"/>
  </si>
  <si>
    <t>(L=5m이하)</t>
    <phoneticPr fontId="7" type="noConversion"/>
  </si>
  <si>
    <t>TYPE-B 철근 D22</t>
    <phoneticPr fontId="7" type="noConversion"/>
  </si>
  <si>
    <t>가공공장-현장</t>
    <phoneticPr fontId="7" type="noConversion"/>
  </si>
  <si>
    <t>(하차장-현장)</t>
    <phoneticPr fontId="7" type="noConversion"/>
  </si>
  <si>
    <t>H=0∼10 m</t>
    <phoneticPr fontId="7" type="noConversion"/>
  </si>
  <si>
    <t>H=0~10M</t>
    <phoneticPr fontId="7" type="noConversion"/>
  </si>
  <si>
    <t>T=80mm~140mm</t>
    <phoneticPr fontId="7" type="noConversion"/>
  </si>
  <si>
    <t>칼라콘크리트</t>
    <phoneticPr fontId="5" type="noConversion"/>
  </si>
  <si>
    <t>t=80mm~140mm</t>
    <phoneticPr fontId="5" type="noConversion"/>
  </si>
  <si>
    <t>25-18-150</t>
    <phoneticPr fontId="5" type="noConversion"/>
  </si>
  <si>
    <t>TYPE1-1</t>
    <phoneticPr fontId="7" type="noConversion"/>
  </si>
  <si>
    <t>TYPE2-1</t>
    <phoneticPr fontId="7" type="noConversion"/>
  </si>
  <si>
    <t>TYPE-3</t>
    <phoneticPr fontId="7" type="noConversion"/>
  </si>
  <si>
    <t>비파괴검사</t>
    <phoneticPr fontId="7" type="noConversion"/>
  </si>
  <si>
    <t>말뚝이음</t>
    <phoneticPr fontId="7" type="noConversion"/>
  </si>
  <si>
    <t>TYPE-1-1</t>
    <phoneticPr fontId="7" type="noConversion"/>
  </si>
  <si>
    <t>TYPE-2-1</t>
    <phoneticPr fontId="7" type="noConversion"/>
  </si>
  <si>
    <t>아스콘</t>
    <phoneticPr fontId="7" type="noConversion"/>
  </si>
  <si>
    <t>가축도</t>
    <phoneticPr fontId="7" type="noConversion"/>
  </si>
  <si>
    <t>견적</t>
    <phoneticPr fontId="7" type="noConversion"/>
  </si>
  <si>
    <t>갈전7교</t>
    <phoneticPr fontId="21" type="noConversion"/>
  </si>
  <si>
    <t>갈전7교</t>
    <phoneticPr fontId="5" type="noConversion"/>
  </si>
  <si>
    <t>갈전7교</t>
    <phoneticPr fontId="7" type="noConversion"/>
  </si>
  <si>
    <t>아스콘 포장</t>
    <phoneticPr fontId="7" type="noConversion"/>
  </si>
  <si>
    <t>T=80mm</t>
    <phoneticPr fontId="7" type="noConversion"/>
  </si>
  <si>
    <t>레
미
콘</t>
    <phoneticPr fontId="7" type="noConversion"/>
  </si>
  <si>
    <t>RSC-4</t>
    <phoneticPr fontId="7" type="noConversion"/>
  </si>
  <si>
    <t>계측기</t>
    <phoneticPr fontId="7" type="noConversion"/>
  </si>
  <si>
    <t>토 사 천 공</t>
    <phoneticPr fontId="7" type="noConversion"/>
  </si>
  <si>
    <t>연 암 천 공</t>
    <phoneticPr fontId="7" type="noConversion"/>
  </si>
  <si>
    <t>PC강선 제작설치
(Φ12.7X4)</t>
    <phoneticPr fontId="7" type="noConversion"/>
  </si>
  <si>
    <t>SHEET PILE 항타</t>
    <phoneticPr fontId="7" type="noConversion"/>
  </si>
  <si>
    <t>가이드 빔 기준틀 제작</t>
    <phoneticPr fontId="7" type="noConversion"/>
  </si>
  <si>
    <t>가이드 빔 기준틀 이동 및 설치</t>
    <phoneticPr fontId="7" type="noConversion"/>
  </si>
  <si>
    <t>지수제 도포</t>
    <phoneticPr fontId="7" type="noConversion"/>
  </si>
  <si>
    <t>SHEET PILE 코너 파일 제작</t>
  </si>
  <si>
    <t>직선형 기준틀</t>
    <phoneticPr fontId="7" type="noConversion"/>
  </si>
  <si>
    <t>H-250x250x9x14</t>
    <phoneticPr fontId="7" type="noConversion"/>
  </si>
  <si>
    <t>6~8m</t>
    <phoneticPr fontId="7" type="noConversion"/>
  </si>
  <si>
    <t>9~11m</t>
    <phoneticPr fontId="7" type="noConversion"/>
  </si>
  <si>
    <t>띠장 이음 및 해체</t>
    <phoneticPr fontId="7" type="noConversion"/>
  </si>
  <si>
    <t>H-300x300x10x15</t>
  </si>
  <si>
    <t>H-300x300x10x15</t>
    <phoneticPr fontId="7" type="noConversion"/>
  </si>
  <si>
    <t>띠장 우각부 연결 및 해체</t>
    <phoneticPr fontId="7" type="noConversion"/>
  </si>
  <si>
    <t>L-90x90x10</t>
    <phoneticPr fontId="7" type="noConversion"/>
  </si>
  <si>
    <t>버팀보 제작</t>
    <phoneticPr fontId="108" type="noConversion"/>
  </si>
  <si>
    <t>버팀보 설치 및 철거</t>
    <phoneticPr fontId="108" type="noConversion"/>
  </si>
  <si>
    <t>경사 버팀보 제작</t>
    <phoneticPr fontId="108" type="noConversion"/>
  </si>
  <si>
    <t>경사 버팀보 설치 및 철거</t>
    <phoneticPr fontId="108" type="noConversion"/>
  </si>
  <si>
    <t>경사 버팀보 화타 제작 및 설치 철거</t>
    <phoneticPr fontId="108" type="noConversion"/>
  </si>
  <si>
    <t>JACK 설치 철거</t>
    <phoneticPr fontId="108" type="noConversion"/>
  </si>
  <si>
    <t>사보강재 제작</t>
    <phoneticPr fontId="108" type="noConversion"/>
  </si>
  <si>
    <t>사보강재 설치 및 철거</t>
    <phoneticPr fontId="108" type="noConversion"/>
  </si>
  <si>
    <t>L-형강 설치 및 철거</t>
    <phoneticPr fontId="108" type="noConversion"/>
  </si>
  <si>
    <t>스티프너 설치 및 철거</t>
    <phoneticPr fontId="108" type="noConversion"/>
  </si>
  <si>
    <t>ㄷ-CHANNEL 설치 및 철거</t>
    <phoneticPr fontId="108" type="noConversion"/>
  </si>
  <si>
    <t>7-9m, H=300~500</t>
    <phoneticPr fontId="108" type="noConversion"/>
  </si>
  <si>
    <t>3-5m, H=300~500</t>
    <phoneticPr fontId="108" type="noConversion"/>
  </si>
  <si>
    <t>100 tonf</t>
    <phoneticPr fontId="108" type="noConversion"/>
  </si>
  <si>
    <t>L-130x130x9</t>
    <phoneticPr fontId="108" type="noConversion"/>
  </si>
  <si>
    <t>ㄷ-150x75x6.5x10</t>
    <phoneticPr fontId="108" type="noConversion"/>
  </si>
  <si>
    <t>ㄷ-380x100x10.5x16</t>
    <phoneticPr fontId="108" type="noConversion"/>
  </si>
  <si>
    <t>M</t>
  </si>
  <si>
    <t>화타쐐기</t>
  </si>
  <si>
    <t>TYPE-1</t>
    <phoneticPr fontId="7" type="noConversion"/>
  </si>
  <si>
    <t>보걸이 설치 및 철거</t>
    <phoneticPr fontId="7" type="noConversion"/>
  </si>
  <si>
    <t>1~3m</t>
    <phoneticPr fontId="108" type="noConversion"/>
  </si>
  <si>
    <t>4~6m</t>
    <phoneticPr fontId="7" type="noConversion"/>
  </si>
  <si>
    <t>7~9m</t>
    <phoneticPr fontId="7" type="noConversion"/>
  </si>
  <si>
    <t>ㄷ-380x100x10.5x16</t>
    <phoneticPr fontId="7" type="noConversion"/>
  </si>
  <si>
    <t>ㄷ-150x75x6.5x10</t>
    <phoneticPr fontId="7" type="noConversion"/>
  </si>
  <si>
    <t>L-130x130x9</t>
    <phoneticPr fontId="7" type="noConversion"/>
  </si>
  <si>
    <t>WALE 이음 및 해체</t>
    <phoneticPr fontId="7" type="noConversion"/>
  </si>
  <si>
    <t>스티프너 설치</t>
    <phoneticPr fontId="7" type="noConversion"/>
  </si>
  <si>
    <t>H-300x300x10x15 (TYPE1)</t>
    <phoneticPr fontId="7" type="noConversion"/>
  </si>
  <si>
    <t>사보강재 제작</t>
    <phoneticPr fontId="7" type="noConversion"/>
  </si>
  <si>
    <t>1~3m</t>
    <phoneticPr fontId="7" type="noConversion"/>
  </si>
  <si>
    <t>JACK설치 및 철거</t>
    <phoneticPr fontId="7" type="noConversion"/>
  </si>
  <si>
    <t>WALE 우각부 연결 및 해체</t>
    <phoneticPr fontId="7" type="noConversion"/>
  </si>
  <si>
    <t>버팀보</t>
    <phoneticPr fontId="7" type="noConversion"/>
  </si>
  <si>
    <t>버팀보 제작</t>
    <phoneticPr fontId="7" type="noConversion"/>
  </si>
  <si>
    <t>버팀보 설치 및 철거</t>
    <phoneticPr fontId="7" type="noConversion"/>
  </si>
  <si>
    <t>(7~9m)</t>
    <phoneticPr fontId="7" type="noConversion"/>
  </si>
  <si>
    <t>L형강 설치 철거</t>
    <phoneticPr fontId="7" type="noConversion"/>
  </si>
  <si>
    <t>GUIDE BEAM 제작</t>
    <phoneticPr fontId="7" type="noConversion"/>
  </si>
  <si>
    <t>e</t>
    <phoneticPr fontId="7" type="noConversion"/>
  </si>
  <si>
    <t>f</t>
    <phoneticPr fontId="7" type="noConversion"/>
  </si>
  <si>
    <t>g</t>
    <phoneticPr fontId="7" type="noConversion"/>
  </si>
  <si>
    <t>h</t>
    <phoneticPr fontId="7" type="noConversion"/>
  </si>
  <si>
    <t>i</t>
    <phoneticPr fontId="7" type="noConversion"/>
  </si>
  <si>
    <t>j</t>
    <phoneticPr fontId="7" type="noConversion"/>
  </si>
  <si>
    <t>CHANNEL</t>
    <phoneticPr fontId="7" type="noConversion"/>
  </si>
  <si>
    <t>SHEET PILE-400x125x13</t>
    <phoneticPr fontId="7" type="noConversion"/>
  </si>
  <si>
    <t>사보강재 설치 및 철거</t>
    <phoneticPr fontId="7" type="noConversion"/>
  </si>
  <si>
    <t>100T</t>
    <phoneticPr fontId="7" type="noConversion"/>
  </si>
  <si>
    <t>ANGLE 사용 및 운반</t>
    <phoneticPr fontId="7" type="noConversion"/>
  </si>
  <si>
    <t>할증</t>
    <phoneticPr fontId="7" type="noConversion"/>
  </si>
  <si>
    <t>합판4회</t>
    <phoneticPr fontId="7" type="noConversion"/>
  </si>
  <si>
    <t>교면포장 물빼기공
(유공관 Ø10mm)</t>
    <phoneticPr fontId="7" type="noConversion"/>
  </si>
  <si>
    <t>동재하시험(E.o.I.D)</t>
    <phoneticPr fontId="109" type="noConversion"/>
  </si>
  <si>
    <t>동재하시험(Restrike)</t>
  </si>
  <si>
    <t>동재하시험(품질확인)</t>
    <phoneticPr fontId="109" type="noConversion"/>
  </si>
  <si>
    <t>E.O.I.D</t>
    <phoneticPr fontId="7" type="noConversion"/>
  </si>
  <si>
    <t>Restrike</t>
    <phoneticPr fontId="7" type="noConversion"/>
  </si>
  <si>
    <t>품질확인</t>
    <phoneticPr fontId="7" type="noConversion"/>
  </si>
  <si>
    <t>U.T</t>
    <phoneticPr fontId="7" type="noConversion"/>
  </si>
  <si>
    <t>교명포장 물빼기공</t>
    <phoneticPr fontId="7" type="noConversion"/>
  </si>
  <si>
    <t>유공관 Ø10mm</t>
    <phoneticPr fontId="7" type="noConversion"/>
  </si>
  <si>
    <t>PP 마대쌓기</t>
    <phoneticPr fontId="7" type="noConversion"/>
  </si>
  <si>
    <t>경사계</t>
    <phoneticPr fontId="7" type="noConversion"/>
  </si>
  <si>
    <t>면목, 20 X 15</t>
    <phoneticPr fontId="7" type="noConversion"/>
  </si>
  <si>
    <t>배 수 구 (S.T.S Ø150mm)</t>
    <phoneticPr fontId="7" type="noConversion"/>
  </si>
  <si>
    <t>집 수 구 (250*250mm)</t>
    <phoneticPr fontId="7" type="noConversion"/>
  </si>
  <si>
    <t>강재 사용료 
및 운반비</t>
    <phoneticPr fontId="7" type="noConversion"/>
  </si>
  <si>
    <t>심층혼합처리(개량공)</t>
    <phoneticPr fontId="7" type="noConversion"/>
  </si>
  <si>
    <t>N≤5/점성토/L=10.0M, 56공
(￠1,000×4rod, N&lt;5)</t>
    <phoneticPr fontId="7" type="noConversion"/>
  </si>
  <si>
    <t>심층혼합처리(공삭공)</t>
    <phoneticPr fontId="7" type="noConversion"/>
  </si>
  <si>
    <t>N≤5/점성토/L=10.0M, 56공</t>
    <phoneticPr fontId="7" type="noConversion"/>
  </si>
  <si>
    <t>PILE DRIVER 및 PLANT
조립및해체</t>
    <phoneticPr fontId="7" type="noConversion"/>
  </si>
  <si>
    <t>외부반입/반출</t>
    <phoneticPr fontId="7" type="noConversion"/>
  </si>
  <si>
    <t>이토처리</t>
    <phoneticPr fontId="7" type="noConversion"/>
  </si>
  <si>
    <t>B/H0.7㎥+D/T24ton</t>
    <phoneticPr fontId="7" type="noConversion"/>
  </si>
  <si>
    <t>심층혼합공법</t>
    <phoneticPr fontId="5" type="noConversion"/>
  </si>
  <si>
    <t>지반개량공</t>
    <phoneticPr fontId="7" type="noConversion"/>
  </si>
  <si>
    <t>심층혼합처리(개량공)</t>
  </si>
  <si>
    <t>N≤5/점성토/L=10.0M, 56공
(￠1,000×4rod, N&lt;5)</t>
  </si>
  <si>
    <t>심층혼합처리(공삭공)</t>
  </si>
  <si>
    <t>N≤5/점성토/L=10.0M, 56공</t>
  </si>
  <si>
    <t>PILE DRIVER 및 PLANT
조립및해체</t>
  </si>
  <si>
    <t>외부반입/반출</t>
  </si>
  <si>
    <t>이토처리</t>
  </si>
  <si>
    <t>B/H0.7㎥+D/T24ton</t>
  </si>
  <si>
    <t>폐콘크리트</t>
  </si>
  <si>
    <t>난간 철거</t>
    <phoneticPr fontId="7" type="noConversion"/>
  </si>
  <si>
    <t>폐기물 운반</t>
    <phoneticPr fontId="27" type="noConversion"/>
  </si>
  <si>
    <t>k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</si>
</sst>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0">
    <numFmt numFmtId="5" formatCode="&quot;₩&quot;#,##0;\-&quot;₩&quot;#,##0"/>
    <numFmt numFmtId="41" formatCode="_-* #,##0_-;\-* #,##0_-;_-* &quot;-&quot;_-;_-@_-"/>
    <numFmt numFmtId="43" formatCode="_-* #,##0.00_-;\-* #,##0.00_-;_-* &quot;-&quot;??_-;_-@_-"/>
    <numFmt numFmtId="176" formatCode="0.000_ "/>
    <numFmt numFmtId="177" formatCode="0.00_ "/>
    <numFmt numFmtId="178" formatCode="0_ "/>
    <numFmt numFmtId="179" formatCode="0.0000%"/>
    <numFmt numFmtId="180" formatCode="&quot;√(&quot;0\)&quot;)&quot;"/>
    <numFmt numFmtId="181" formatCode="&quot;RM&quot;#,##0_);\(&quot;RM&quot;#,##0\)"/>
    <numFmt numFmtId="182" formatCode="0.000"/>
    <numFmt numFmtId="183" formatCode="&quot;$&quot;#,##0.00_);\(&quot;$&quot;#,##0.00\)"/>
    <numFmt numFmtId="184" formatCode="0.000\ "/>
    <numFmt numFmtId="185" formatCode="&quot;₩&quot;#\!\,##0;&quot;₩&quot;\!\-&quot;₩&quot;#\!\,##0"/>
    <numFmt numFmtId="186" formatCode="_-[$€-2]* #,##0.00_-;\-[$€-2]* #,##0.00_-;_-[$€-2]* &quot;-&quot;??_-"/>
    <numFmt numFmtId="187" formatCode="0.000_);[Red]\(0.000\)"/>
    <numFmt numFmtId="188" formatCode="0.00_);[Red]\(0.00\)"/>
    <numFmt numFmtId="189" formatCode="#,##0.000_);[Red]\(#,##0.000\)"/>
    <numFmt numFmtId="190" formatCode="0.00&quot; M &quot;"/>
    <numFmt numFmtId="191" formatCode="#,##0.000&quot; KG&quot;"/>
    <numFmt numFmtId="192" formatCode="#,##0.000&quot; ton&quot;"/>
    <numFmt numFmtId="193" formatCode="#,##0&quot;천원&quot;"/>
    <numFmt numFmtId="194" formatCode="0.000&quot;M&quot;"/>
    <numFmt numFmtId="195" formatCode="&quot;₩&quot;#,##0;[Red]&quot;₩&quot;&quot;₩&quot;\-#,##0"/>
    <numFmt numFmtId="196" formatCode="&quot;0&quot;#&quot;.&quot;"/>
    <numFmt numFmtId="197" formatCode="_ * #,##0.00_ ;_ * \-#,##0.00_ ;_ * &quot;-&quot;??_ ;_ @_ "/>
    <numFmt numFmtId="198" formatCode="#."/>
    <numFmt numFmtId="199" formatCode="#,##0.0"/>
    <numFmt numFmtId="200" formatCode="#,##0.0000_);\(#,##0.0000\)"/>
    <numFmt numFmtId="201" formatCode="_-* #,##0_-;&quot;₩&quot;\!\-* #,##0_-;_-* &quot;-&quot;_-;_-@_-"/>
    <numFmt numFmtId="202" formatCode="#,##0_ "/>
    <numFmt numFmtId="203" formatCode="#,##0;[Red]&quot;-&quot;#,##0"/>
    <numFmt numFmtId="204" formatCode="&quot;₩&quot;#,##0;&quot;₩&quot;&quot;₩&quot;&quot;₩&quot;&quot;₩&quot;\-#,##0"/>
    <numFmt numFmtId="205" formatCode="&quot;₩&quot;#,##0;[Red]&quot;₩&quot;&quot;₩&quot;&quot;₩&quot;&quot;₩&quot;\-#,##0"/>
    <numFmt numFmtId="206" formatCode="&quot;₩&quot;#,##0.00;&quot;₩&quot;&quot;₩&quot;&quot;₩&quot;&quot;₩&quot;\-#,##0.00"/>
    <numFmt numFmtId="207" formatCode="_-&quot;₩&quot;* #,##0.00_-;&quot;₩&quot;&quot;₩&quot;\-&quot;₩&quot;* #,##0.00_-;_-&quot;₩&quot;* &quot;-&quot;??_-;_-@_-"/>
    <numFmt numFmtId="208" formatCode="_-* #,##0.00_-;&quot;₩&quot;&quot;₩&quot;\-* #,##0.00_-;_-* &quot;-&quot;??_-;_-@_-"/>
    <numFmt numFmtId="209" formatCode="_ * #,##0_ ;_ * \-#,##0_ ;_ * &quot;-&quot;_ ;_ @_ "/>
    <numFmt numFmtId="210" formatCode="&quot;₩&quot;#,##0;&quot;₩&quot;&quot;₩&quot;\-#,##0"/>
    <numFmt numFmtId="211" formatCode="_ * #,##0_ ;_ * &quot;₩&quot;&quot;₩&quot;&quot;₩&quot;&quot;₩&quot;\-#,##0_ ;_ * &quot;-&quot;_ ;_ @_ "/>
    <numFmt numFmtId="212" formatCode="_ &quot;₩&quot;* #,##0.00_ ;_ &quot;₩&quot;* &quot;₩&quot;\!\-#,##0.00_ ;_ &quot;₩&quot;* &quot;-&quot;??_ ;_ @_ "/>
    <numFmt numFmtId="213" formatCode="#,##0;\(#,##0\)"/>
    <numFmt numFmtId="214" formatCode="#,##0.0000000;[Red]\-#,##0.0000000"/>
    <numFmt numFmtId="215" formatCode=";;"/>
    <numFmt numFmtId="216" formatCode="_ * #,##0_ ;_ * &quot;₩&quot;\!\-#,##0_ ;_ * &quot;-&quot;_ ;_ @_ "/>
    <numFmt numFmtId="217" formatCode="&quot;Fr.&quot;\ #,##0;[Red]&quot;Fr.&quot;\ \-#,##0"/>
    <numFmt numFmtId="218" formatCode="&quot;Fr.&quot;\ #,##0.00;[Red]&quot;Fr.&quot;\ \-#,##0.00"/>
    <numFmt numFmtId="219" formatCode="0.00_)"/>
    <numFmt numFmtId="220" formatCode="0.00;[Red]0.00"/>
    <numFmt numFmtId="221" formatCode="_-* #,##0.000_-;\-* #,##0.000_-;_-* &quot;-&quot;_-;_-@_-"/>
    <numFmt numFmtId="222" formatCode="0.00\ &quot;)&quot;"/>
    <numFmt numFmtId="223" formatCode="0.00\ &quot;)]&quot;"/>
    <numFmt numFmtId="224" formatCode="0.000\ &quot;²&quot;"/>
    <numFmt numFmtId="225" formatCode="&quot;(&quot;\ 0.00"/>
    <numFmt numFmtId="226" formatCode="&quot;[(&quot;\ 0.00"/>
    <numFmt numFmtId="227" formatCode="#\!\,##0\!.00_ "/>
    <numFmt numFmtId="228" formatCode="#,##0\ ;[Red]&quot;-&quot;#,##0\ "/>
    <numFmt numFmtId="229" formatCode="* #,##0\ ;[Red]* &quot;-&quot;#,##0\ "/>
    <numFmt numFmtId="230" formatCode="#,##0.####;[Red]&quot;-&quot;#,##0.####"/>
    <numFmt numFmtId="231" formatCode="#,##0.0###\ ;[Red]&quot;-&quot;#,##0.0###\ "/>
    <numFmt numFmtId="232" formatCode="#,##0.000"/>
    <numFmt numFmtId="233" formatCode="_ * #,##0.00_ ;_ * \-#,##0.00_ ;_ * &quot;-&quot;_ ;_ @_ "/>
    <numFmt numFmtId="234" formatCode="_ * #,##0.000_ ;_ * \-#,##0.000_ ;_ * &quot;-&quot;_ ;_ @_ "/>
    <numFmt numFmtId="235" formatCode="0\ &quot;EA&quot;"/>
    <numFmt numFmtId="236" formatCode="General_)"/>
    <numFmt numFmtId="237" formatCode="0.0_)"/>
    <numFmt numFmtId="238" formatCode="0\ &quot;t&quot;"/>
    <numFmt numFmtId="239" formatCode="0.000&quot;m&quot;"/>
    <numFmt numFmtId="240" formatCode="#,##0.000_ "/>
    <numFmt numFmtId="241" formatCode="#,##0_);[Red]\(#,##0\)"/>
    <numFmt numFmtId="242" formatCode="0.000&quot; &quot;"/>
  </numFmts>
  <fonts count="113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u/>
      <sz val="11"/>
      <color indexed="36"/>
      <name val="돋움"/>
      <family val="3"/>
      <charset val="129"/>
    </font>
    <font>
      <sz val="12"/>
      <name val="¹ÙÅÁÃ¼"/>
      <family val="1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8"/>
      <name val="돋움"/>
      <family val="3"/>
      <charset val="129"/>
    </font>
    <font>
      <sz val="8"/>
      <name val="Arial"/>
      <family val="2"/>
    </font>
    <font>
      <b/>
      <sz val="10"/>
      <color indexed="8"/>
      <name val="굴림체"/>
      <family val="3"/>
      <charset val="129"/>
    </font>
    <font>
      <sz val="9"/>
      <name val="바탕체"/>
      <family val="1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  <family val="2"/>
    </font>
    <font>
      <b/>
      <sz val="18"/>
      <name val="Arial"/>
      <family val="2"/>
    </font>
    <font>
      <b/>
      <sz val="11"/>
      <name val="Helv"/>
      <family val="2"/>
    </font>
    <font>
      <sz val="9"/>
      <name val="돋움체"/>
      <family val="3"/>
      <charset val="129"/>
    </font>
    <font>
      <sz val="10"/>
      <name val="돋움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"/>
      <color indexed="8"/>
      <name val="Courier"/>
      <family val="3"/>
    </font>
    <font>
      <sz val="14"/>
      <name val="뼻뮝"/>
      <family val="3"/>
      <charset val="129"/>
    </font>
    <font>
      <sz val="10"/>
      <name val="Helv"/>
      <family val="2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b/>
      <sz val="10"/>
      <name val="굴림체"/>
      <family val="3"/>
      <charset val="129"/>
    </font>
    <font>
      <sz val="8"/>
      <name val="굴림체"/>
      <family val="3"/>
      <charset val="129"/>
    </font>
    <font>
      <b/>
      <sz val="28"/>
      <name val="굴림체"/>
      <family val="3"/>
      <charset val="129"/>
    </font>
    <font>
      <sz val="11"/>
      <name val="굴림체"/>
      <family val="3"/>
      <charset val="129"/>
    </font>
    <font>
      <sz val="12"/>
      <name val="Osaka"/>
      <family val="3"/>
    </font>
    <font>
      <sz val="12"/>
      <name val="¹UAAA¼"/>
      <family val="3"/>
      <charset val="129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2"/>
      <name val="System"/>
      <family val="2"/>
      <charset val="129"/>
    </font>
    <font>
      <sz val="10"/>
      <name val="Times New Roman"/>
      <family val="1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28"/>
      <color indexed="8"/>
      <name val="굴림체"/>
      <family val="3"/>
      <charset val="129"/>
    </font>
    <font>
      <sz val="28"/>
      <color indexed="8"/>
      <name val="굴림체"/>
      <family val="3"/>
      <charset val="129"/>
    </font>
    <font>
      <sz val="12"/>
      <color indexed="10"/>
      <name val="굴림체"/>
      <family val="3"/>
      <charset val="129"/>
    </font>
    <font>
      <b/>
      <sz val="9"/>
      <name val="굴림체"/>
      <family val="3"/>
      <charset val="129"/>
    </font>
    <font>
      <sz val="8"/>
      <color indexed="8"/>
      <name val="굴림체"/>
      <family val="3"/>
      <charset val="129"/>
    </font>
    <font>
      <sz val="10"/>
      <color indexed="12"/>
      <name val="굴림체"/>
      <family val="3"/>
      <charset val="129"/>
    </font>
    <font>
      <sz val="9"/>
      <color indexed="12"/>
      <name val="굴림체"/>
      <family val="3"/>
      <charset val="129"/>
    </font>
    <font>
      <sz val="9"/>
      <color indexed="10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indexed="10"/>
      <name val="굴림체"/>
      <family val="3"/>
      <charset val="129"/>
    </font>
    <font>
      <u/>
      <sz val="10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color indexed="9"/>
      <name val="굴림체"/>
      <family val="3"/>
      <charset val="129"/>
    </font>
    <font>
      <b/>
      <sz val="10"/>
      <color indexed="52"/>
      <name val="굴림체"/>
      <family val="3"/>
      <charset val="129"/>
    </font>
    <font>
      <sz val="10"/>
      <color indexed="20"/>
      <name val="굴림체"/>
      <family val="3"/>
      <charset val="129"/>
    </font>
    <font>
      <sz val="10"/>
      <color indexed="60"/>
      <name val="굴림체"/>
      <family val="3"/>
      <charset val="129"/>
    </font>
    <font>
      <i/>
      <sz val="10"/>
      <color indexed="23"/>
      <name val="굴림체"/>
      <family val="3"/>
      <charset val="129"/>
    </font>
    <font>
      <b/>
      <sz val="10"/>
      <color indexed="9"/>
      <name val="굴림체"/>
      <family val="3"/>
      <charset val="129"/>
    </font>
    <font>
      <sz val="10"/>
      <color indexed="52"/>
      <name val="굴림체"/>
      <family val="3"/>
      <charset val="129"/>
    </font>
    <font>
      <sz val="10"/>
      <color indexed="62"/>
      <name val="굴림체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굴림체"/>
      <family val="3"/>
      <charset val="129"/>
    </font>
    <font>
      <sz val="10"/>
      <color indexed="17"/>
      <name val="굴림체"/>
      <family val="3"/>
      <charset val="129"/>
    </font>
    <font>
      <b/>
      <sz val="10"/>
      <color indexed="63"/>
      <name val="굴림체"/>
      <family val="3"/>
      <charset val="129"/>
    </font>
    <font>
      <sz val="10"/>
      <name val="명조"/>
      <family val="3"/>
      <charset val="129"/>
    </font>
    <font>
      <sz val="10"/>
      <name val="MS Sans Serif"/>
      <family val="2"/>
    </font>
    <font>
      <sz val="9"/>
      <name val="Arial"/>
      <family val="2"/>
    </font>
    <font>
      <sz val="14"/>
      <name val="뼥?ⓒ"/>
      <family val="3"/>
      <charset val="129"/>
    </font>
    <font>
      <b/>
      <u/>
      <sz val="14"/>
      <name val="굴림체"/>
      <family val="3"/>
      <charset val="129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i/>
      <sz val="16"/>
      <name val="Helv"/>
      <family val="2"/>
    </font>
    <font>
      <b/>
      <sz val="16"/>
      <name val="굴림체"/>
      <family val="3"/>
      <charset val="129"/>
    </font>
    <font>
      <sz val="9"/>
      <color indexed="8"/>
      <name val="돋움체"/>
      <family val="3"/>
      <charset val="129"/>
    </font>
    <font>
      <sz val="9"/>
      <name val="돋움"/>
      <family val="3"/>
      <charset val="129"/>
    </font>
    <font>
      <sz val="10"/>
      <name val="Courier New"/>
      <family val="3"/>
    </font>
    <font>
      <sz val="1"/>
      <color indexed="0"/>
      <name val="Courier"/>
      <family val="3"/>
    </font>
    <font>
      <sz val="10"/>
      <name val="바탕체"/>
      <family val="1"/>
      <charset val="129"/>
    </font>
    <font>
      <sz val="11"/>
      <name val="돋움체"/>
      <family val="3"/>
      <charset val="129"/>
    </font>
    <font>
      <sz val="9.5"/>
      <name val="굴림"/>
      <family val="3"/>
      <charset val="129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sz val="9"/>
      <color indexed="10"/>
      <name val="굴림체"/>
      <family val="3"/>
      <charset val="129"/>
    </font>
    <font>
      <sz val="10"/>
      <color indexed="8"/>
      <name val="돋움"/>
      <family val="3"/>
      <charset val="129"/>
    </font>
    <font>
      <sz val="9"/>
      <color indexed="10"/>
      <name val="굴림체"/>
      <family val="3"/>
      <charset val="129"/>
    </font>
    <font>
      <sz val="10"/>
      <color indexed="10"/>
      <name val="굴림체"/>
      <family val="3"/>
      <charset val="129"/>
    </font>
    <font>
      <sz val="10"/>
      <name val="굃굍 굊긕긘긞긏"/>
      <family val="3"/>
      <charset val="129"/>
    </font>
    <font>
      <sz val="10"/>
      <color indexed="10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9"/>
      <color indexed="10"/>
      <name val="굴림체"/>
      <family val="3"/>
      <charset val="129"/>
    </font>
    <font>
      <b/>
      <sz val="9"/>
      <color indexed="10"/>
      <name val="굴림체"/>
      <family val="3"/>
      <charset val="129"/>
    </font>
    <font>
      <b/>
      <sz val="9"/>
      <color indexed="10"/>
      <name val="굴림체"/>
      <family val="3"/>
      <charset val="129"/>
    </font>
    <font>
      <b/>
      <sz val="11"/>
      <color indexed="10"/>
      <name val="굴림체"/>
      <family val="3"/>
      <charset val="129"/>
    </font>
    <font>
      <sz val="10"/>
      <color indexed="8"/>
      <name val="돋움체"/>
      <family val="3"/>
      <charset val="129"/>
    </font>
    <font>
      <sz val="8"/>
      <name val="돋움"/>
      <family val="3"/>
      <charset val="129"/>
    </font>
    <font>
      <sz val="10"/>
      <name val="서울남산체 M"/>
      <family val="1"/>
      <charset val="129"/>
    </font>
    <font>
      <sz val="9"/>
      <name val="서울남산체 M"/>
      <family val="1"/>
      <charset val="129"/>
    </font>
    <font>
      <sz val="9"/>
      <color indexed="8"/>
      <name val="돋움"/>
      <family val="3"/>
      <charset val="129"/>
    </font>
    <font>
      <sz val="8"/>
      <name val="돋움체"/>
      <family val="3"/>
      <charset val="129"/>
    </font>
    <font>
      <sz val="8"/>
      <name val="돋움"/>
      <family val="3"/>
      <charset val="129"/>
    </font>
    <font>
      <sz val="9"/>
      <color rgb="FFFF0000"/>
      <name val="굴림체"/>
      <family val="3"/>
      <charset val="129"/>
    </font>
    <font>
      <b/>
      <sz val="9"/>
      <color rgb="FFFF0000"/>
      <name val="굴림체"/>
      <family val="3"/>
      <charset val="129"/>
    </font>
    <font>
      <sz val="9"/>
      <color rgb="FF0070C0"/>
      <name val="굴림체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</fills>
  <borders count="8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3074">
    <xf numFmtId="0" fontId="0" fillId="0" borderId="0"/>
    <xf numFmtId="197" fontId="37" fillId="0" borderId="0" applyFont="0" applyFill="0" applyBorder="0" applyAlignment="0" applyProtection="0"/>
    <xf numFmtId="40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2" fillId="0" borderId="0"/>
    <xf numFmtId="0" fontId="68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7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2" fillId="0" borderId="0"/>
    <xf numFmtId="0" fontId="68" fillId="0" borderId="0"/>
    <xf numFmtId="0" fontId="6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8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68" fillId="0" borderId="0"/>
    <xf numFmtId="0" fontId="37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68" fillId="0" borderId="0"/>
    <xf numFmtId="0" fontId="68" fillId="0" borderId="0"/>
    <xf numFmtId="0" fontId="2" fillId="0" borderId="0"/>
    <xf numFmtId="0" fontId="68" fillId="0" borderId="0"/>
    <xf numFmtId="0" fontId="2" fillId="0" borderId="0"/>
    <xf numFmtId="0" fontId="68" fillId="0" borderId="0"/>
    <xf numFmtId="0" fontId="2" fillId="0" borderId="0"/>
    <xf numFmtId="0" fontId="68" fillId="0" borderId="0"/>
    <xf numFmtId="0" fontId="37" fillId="0" borderId="0"/>
    <xf numFmtId="0" fontId="2" fillId="0" borderId="0"/>
    <xf numFmtId="0" fontId="2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7" fontId="69" fillId="0" borderId="0" applyFont="0" applyFill="0" applyBorder="0" applyAlignment="0" applyProtection="0"/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3" fontId="78" fillId="0" borderId="1">
      <alignment horizontal="right" vertical="center"/>
    </xf>
    <xf numFmtId="197" fontId="69" fillId="0" borderId="0" applyFont="0" applyFill="0" applyBorder="0" applyAlignment="0" applyProtection="0"/>
    <xf numFmtId="0" fontId="5" fillId="0" borderId="2">
      <alignment horizont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2" fontId="78" fillId="0" borderId="1">
      <alignment horizontal="right" vertical="center"/>
    </xf>
    <xf numFmtId="0" fontId="4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197" fontId="69" fillId="0" borderId="0" applyFont="0" applyFill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40" fontId="68" fillId="0" borderId="0" applyFont="0" applyFill="0" applyBorder="0" applyAlignment="0" applyProtection="0"/>
    <xf numFmtId="0" fontId="54" fillId="12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197" fontId="37" fillId="0" borderId="0" applyFont="0" applyFill="0" applyBorder="0" applyAlignment="0" applyProtection="0"/>
    <xf numFmtId="21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8" fillId="0" borderId="0"/>
    <xf numFmtId="0" fontId="3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97" fontId="2" fillId="0" borderId="0" applyFont="0" applyFill="0" applyBorder="0" applyAlignment="0" applyProtection="0"/>
    <xf numFmtId="0" fontId="33" fillId="0" borderId="0"/>
    <xf numFmtId="0" fontId="4" fillId="0" borderId="0"/>
    <xf numFmtId="0" fontId="36" fillId="0" borderId="0"/>
    <xf numFmtId="0" fontId="1" fillId="0" borderId="0" applyFill="0" applyBorder="0" applyAlignment="0"/>
    <xf numFmtId="0" fontId="13" fillId="0" borderId="0"/>
    <xf numFmtId="0" fontId="5" fillId="0" borderId="0">
      <protection locked="0"/>
    </xf>
    <xf numFmtId="38" fontId="2" fillId="0" borderId="0" applyFont="0" applyFill="0" applyBorder="0" applyAlignment="0" applyProtection="0"/>
    <xf numFmtId="41" fontId="83" fillId="0" borderId="0" applyFont="0" applyFill="0" applyBorder="0" applyAlignment="0" applyProtection="0"/>
    <xf numFmtId="198" fontId="72" fillId="0" borderId="0">
      <protection locked="0"/>
    </xf>
    <xf numFmtId="198" fontId="72" fillId="0" borderId="0">
      <protection locked="0"/>
    </xf>
    <xf numFmtId="220" fontId="5" fillId="0" borderId="0">
      <protection locked="0"/>
    </xf>
    <xf numFmtId="0" fontId="1" fillId="0" borderId="0"/>
    <xf numFmtId="213" fontId="37" fillId="0" borderId="0"/>
    <xf numFmtId="232" fontId="5" fillId="0" borderId="0"/>
    <xf numFmtId="179" fontId="1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84" fillId="0" borderId="0" applyNumberFormat="0" applyAlignment="0">
      <alignment horizontal="left"/>
    </xf>
    <xf numFmtId="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>
      <protection locked="0"/>
    </xf>
    <xf numFmtId="0" fontId="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1" fillId="0" borderId="0" applyFont="0" applyFill="0" applyBorder="0" applyAlignment="0" applyProtection="0"/>
    <xf numFmtId="198" fontId="72" fillId="0" borderId="0">
      <protection locked="0"/>
    </xf>
    <xf numFmtId="198" fontId="72" fillId="0" borderId="0">
      <protection locked="0"/>
    </xf>
    <xf numFmtId="220" fontId="5" fillId="0" borderId="0">
      <protection locked="0"/>
    </xf>
    <xf numFmtId="180" fontId="1" fillId="0" borderId="0" applyFont="0" applyFill="0" applyBorder="0" applyAlignment="0" applyProtection="0"/>
    <xf numFmtId="185" fontId="2" fillId="0" borderId="0" applyFont="0" applyFill="0" applyBorder="0" applyAlignment="0" applyProtection="0"/>
    <xf numFmtId="5" fontId="2" fillId="0" borderId="0" applyFill="0" applyBorder="0" applyAlignment="0" applyProtection="0"/>
    <xf numFmtId="0" fontId="37" fillId="0" borderId="0"/>
    <xf numFmtId="0" fontId="2" fillId="0" borderId="0"/>
    <xf numFmtId="233" fontId="5" fillId="0" borderId="0"/>
    <xf numFmtId="181" fontId="5" fillId="0" borderId="0">
      <protection locked="0"/>
    </xf>
    <xf numFmtId="198" fontId="72" fillId="0" borderId="0">
      <protection locked="0"/>
    </xf>
    <xf numFmtId="220" fontId="5" fillId="0" borderId="0">
      <protection locked="0"/>
    </xf>
    <xf numFmtId="0" fontId="68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0" borderId="0"/>
    <xf numFmtId="214" fontId="2" fillId="0" borderId="0"/>
    <xf numFmtId="234" fontId="5" fillId="0" borderId="0"/>
    <xf numFmtId="235" fontId="69" fillId="0" borderId="0" applyFill="0" applyBorder="0">
      <alignment horizontal="centerContinuous"/>
    </xf>
    <xf numFmtId="0" fontId="85" fillId="0" borderId="0" applyNumberFormat="0" applyAlignment="0">
      <alignment horizontal="left"/>
    </xf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4" fillId="0" borderId="0">
      <protection locked="0"/>
    </xf>
    <xf numFmtId="215" fontId="14" fillId="0" borderId="0">
      <protection locked="0"/>
    </xf>
    <xf numFmtId="0" fontId="14" fillId="0" borderId="0">
      <protection locked="0"/>
    </xf>
    <xf numFmtId="215" fontId="14" fillId="0" borderId="0">
      <protection locked="0"/>
    </xf>
    <xf numFmtId="0" fontId="15" fillId="0" borderId="0">
      <protection locked="0"/>
    </xf>
    <xf numFmtId="215" fontId="14" fillId="0" borderId="0">
      <protection locked="0"/>
    </xf>
    <xf numFmtId="0" fontId="14" fillId="0" borderId="0">
      <protection locked="0"/>
    </xf>
    <xf numFmtId="215" fontId="14" fillId="0" borderId="0">
      <protection locked="0"/>
    </xf>
    <xf numFmtId="0" fontId="14" fillId="0" borderId="0">
      <protection locked="0"/>
    </xf>
    <xf numFmtId="215" fontId="14" fillId="0" borderId="0">
      <protection locked="0"/>
    </xf>
    <xf numFmtId="0" fontId="14" fillId="0" borderId="0">
      <protection locked="0"/>
    </xf>
    <xf numFmtId="215" fontId="14" fillId="0" borderId="0">
      <protection locked="0"/>
    </xf>
    <xf numFmtId="0" fontId="15" fillId="0" borderId="0">
      <protection locked="0"/>
    </xf>
    <xf numFmtId="215" fontId="14" fillId="0" borderId="0">
      <protection locked="0"/>
    </xf>
    <xf numFmtId="181" fontId="5" fillId="0" borderId="0">
      <protection locked="0"/>
    </xf>
    <xf numFmtId="198" fontId="72" fillId="0" borderId="0">
      <protection locked="0"/>
    </xf>
    <xf numFmtId="220" fontId="5" fillId="0" borderId="0">
      <protection locked="0"/>
    </xf>
    <xf numFmtId="0" fontId="68" fillId="0" borderId="0" applyFont="0" applyFill="0" applyBorder="0" applyAlignment="0" applyProtection="0"/>
    <xf numFmtId="38" fontId="8" fillId="16" borderId="0" applyNumberFormat="0" applyBorder="0" applyAlignment="0" applyProtection="0"/>
    <xf numFmtId="38" fontId="8" fillId="17" borderId="0" applyNumberFormat="0" applyBorder="0" applyAlignment="0" applyProtection="0"/>
    <xf numFmtId="3" fontId="80" fillId="0" borderId="3">
      <alignment horizontal="right" vertical="center"/>
    </xf>
    <xf numFmtId="4" fontId="80" fillId="0" borderId="3">
      <alignment horizontal="right" vertical="center"/>
    </xf>
    <xf numFmtId="0" fontId="16" fillId="0" borderId="0">
      <alignment horizontal="left"/>
    </xf>
    <xf numFmtId="0" fontId="6" fillId="0" borderId="4" applyNumberFormat="0" applyAlignment="0" applyProtection="0">
      <alignment horizontal="left" vertical="center"/>
    </xf>
    <xf numFmtId="0" fontId="6" fillId="0" borderId="5">
      <alignment horizontal="left" vertical="center"/>
    </xf>
    <xf numFmtId="0" fontId="1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81" fontId="5" fillId="0" borderId="0">
      <protection locked="0"/>
    </xf>
    <xf numFmtId="198" fontId="73" fillId="0" borderId="0">
      <protection locked="0"/>
    </xf>
    <xf numFmtId="220" fontId="5" fillId="0" borderId="0">
      <protection locked="0"/>
    </xf>
    <xf numFmtId="181" fontId="5" fillId="0" borderId="0">
      <protection locked="0"/>
    </xf>
    <xf numFmtId="198" fontId="73" fillId="0" borderId="0">
      <protection locked="0"/>
    </xf>
    <xf numFmtId="220" fontId="5" fillId="0" borderId="0">
      <protection locked="0"/>
    </xf>
    <xf numFmtId="0" fontId="86" fillId="0" borderId="0" applyNumberFormat="0" applyFill="0" applyBorder="0" applyAlignment="0" applyProtection="0"/>
    <xf numFmtId="10" fontId="8" fillId="18" borderId="6" applyNumberFormat="0" applyBorder="0" applyAlignment="0" applyProtection="0"/>
    <xf numFmtId="10" fontId="8" fillId="17" borderId="6" applyNumberFormat="0" applyBorder="0" applyAlignment="0" applyProtection="0"/>
    <xf numFmtId="197" fontId="20" fillId="0" borderId="0">
      <alignment horizontal="left"/>
    </xf>
    <xf numFmtId="216" fontId="1" fillId="0" borderId="0">
      <alignment horizontal="left"/>
    </xf>
    <xf numFmtId="236" fontId="87" fillId="0" borderId="0">
      <alignment horizontal="left"/>
    </xf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0" fontId="18" fillId="0" borderId="7"/>
    <xf numFmtId="217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197" fontId="2" fillId="0" borderId="0" applyFont="0" applyFill="0" applyBorder="0" applyAlignment="0" applyProtection="0"/>
    <xf numFmtId="37" fontId="88" fillId="0" borderId="0"/>
    <xf numFmtId="0" fontId="2" fillId="0" borderId="0" applyNumberFormat="0" applyFill="0" applyBorder="0" applyAlignment="0" applyProtection="0"/>
    <xf numFmtId="183" fontId="1" fillId="0" borderId="0"/>
    <xf numFmtId="219" fontId="74" fillId="0" borderId="0"/>
    <xf numFmtId="0" fontId="5" fillId="0" borderId="0"/>
    <xf numFmtId="0" fontId="5" fillId="0" borderId="0"/>
    <xf numFmtId="0" fontId="2" fillId="0" borderId="0"/>
    <xf numFmtId="0" fontId="2" fillId="0" borderId="0" applyFont="0" applyFill="0" applyBorder="0" applyAlignment="0" applyProtection="0"/>
    <xf numFmtId="40" fontId="68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0">
      <protection locked="0"/>
    </xf>
    <xf numFmtId="10" fontId="2" fillId="0" borderId="0" applyFont="0" applyFill="0" applyBorder="0" applyAlignment="0" applyProtection="0"/>
    <xf numFmtId="198" fontId="72" fillId="0" borderId="0">
      <protection locked="0"/>
    </xf>
    <xf numFmtId="198" fontId="72" fillId="0" borderId="0">
      <protection locked="0"/>
    </xf>
    <xf numFmtId="220" fontId="5" fillId="0" borderId="0">
      <protection locked="0"/>
    </xf>
    <xf numFmtId="200" fontId="5" fillId="0" borderId="0">
      <protection locked="0"/>
    </xf>
    <xf numFmtId="197" fontId="69" fillId="0" borderId="0" applyFont="0" applyFill="0" applyBorder="0" applyAlignment="0" applyProtection="0"/>
    <xf numFmtId="197" fontId="69" fillId="0" borderId="0" applyFont="0" applyFill="0" applyBorder="0" applyAlignment="0" applyProtection="0"/>
    <xf numFmtId="30" fontId="89" fillId="0" borderId="0" applyNumberFormat="0" applyFill="0" applyBorder="0" applyAlignment="0" applyProtection="0">
      <alignment horizontal="left"/>
    </xf>
    <xf numFmtId="210" fontId="1" fillId="0" borderId="0" applyFont="0" applyFill="0" applyBorder="0" applyAlignment="0" applyProtection="0"/>
    <xf numFmtId="197" fontId="2" fillId="0" borderId="0" applyFont="0" applyFill="0" applyBorder="0" applyAlignment="0" applyProtection="0"/>
    <xf numFmtId="0" fontId="2" fillId="19" borderId="0"/>
    <xf numFmtId="0" fontId="18" fillId="0" borderId="0"/>
    <xf numFmtId="40" fontId="90" fillId="0" borderId="0" applyBorder="0">
      <alignment horizontal="right"/>
    </xf>
    <xf numFmtId="40" fontId="68" fillId="0" borderId="0" applyFont="0" applyFill="0" applyBorder="0" applyAlignment="0" applyProtection="0"/>
    <xf numFmtId="198" fontId="20" fillId="0" borderId="0">
      <alignment horizontal="center"/>
    </xf>
    <xf numFmtId="212" fontId="1" fillId="0" borderId="0">
      <alignment horizontal="center"/>
    </xf>
    <xf numFmtId="237" fontId="91" fillId="0" borderId="0">
      <alignment horizontal="center"/>
    </xf>
    <xf numFmtId="0" fontId="38" fillId="0" borderId="0" applyFill="0" applyBorder="0" applyProtection="0">
      <alignment horizontal="centerContinuous" vertical="center"/>
    </xf>
    <xf numFmtId="0" fontId="39" fillId="17" borderId="0" applyFill="0" applyBorder="0" applyProtection="0">
      <alignment horizontal="center" vertical="center"/>
    </xf>
    <xf numFmtId="238" fontId="69" fillId="0" borderId="0" applyFill="0" applyBorder="0">
      <alignment horizontal="centerContinuous"/>
    </xf>
    <xf numFmtId="181" fontId="5" fillId="0" borderId="8">
      <protection locked="0"/>
    </xf>
    <xf numFmtId="198" fontId="72" fillId="0" borderId="8">
      <protection locked="0"/>
    </xf>
    <xf numFmtId="220" fontId="5" fillId="0" borderId="8">
      <protection locked="0"/>
    </xf>
    <xf numFmtId="0" fontId="21" fillId="0" borderId="2">
      <alignment horizontal="left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5" fillId="24" borderId="9" applyNumberFormat="0" applyAlignment="0" applyProtection="0">
      <alignment vertical="center"/>
    </xf>
    <xf numFmtId="192" fontId="19" fillId="0" borderId="0">
      <protection locked="0"/>
    </xf>
    <xf numFmtId="204" fontId="5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56" fillId="3" borderId="0" applyNumberFormat="0" applyBorder="0" applyAlignment="0" applyProtection="0">
      <alignment vertical="center"/>
    </xf>
    <xf numFmtId="0" fontId="14" fillId="0" borderId="0">
      <protection locked="0"/>
    </xf>
    <xf numFmtId="3" fontId="68" fillId="0" borderId="10">
      <alignment horizontal="center"/>
    </xf>
    <xf numFmtId="0" fontId="14" fillId="0" borderId="0"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40" fontId="70" fillId="0" borderId="0" applyFont="0" applyFill="0" applyBorder="0" applyAlignment="0" applyProtection="0"/>
    <xf numFmtId="38" fontId="70" fillId="0" borderId="0" applyFont="0" applyFill="0" applyBorder="0" applyAlignment="0" applyProtection="0"/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" fillId="25" borderId="11" applyNumberFormat="0" applyFont="0" applyAlignment="0" applyProtection="0">
      <alignment vertical="center"/>
    </xf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98" fontId="79" fillId="0" borderId="0">
      <protection locked="0"/>
    </xf>
    <xf numFmtId="9" fontId="31" fillId="17" borderId="0" applyFill="0" applyBorder="0" applyProtection="0">
      <alignment horizontal="right"/>
    </xf>
    <xf numFmtId="10" fontId="31" fillId="0" borderId="0" applyFill="0" applyBorder="0" applyProtection="0">
      <alignment horizontal="right"/>
    </xf>
    <xf numFmtId="9" fontId="12" fillId="0" borderId="0" applyFont="0" applyFill="0" applyBorder="0" applyAlignment="0" applyProtection="0"/>
    <xf numFmtId="0" fontId="57" fillId="26" borderId="0" applyNumberFormat="0" applyBorder="0" applyAlignment="0" applyProtection="0">
      <alignment vertical="center"/>
    </xf>
    <xf numFmtId="0" fontId="96" fillId="0" borderId="0"/>
    <xf numFmtId="0" fontId="10" fillId="0" borderId="0" applyNumberFormat="0" applyFont="0" applyFill="0" applyBorder="0" applyProtection="0">
      <alignment horizontal="centerContinuous" vertical="center"/>
    </xf>
    <xf numFmtId="0" fontId="11" fillId="0" borderId="0" applyNumberFormat="0" applyFont="0" applyFill="0" applyBorder="0" applyProtection="0">
      <alignment horizontal="centerContinuous" vertical="center"/>
    </xf>
    <xf numFmtId="0" fontId="10" fillId="0" borderId="0" applyNumberFormat="0" applyFont="0" applyFill="0" applyBorder="0" applyProtection="0">
      <alignment horizontal="centerContinuous" vertical="center"/>
    </xf>
    <xf numFmtId="178" fontId="10" fillId="0" borderId="0" applyNumberFormat="0" applyFont="0" applyFill="0" applyBorder="0" applyProtection="0">
      <alignment horizontal="centerContinuous"/>
    </xf>
    <xf numFmtId="0" fontId="10" fillId="0" borderId="0" applyNumberFormat="0" applyFont="0" applyFill="0" applyBorder="0" applyProtection="0">
      <alignment horizontal="centerContinuous" vertical="center"/>
    </xf>
    <xf numFmtId="178" fontId="10" fillId="0" borderId="0" applyNumberFormat="0" applyFont="0" applyFill="0" applyBorder="0" applyProtection="0">
      <alignment horizontal="centerContinuous" vertical="center"/>
    </xf>
    <xf numFmtId="0" fontId="58" fillId="0" borderId="0" applyNumberFormat="0" applyFill="0" applyBorder="0" applyAlignment="0" applyProtection="0">
      <alignment vertical="center"/>
    </xf>
    <xf numFmtId="0" fontId="59" fillId="27" borderId="12" applyNumberFormat="0" applyAlignment="0" applyProtection="0">
      <alignment vertical="center"/>
    </xf>
    <xf numFmtId="178" fontId="11" fillId="0" borderId="13" applyFont="0" applyFill="0" applyBorder="0" applyAlignment="0" applyProtection="0">
      <alignment vertical="center"/>
    </xf>
    <xf numFmtId="176" fontId="11" fillId="0" borderId="13" applyFont="0" applyFill="0" applyBorder="0" applyAlignment="0" applyProtection="0">
      <alignment vertical="center"/>
    </xf>
    <xf numFmtId="0" fontId="26" fillId="0" borderId="0"/>
    <xf numFmtId="1" fontId="10" fillId="0" borderId="0" applyFont="0" applyFill="0" applyBorder="0" applyProtection="0">
      <alignment horizontal="centerContinuous" vertical="center"/>
    </xf>
    <xf numFmtId="195" fontId="2" fillId="0" borderId="0">
      <alignment vertical="center"/>
    </xf>
    <xf numFmtId="203" fontId="53" fillId="0" borderId="0">
      <alignment vertical="center"/>
    </xf>
    <xf numFmtId="1" fontId="10" fillId="0" borderId="0" applyFont="0" applyFill="0" applyBorder="0" applyProtection="0">
      <alignment horizontal="centerContinuous" vertical="center"/>
    </xf>
    <xf numFmtId="0" fontId="10" fillId="0" borderId="0" applyFont="0" applyFill="0" applyBorder="0" applyProtection="0">
      <alignment horizontal="centerContinuous" vertical="center"/>
    </xf>
    <xf numFmtId="182" fontId="10" fillId="0" borderId="0" applyFont="0" applyFill="0" applyBorder="0" applyProtection="0">
      <alignment horizontal="centerContinuous" vertical="center"/>
    </xf>
    <xf numFmtId="184" fontId="10" fillId="0" borderId="14" applyFont="0" applyFill="0" applyBorder="0" applyProtection="0">
      <alignment horizontal="right" vertical="center"/>
      <protection locked="0"/>
    </xf>
    <xf numFmtId="184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7" fillId="0" borderId="15"/>
    <xf numFmtId="0" fontId="60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222" fontId="77" fillId="0" borderId="0" applyFill="0" applyBorder="0">
      <alignment horizontal="centerContinuous"/>
    </xf>
    <xf numFmtId="223" fontId="77" fillId="0" borderId="0" applyFill="0" applyBorder="0">
      <alignment horizontal="centerContinuous"/>
    </xf>
    <xf numFmtId="0" fontId="46" fillId="0" borderId="0">
      <alignment vertical="center"/>
    </xf>
    <xf numFmtId="0" fontId="10" fillId="0" borderId="0" applyNumberFormat="0" applyFont="0" applyFill="0" applyBorder="0" applyProtection="0">
      <alignment vertical="center"/>
    </xf>
    <xf numFmtId="0" fontId="11" fillId="0" borderId="0" applyNumberFormat="0" applyFont="0" applyFill="0" applyBorder="0" applyProtection="0">
      <alignment vertical="center"/>
    </xf>
    <xf numFmtId="0" fontId="61" fillId="7" borderId="9" applyNumberFormat="0" applyAlignment="0" applyProtection="0">
      <alignment vertical="center"/>
    </xf>
    <xf numFmtId="4" fontId="14" fillId="0" borderId="0">
      <protection locked="0"/>
    </xf>
    <xf numFmtId="193" fontId="19" fillId="0" borderId="0">
      <protection locked="0"/>
    </xf>
    <xf numFmtId="205" fontId="5" fillId="0" borderId="0">
      <protection locked="0"/>
    </xf>
    <xf numFmtId="224" fontId="69" fillId="0" borderId="0" applyFill="0" applyBorder="0">
      <alignment horizontal="centerContinuous"/>
    </xf>
    <xf numFmtId="0" fontId="62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49" fontId="7" fillId="0" borderId="5">
      <alignment horizontal="center" vertical="center"/>
    </xf>
    <xf numFmtId="0" fontId="65" fillId="4" borderId="0" applyNumberFormat="0" applyBorder="0" applyAlignment="0" applyProtection="0">
      <alignment vertical="center"/>
    </xf>
    <xf numFmtId="225" fontId="77" fillId="0" borderId="0" applyFill="0" applyBorder="0">
      <alignment horizontal="centerContinuous"/>
    </xf>
    <xf numFmtId="226" fontId="77" fillId="0" borderId="0" applyFill="0" applyBorder="0">
      <alignment horizontal="centerContinuous"/>
    </xf>
    <xf numFmtId="0" fontId="5" fillId="0" borderId="0"/>
    <xf numFmtId="0" fontId="66" fillId="24" borderId="21" applyNumberFormat="0" applyAlignment="0" applyProtection="0">
      <alignment vertical="center"/>
    </xf>
    <xf numFmtId="198" fontId="79" fillId="0" borderId="0">
      <protection locked="0"/>
    </xf>
    <xf numFmtId="198" fontId="79" fillId="0" borderId="0">
      <protection locked="0"/>
    </xf>
    <xf numFmtId="209" fontId="5" fillId="0" borderId="22">
      <alignment horizontal="center" vertical="center"/>
    </xf>
    <xf numFmtId="0" fontId="5" fillId="0" borderId="0" applyFont="0" applyFill="0" applyBorder="0" applyAlignment="0" applyProtection="0"/>
    <xf numFmtId="216" fontId="5" fillId="0" borderId="0" applyNumberFormat="0" applyFont="0" applyFill="0" applyBorder="0" applyProtection="0">
      <alignment vertical="center"/>
    </xf>
    <xf numFmtId="209" fontId="12" fillId="0" borderId="23">
      <alignment vertical="center"/>
    </xf>
    <xf numFmtId="211" fontId="2" fillId="0" borderId="6"/>
    <xf numFmtId="199" fontId="5" fillId="17" borderId="0" applyFill="0" applyBorder="0" applyProtection="0">
      <alignment horizontal="right"/>
    </xf>
    <xf numFmtId="227" fontId="31" fillId="17" borderId="0" applyFill="0" applyBorder="0" applyProtection="0">
      <alignment horizontal="right"/>
    </xf>
    <xf numFmtId="228" fontId="12" fillId="0" borderId="0" applyFont="0" applyFill="0" applyBorder="0" applyAlignment="0" applyProtection="0"/>
    <xf numFmtId="229" fontId="12" fillId="0" borderId="0" applyFont="0" applyFill="0" applyBorder="0" applyAlignment="0" applyProtection="0"/>
    <xf numFmtId="221" fontId="81" fillId="0" borderId="6">
      <alignment vertical="center"/>
    </xf>
    <xf numFmtId="230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1" fillId="0" borderId="0">
      <alignment horizontal="centerContinuous" vertical="center"/>
    </xf>
    <xf numFmtId="2" fontId="82" fillId="0" borderId="14" applyNumberFormat="0" applyFont="0" applyFill="0" applyAlignment="0" applyProtection="0">
      <alignment vertical="center"/>
    </xf>
    <xf numFmtId="198" fontId="79" fillId="0" borderId="0">
      <protection locked="0"/>
    </xf>
    <xf numFmtId="198" fontId="79" fillId="0" borderId="0">
      <protection locked="0"/>
    </xf>
    <xf numFmtId="0" fontId="5" fillId="0" borderId="0" applyFont="0" applyFill="0" applyBorder="0" applyAlignment="0" applyProtection="0"/>
    <xf numFmtId="191" fontId="19" fillId="0" borderId="0">
      <protection locked="0"/>
    </xf>
    <xf numFmtId="208" fontId="5" fillId="0" borderId="0">
      <protection locked="0"/>
    </xf>
    <xf numFmtId="0" fontId="1" fillId="0" borderId="0"/>
    <xf numFmtId="198" fontId="79" fillId="0" borderId="0">
      <protection locked="0"/>
    </xf>
    <xf numFmtId="198" fontId="79" fillId="0" borderId="0">
      <protection locked="0"/>
    </xf>
    <xf numFmtId="198" fontId="79" fillId="0" borderId="0">
      <protection locked="0"/>
    </xf>
    <xf numFmtId="198" fontId="79" fillId="0" borderId="0">
      <protection locked="0"/>
    </xf>
    <xf numFmtId="0" fontId="2" fillId="0" borderId="0"/>
    <xf numFmtId="0" fontId="1" fillId="0" borderId="0"/>
    <xf numFmtId="0" fontId="20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5" fillId="0" borderId="0"/>
    <xf numFmtId="0" fontId="12" fillId="0" borderId="0"/>
    <xf numFmtId="0" fontId="12" fillId="0" borderId="0" applyProtection="0"/>
    <xf numFmtId="0" fontId="14" fillId="0" borderId="24">
      <protection locked="0"/>
    </xf>
    <xf numFmtId="190" fontId="19" fillId="0" borderId="0">
      <protection locked="0"/>
    </xf>
    <xf numFmtId="207" fontId="5" fillId="0" borderId="0">
      <protection locked="0"/>
    </xf>
    <xf numFmtId="194" fontId="19" fillId="0" borderId="0">
      <protection locked="0"/>
    </xf>
    <xf numFmtId="206" fontId="5" fillId="0" borderId="0">
      <protection locked="0"/>
    </xf>
  </cellStyleXfs>
  <cellXfs count="654">
    <xf numFmtId="0" fontId="0" fillId="0" borderId="0" xfId="0"/>
    <xf numFmtId="0" fontId="9" fillId="28" borderId="6" xfId="0" applyFont="1" applyFill="1" applyBorder="1" applyAlignment="1">
      <alignment horizontal="center" vertical="center"/>
    </xf>
    <xf numFmtId="0" fontId="40" fillId="0" borderId="0" xfId="3059" applyFont="1" applyAlignment="1">
      <alignment horizontal="left" vertical="center"/>
    </xf>
    <xf numFmtId="0" fontId="31" fillId="0" borderId="0" xfId="3059" applyFont="1">
      <alignment vertical="center"/>
    </xf>
    <xf numFmtId="0" fontId="39" fillId="0" borderId="0" xfId="3057" applyFont="1"/>
    <xf numFmtId="0" fontId="12" fillId="29" borderId="25" xfId="3066" applyFont="1" applyFill="1" applyBorder="1" applyAlignment="1">
      <alignment horizontal="center" vertical="center"/>
    </xf>
    <xf numFmtId="0" fontId="12" fillId="29" borderId="6" xfId="3066" applyFont="1" applyFill="1" applyBorder="1" applyAlignment="1">
      <alignment horizontal="center" vertical="center"/>
    </xf>
    <xf numFmtId="0" fontId="45" fillId="0" borderId="26" xfId="0" applyFont="1" applyBorder="1"/>
    <xf numFmtId="178" fontId="45" fillId="30" borderId="26" xfId="0" applyNumberFormat="1" applyFont="1" applyFill="1" applyBorder="1" applyAlignment="1">
      <alignment horizontal="center" vertical="center"/>
    </xf>
    <xf numFmtId="176" fontId="45" fillId="0" borderId="0" xfId="0" applyNumberFormat="1" applyFont="1" applyBorder="1" applyAlignment="1">
      <alignment horizontal="center" vertical="center"/>
    </xf>
    <xf numFmtId="0" fontId="45" fillId="30" borderId="0" xfId="0" applyFont="1" applyFill="1"/>
    <xf numFmtId="0" fontId="45" fillId="31" borderId="0" xfId="0" applyFont="1" applyFill="1"/>
    <xf numFmtId="177" fontId="45" fillId="0" borderId="0" xfId="0" applyNumberFormat="1" applyFont="1" applyAlignment="1">
      <alignment horizontal="center" vertical="center"/>
    </xf>
    <xf numFmtId="0" fontId="45" fillId="0" borderId="0" xfId="0" applyFont="1" applyAlignment="1"/>
    <xf numFmtId="187" fontId="12" fillId="0" borderId="0" xfId="3062" applyNumberFormat="1" applyFont="1" applyFill="1"/>
    <xf numFmtId="0" fontId="49" fillId="0" borderId="27" xfId="3064" applyFont="1" applyFill="1" applyBorder="1" applyAlignment="1">
      <alignment vertical="center"/>
    </xf>
    <xf numFmtId="182" fontId="49" fillId="0" borderId="25" xfId="3064" applyNumberFormat="1" applyFont="1" applyFill="1" applyBorder="1" applyAlignment="1">
      <alignment horizontal="center" vertical="center"/>
    </xf>
    <xf numFmtId="0" fontId="12" fillId="32" borderId="0" xfId="3064" applyFont="1" applyFill="1" applyAlignment="1">
      <alignment vertical="center"/>
    </xf>
    <xf numFmtId="0" fontId="12" fillId="28" borderId="6" xfId="3065" applyFont="1" applyFill="1" applyBorder="1" applyAlignment="1">
      <alignment horizontal="center" vertical="center"/>
    </xf>
    <xf numFmtId="0" fontId="12" fillId="28" borderId="28" xfId="3065" applyFont="1" applyFill="1" applyBorder="1" applyAlignment="1">
      <alignment horizontal="center" vertical="center"/>
    </xf>
    <xf numFmtId="182" fontId="12" fillId="28" borderId="6" xfId="3065" applyNumberFormat="1" applyFont="1" applyFill="1" applyBorder="1" applyAlignment="1">
      <alignment horizontal="center" vertical="center"/>
    </xf>
    <xf numFmtId="0" fontId="31" fillId="32" borderId="0" xfId="3064" applyFont="1" applyFill="1" applyAlignment="1">
      <alignment horizontal="center" vertical="center"/>
    </xf>
    <xf numFmtId="0" fontId="12" fillId="0" borderId="25" xfId="3064" applyFont="1" applyBorder="1" applyAlignment="1">
      <alignment horizontal="centerContinuous" vertical="center"/>
    </xf>
    <xf numFmtId="0" fontId="12" fillId="0" borderId="25" xfId="3064" applyFont="1" applyBorder="1" applyAlignment="1">
      <alignment horizontal="center" vertical="center"/>
    </xf>
    <xf numFmtId="0" fontId="12" fillId="0" borderId="27" xfId="3064" applyFont="1" applyBorder="1" applyAlignment="1">
      <alignment horizontal="center" vertical="center"/>
    </xf>
    <xf numFmtId="0" fontId="12" fillId="0" borderId="29" xfId="3064" applyFont="1" applyBorder="1" applyAlignment="1">
      <alignment horizontal="center" vertical="center"/>
    </xf>
    <xf numFmtId="182" fontId="11" fillId="0" borderId="2" xfId="3058" applyNumberFormat="1" applyFont="1" applyBorder="1">
      <alignment vertical="center"/>
    </xf>
    <xf numFmtId="0" fontId="11" fillId="29" borderId="30" xfId="3058" applyFont="1" applyFill="1" applyBorder="1">
      <alignment vertical="center"/>
    </xf>
    <xf numFmtId="0" fontId="11" fillId="0" borderId="30" xfId="3058" applyFont="1" applyFill="1" applyBorder="1">
      <alignment vertical="center"/>
    </xf>
    <xf numFmtId="1" fontId="44" fillId="28" borderId="31" xfId="3058" applyNumberFormat="1" applyFont="1" applyFill="1" applyBorder="1" applyAlignment="1">
      <alignment horizontal="center" vertical="center"/>
    </xf>
    <xf numFmtId="1" fontId="44" fillId="28" borderId="32" xfId="3058" applyNumberFormat="1" applyFont="1" applyFill="1" applyBorder="1" applyAlignment="1">
      <alignment horizontal="center" vertical="center"/>
    </xf>
    <xf numFmtId="1" fontId="44" fillId="28" borderId="33" xfId="3058" applyNumberFormat="1" applyFont="1" applyFill="1" applyBorder="1" applyAlignment="1">
      <alignment horizontal="center" vertical="center"/>
    </xf>
    <xf numFmtId="0" fontId="44" fillId="28" borderId="34" xfId="3058" applyFont="1" applyFill="1" applyBorder="1" applyAlignment="1">
      <alignment horizontal="center" vertical="center"/>
    </xf>
    <xf numFmtId="0" fontId="44" fillId="0" borderId="0" xfId="3058" applyFont="1" applyAlignment="1">
      <alignment horizontal="center" vertical="center"/>
    </xf>
    <xf numFmtId="1" fontId="11" fillId="0" borderId="23" xfId="3058" applyNumberFormat="1" applyFont="1" applyFill="1" applyBorder="1">
      <alignment vertical="center"/>
    </xf>
    <xf numFmtId="0" fontId="11" fillId="0" borderId="30" xfId="3058" applyFont="1" applyBorder="1">
      <alignment vertical="center"/>
    </xf>
    <xf numFmtId="1" fontId="11" fillId="0" borderId="14" xfId="3058" applyNumberFormat="1" applyFont="1" applyBorder="1">
      <alignment vertical="center"/>
    </xf>
    <xf numFmtId="1" fontId="11" fillId="0" borderId="13" xfId="3058" applyNumberFormat="1" applyFont="1" applyBorder="1" applyAlignment="1">
      <alignment horizontal="center" vertical="center"/>
    </xf>
    <xf numFmtId="0" fontId="11" fillId="0" borderId="0" xfId="3058" applyFont="1">
      <alignment vertical="center"/>
    </xf>
    <xf numFmtId="1" fontId="11" fillId="0" borderId="35" xfId="3058" applyNumberFormat="1" applyFont="1" applyFill="1" applyBorder="1">
      <alignment vertical="center"/>
    </xf>
    <xf numFmtId="1" fontId="11" fillId="0" borderId="0" xfId="3058" applyNumberFormat="1" applyFont="1">
      <alignment vertical="center"/>
    </xf>
    <xf numFmtId="0" fontId="12" fillId="0" borderId="0" xfId="3062" applyFont="1" applyAlignment="1">
      <alignment horizontal="center" vertical="center"/>
    </xf>
    <xf numFmtId="0" fontId="12" fillId="0" borderId="0" xfId="3064" applyFont="1" applyAlignment="1">
      <alignment horizontal="center" vertical="center"/>
    </xf>
    <xf numFmtId="176" fontId="12" fillId="0" borderId="0" xfId="3064" applyNumberFormat="1" applyFont="1" applyAlignment="1">
      <alignment horizontal="center" vertical="center"/>
    </xf>
    <xf numFmtId="0" fontId="31" fillId="0" borderId="0" xfId="3064" applyFont="1" applyAlignment="1">
      <alignment horizontal="center" vertical="center"/>
    </xf>
    <xf numFmtId="0" fontId="12" fillId="0" borderId="36" xfId="3064" applyFont="1" applyBorder="1" applyAlignment="1">
      <alignment horizontal="center" vertical="center"/>
    </xf>
    <xf numFmtId="0" fontId="12" fillId="0" borderId="37" xfId="3064" applyFont="1" applyBorder="1" applyAlignment="1">
      <alignment horizontal="center" vertical="center"/>
    </xf>
    <xf numFmtId="176" fontId="12" fillId="0" borderId="37" xfId="3064" applyNumberFormat="1" applyFont="1" applyBorder="1" applyAlignment="1">
      <alignment horizontal="center" vertical="center"/>
    </xf>
    <xf numFmtId="0" fontId="12" fillId="0" borderId="3" xfId="3064" applyFont="1" applyBorder="1" applyAlignment="1">
      <alignment horizontal="center" vertical="center"/>
    </xf>
    <xf numFmtId="176" fontId="31" fillId="0" borderId="0" xfId="3064" applyNumberFormat="1" applyFont="1" applyAlignment="1">
      <alignment horizontal="center" vertical="center"/>
    </xf>
    <xf numFmtId="0" fontId="12" fillId="0" borderId="0" xfId="3064" applyFont="1" applyBorder="1" applyAlignment="1">
      <alignment horizontal="center" vertical="center"/>
    </xf>
    <xf numFmtId="0" fontId="12" fillId="0" borderId="23" xfId="3064" applyFont="1" applyBorder="1" applyAlignment="1">
      <alignment horizontal="center" vertical="center"/>
    </xf>
    <xf numFmtId="0" fontId="12" fillId="0" borderId="38" xfId="3064" applyFont="1" applyBorder="1" applyAlignment="1">
      <alignment horizontal="center" vertical="center"/>
    </xf>
    <xf numFmtId="0" fontId="12" fillId="0" borderId="39" xfId="3064" applyFont="1" applyBorder="1" applyAlignment="1">
      <alignment horizontal="center" vertical="center"/>
    </xf>
    <xf numFmtId="0" fontId="12" fillId="0" borderId="40" xfId="3064" applyFont="1" applyBorder="1" applyAlignment="1">
      <alignment horizontal="center" vertical="center"/>
    </xf>
    <xf numFmtId="176" fontId="12" fillId="0" borderId="40" xfId="3064" applyNumberFormat="1" applyFont="1" applyBorder="1" applyAlignment="1">
      <alignment horizontal="center" vertical="center"/>
    </xf>
    <xf numFmtId="0" fontId="12" fillId="0" borderId="40" xfId="3064" applyFont="1" applyFill="1" applyBorder="1" applyAlignment="1">
      <alignment horizontal="center" vertical="center"/>
    </xf>
    <xf numFmtId="202" fontId="12" fillId="0" borderId="41" xfId="2444" applyNumberFormat="1" applyFont="1" applyFill="1" applyBorder="1" applyAlignment="1">
      <alignment horizontal="center" vertical="center"/>
    </xf>
    <xf numFmtId="0" fontId="12" fillId="0" borderId="41" xfId="3064" applyFont="1" applyFill="1" applyBorder="1" applyAlignment="1">
      <alignment horizontal="center" vertical="center"/>
    </xf>
    <xf numFmtId="0" fontId="31" fillId="0" borderId="0" xfId="3064" applyFont="1" applyFill="1" applyAlignment="1">
      <alignment horizontal="center" vertical="center"/>
    </xf>
    <xf numFmtId="178" fontId="12" fillId="0" borderId="42" xfId="3064" applyNumberFormat="1" applyFont="1" applyBorder="1" applyAlignment="1">
      <alignment horizontal="center" vertical="center"/>
    </xf>
    <xf numFmtId="178" fontId="12" fillId="0" borderId="43" xfId="3064" applyNumberFormat="1" applyFont="1" applyBorder="1" applyAlignment="1">
      <alignment horizontal="center" vertical="center"/>
    </xf>
    <xf numFmtId="0" fontId="12" fillId="0" borderId="44" xfId="3064" applyFont="1" applyBorder="1" applyAlignment="1">
      <alignment horizontal="center" vertical="center"/>
    </xf>
    <xf numFmtId="178" fontId="12" fillId="0" borderId="45" xfId="3064" applyNumberFormat="1" applyFont="1" applyBorder="1" applyAlignment="1">
      <alignment horizontal="center" vertical="center"/>
    </xf>
    <xf numFmtId="0" fontId="12" fillId="0" borderId="6" xfId="3064" applyFont="1" applyBorder="1" applyAlignment="1">
      <alignment horizontal="center" vertical="center"/>
    </xf>
    <xf numFmtId="178" fontId="12" fillId="0" borderId="29" xfId="3064" applyNumberFormat="1" applyFont="1" applyBorder="1" applyAlignment="1">
      <alignment horizontal="center" vertical="center"/>
    </xf>
    <xf numFmtId="0" fontId="12" fillId="0" borderId="42" xfId="3064" applyFont="1" applyBorder="1" applyAlignment="1">
      <alignment horizontal="center" vertical="center"/>
    </xf>
    <xf numFmtId="0" fontId="12" fillId="0" borderId="43" xfId="3064" applyFont="1" applyBorder="1" applyAlignment="1">
      <alignment horizontal="center" vertical="center"/>
    </xf>
    <xf numFmtId="0" fontId="12" fillId="0" borderId="45" xfId="3064" applyFont="1" applyBorder="1" applyAlignment="1">
      <alignment horizontal="center" vertical="center"/>
    </xf>
    <xf numFmtId="0" fontId="12" fillId="0" borderId="27" xfId="3064" applyFont="1" applyBorder="1" applyAlignment="1">
      <alignment horizontal="centerContinuous" vertical="center"/>
    </xf>
    <xf numFmtId="0" fontId="31" fillId="33" borderId="0" xfId="3064" applyFont="1" applyFill="1" applyAlignment="1">
      <alignment horizontal="center" vertical="center"/>
    </xf>
    <xf numFmtId="0" fontId="12" fillId="33" borderId="0" xfId="3062" applyFont="1" applyFill="1" applyAlignment="1">
      <alignment horizontal="center"/>
    </xf>
    <xf numFmtId="0" fontId="31" fillId="0" borderId="0" xfId="3062" applyFont="1"/>
    <xf numFmtId="176" fontId="31" fillId="0" borderId="0" xfId="3062" applyNumberFormat="1" applyFont="1"/>
    <xf numFmtId="0" fontId="12" fillId="0" borderId="0" xfId="3064" applyFont="1" applyFill="1" applyAlignment="1">
      <alignment horizontal="center" vertical="center"/>
    </xf>
    <xf numFmtId="0" fontId="12" fillId="0" borderId="0" xfId="3064" applyFont="1" applyFill="1" applyAlignment="1">
      <alignment horizontal="right"/>
    </xf>
    <xf numFmtId="0" fontId="12" fillId="0" borderId="0" xfId="3064" applyFont="1" applyFill="1"/>
    <xf numFmtId="0" fontId="12" fillId="0" borderId="0" xfId="3064" quotePrefix="1" applyFont="1" applyFill="1" applyAlignment="1">
      <alignment horizontal="center"/>
    </xf>
    <xf numFmtId="0" fontId="12" fillId="0" borderId="0" xfId="3064" quotePrefix="1" applyFont="1" applyFill="1" applyAlignment="1">
      <alignment horizontal="centerContinuous" vertical="center"/>
    </xf>
    <xf numFmtId="0" fontId="12" fillId="0" borderId="0" xfId="3064" applyFont="1" applyFill="1" applyAlignment="1">
      <alignment vertical="center"/>
    </xf>
    <xf numFmtId="0" fontId="12" fillId="0" borderId="6" xfId="3064" applyFont="1" applyFill="1" applyBorder="1" applyAlignment="1">
      <alignment horizontal="center" vertical="center"/>
    </xf>
    <xf numFmtId="0" fontId="46" fillId="0" borderId="6" xfId="3064" applyFont="1" applyFill="1" applyBorder="1" applyAlignment="1">
      <alignment horizontal="center" vertical="center"/>
    </xf>
    <xf numFmtId="182" fontId="47" fillId="0" borderId="6" xfId="3064" applyNumberFormat="1" applyFont="1" applyFill="1" applyBorder="1" applyAlignment="1">
      <alignment vertical="center"/>
    </xf>
    <xf numFmtId="182" fontId="47" fillId="0" borderId="27" xfId="3064" applyNumberFormat="1" applyFont="1" applyFill="1" applyBorder="1" applyAlignment="1">
      <alignment vertical="center"/>
    </xf>
    <xf numFmtId="182" fontId="47" fillId="0" borderId="25" xfId="3064" applyNumberFormat="1" applyFont="1" applyFill="1" applyBorder="1" applyAlignment="1">
      <alignment vertical="center"/>
    </xf>
    <xf numFmtId="0" fontId="48" fillId="0" borderId="6" xfId="3064" applyFont="1" applyFill="1" applyBorder="1" applyAlignment="1">
      <alignment horizontal="center" vertical="center"/>
    </xf>
    <xf numFmtId="176" fontId="46" fillId="0" borderId="6" xfId="3064" applyNumberFormat="1" applyFont="1" applyFill="1" applyBorder="1" applyAlignment="1">
      <alignment horizontal="center" vertical="center"/>
    </xf>
    <xf numFmtId="0" fontId="11" fillId="0" borderId="6" xfId="3064" applyFont="1" applyFill="1" applyBorder="1" applyAlignment="1">
      <alignment horizontal="center" vertical="center"/>
    </xf>
    <xf numFmtId="0" fontId="49" fillId="0" borderId="6" xfId="3064" applyFont="1" applyFill="1" applyBorder="1" applyAlignment="1">
      <alignment horizontal="center" vertical="center"/>
    </xf>
    <xf numFmtId="0" fontId="49" fillId="0" borderId="0" xfId="3064" applyFont="1" applyFill="1" applyAlignment="1">
      <alignment vertical="center"/>
    </xf>
    <xf numFmtId="0" fontId="12" fillId="0" borderId="0" xfId="3062" applyFont="1" applyFill="1"/>
    <xf numFmtId="0" fontId="31" fillId="0" borderId="0" xfId="3062" applyFont="1" applyFill="1"/>
    <xf numFmtId="0" fontId="12" fillId="0" borderId="0" xfId="3064" applyFont="1" applyAlignment="1">
      <alignment vertical="center"/>
    </xf>
    <xf numFmtId="0" fontId="12" fillId="0" borderId="0" xfId="3064" applyFont="1" applyAlignment="1"/>
    <xf numFmtId="0" fontId="12" fillId="0" borderId="0" xfId="3064" applyFont="1"/>
    <xf numFmtId="176" fontId="12" fillId="0" borderId="0" xfId="3064" applyNumberFormat="1" applyFont="1"/>
    <xf numFmtId="176" fontId="12" fillId="0" borderId="0" xfId="3064" applyNumberFormat="1" applyFont="1" applyAlignment="1">
      <alignment horizontal="right" vertical="center"/>
    </xf>
    <xf numFmtId="0" fontId="31" fillId="0" borderId="0" xfId="3064" applyFont="1"/>
    <xf numFmtId="0" fontId="28" fillId="28" borderId="46" xfId="3064" applyFont="1" applyFill="1" applyBorder="1" applyAlignment="1">
      <alignment horizontal="center" vertical="center"/>
    </xf>
    <xf numFmtId="0" fontId="28" fillId="28" borderId="47" xfId="3064" applyFont="1" applyFill="1" applyBorder="1" applyAlignment="1">
      <alignment horizontal="center" vertical="center"/>
    </xf>
    <xf numFmtId="0" fontId="28" fillId="28" borderId="41" xfId="3064" applyFont="1" applyFill="1" applyBorder="1" applyAlignment="1">
      <alignment horizontal="center" vertical="center"/>
    </xf>
    <xf numFmtId="176" fontId="28" fillId="28" borderId="41" xfId="3064" applyNumberFormat="1" applyFont="1" applyFill="1" applyBorder="1"/>
    <xf numFmtId="176" fontId="28" fillId="28" borderId="47" xfId="3064" applyNumberFormat="1" applyFont="1" applyFill="1" applyBorder="1" applyAlignment="1">
      <alignment horizontal="centerContinuous"/>
    </xf>
    <xf numFmtId="0" fontId="28" fillId="28" borderId="47" xfId="3064" applyFont="1" applyFill="1" applyBorder="1" applyAlignment="1">
      <alignment horizontal="centerContinuous"/>
    </xf>
    <xf numFmtId="176" fontId="28" fillId="28" borderId="48" xfId="3064" applyNumberFormat="1" applyFont="1" applyFill="1" applyBorder="1"/>
    <xf numFmtId="0" fontId="28" fillId="28" borderId="41" xfId="3064" applyFont="1" applyFill="1" applyBorder="1"/>
    <xf numFmtId="0" fontId="28" fillId="28" borderId="26" xfId="3064" applyFont="1" applyFill="1" applyBorder="1" applyAlignment="1">
      <alignment horizontal="center" vertical="center"/>
    </xf>
    <xf numFmtId="0" fontId="28" fillId="28" borderId="0" xfId="3064" applyFont="1" applyFill="1" applyBorder="1" applyAlignment="1">
      <alignment horizontal="center" vertical="center"/>
    </xf>
    <xf numFmtId="0" fontId="28" fillId="28" borderId="40" xfId="3064" applyFont="1" applyFill="1" applyBorder="1"/>
    <xf numFmtId="176" fontId="28" fillId="28" borderId="40" xfId="3064" applyNumberFormat="1" applyFont="1" applyFill="1" applyBorder="1" applyAlignment="1">
      <alignment horizontal="center" vertical="center"/>
    </xf>
    <xf numFmtId="176" fontId="28" fillId="28" borderId="0" xfId="3064" applyNumberFormat="1" applyFont="1" applyFill="1" applyBorder="1" applyAlignment="1">
      <alignment horizontal="centerContinuous" vertical="center"/>
    </xf>
    <xf numFmtId="0" fontId="28" fillId="28" borderId="0" xfId="3064" applyFont="1" applyFill="1" applyBorder="1" applyAlignment="1">
      <alignment horizontal="centerContinuous"/>
    </xf>
    <xf numFmtId="176" fontId="28" fillId="28" borderId="0" xfId="3064" applyNumberFormat="1" applyFont="1" applyFill="1" applyBorder="1" applyAlignment="1">
      <alignment horizontal="centerContinuous" vertical="top"/>
    </xf>
    <xf numFmtId="176" fontId="28" fillId="28" borderId="0" xfId="3064" applyNumberFormat="1" applyFont="1" applyFill="1" applyBorder="1" applyAlignment="1">
      <alignment horizontal="centerContinuous"/>
    </xf>
    <xf numFmtId="0" fontId="28" fillId="28" borderId="0" xfId="3064" applyFont="1" applyFill="1" applyAlignment="1">
      <alignment horizontal="centerContinuous"/>
    </xf>
    <xf numFmtId="176" fontId="28" fillId="28" borderId="29" xfId="3064" applyNumberFormat="1" applyFont="1" applyFill="1" applyBorder="1" applyAlignment="1">
      <alignment horizontal="center" vertical="center"/>
    </xf>
    <xf numFmtId="0" fontId="28" fillId="28" borderId="40" xfId="3064" applyFont="1" applyFill="1" applyBorder="1" applyAlignment="1">
      <alignment horizontal="center" vertical="center"/>
    </xf>
    <xf numFmtId="0" fontId="28" fillId="28" borderId="49" xfId="3064" applyFont="1" applyFill="1" applyBorder="1" applyAlignment="1">
      <alignment horizontal="center" vertical="center"/>
    </xf>
    <xf numFmtId="0" fontId="28" fillId="28" borderId="50" xfId="3064" applyFont="1" applyFill="1" applyBorder="1" applyAlignment="1">
      <alignment horizontal="center" vertical="center"/>
    </xf>
    <xf numFmtId="0" fontId="28" fillId="28" borderId="44" xfId="3064" applyFont="1" applyFill="1" applyBorder="1" applyAlignment="1">
      <alignment horizontal="center" vertical="center"/>
    </xf>
    <xf numFmtId="176" fontId="28" fillId="28" borderId="44" xfId="3064" applyNumberFormat="1" applyFont="1" applyFill="1" applyBorder="1" applyAlignment="1">
      <alignment horizontal="center" vertical="top"/>
    </xf>
    <xf numFmtId="0" fontId="28" fillId="28" borderId="25" xfId="3064" applyFont="1" applyFill="1" applyBorder="1" applyAlignment="1">
      <alignment horizontal="center" vertical="center"/>
    </xf>
    <xf numFmtId="176" fontId="28" fillId="28" borderId="25" xfId="3064" applyNumberFormat="1" applyFont="1" applyFill="1" applyBorder="1" applyAlignment="1">
      <alignment horizontal="center" vertical="center"/>
    </xf>
    <xf numFmtId="176" fontId="28" fillId="28" borderId="44" xfId="3064" applyNumberFormat="1" applyFont="1" applyFill="1" applyBorder="1"/>
    <xf numFmtId="0" fontId="28" fillId="28" borderId="44" xfId="3064" applyFont="1" applyFill="1" applyBorder="1"/>
    <xf numFmtId="0" fontId="12" fillId="28" borderId="49" xfId="3064" applyFont="1" applyFill="1" applyBorder="1" applyAlignment="1">
      <alignment horizontal="left" vertical="center"/>
    </xf>
    <xf numFmtId="0" fontId="12" fillId="28" borderId="49" xfId="3064" applyFont="1" applyFill="1" applyBorder="1" applyAlignment="1">
      <alignment horizontal="center" vertical="center"/>
    </xf>
    <xf numFmtId="0" fontId="12" fillId="28" borderId="44" xfId="3064" applyFont="1" applyFill="1" applyBorder="1"/>
    <xf numFmtId="176" fontId="12" fillId="0" borderId="44" xfId="3064" applyNumberFormat="1" applyFont="1" applyBorder="1" applyAlignment="1">
      <alignment horizontal="center" vertical="center"/>
    </xf>
    <xf numFmtId="176" fontId="12" fillId="0" borderId="49" xfId="3064" applyNumberFormat="1" applyFont="1" applyBorder="1" applyAlignment="1">
      <alignment horizontal="center" vertical="center"/>
    </xf>
    <xf numFmtId="0" fontId="12" fillId="0" borderId="44" xfId="3064" applyFont="1" applyBorder="1" applyAlignment="1">
      <alignment horizontal="center" vertical="center" wrapText="1"/>
    </xf>
    <xf numFmtId="0" fontId="12" fillId="28" borderId="29" xfId="3064" applyFont="1" applyFill="1" applyBorder="1" applyAlignment="1">
      <alignment horizontal="center" vertical="center"/>
    </xf>
    <xf numFmtId="0" fontId="31" fillId="0" borderId="0" xfId="3064" applyFont="1" applyAlignment="1">
      <alignment horizontal="left" vertical="center"/>
    </xf>
    <xf numFmtId="0" fontId="31" fillId="0" borderId="0" xfId="3064" applyFont="1" applyBorder="1"/>
    <xf numFmtId="176" fontId="31" fillId="0" borderId="0" xfId="3064" applyNumberFormat="1" applyFont="1" applyBorder="1" applyAlignment="1">
      <alignment horizontal="center" vertical="center"/>
    </xf>
    <xf numFmtId="176" fontId="31" fillId="0" borderId="0" xfId="3064" applyNumberFormat="1" applyFont="1"/>
    <xf numFmtId="0" fontId="12" fillId="0" borderId="6" xfId="3064" applyFont="1" applyBorder="1" applyAlignment="1">
      <alignment horizontal="centerContinuous" vertical="center"/>
    </xf>
    <xf numFmtId="0" fontId="12" fillId="0" borderId="0" xfId="3065" applyFont="1" applyFill="1"/>
    <xf numFmtId="182" fontId="12" fillId="0" borderId="6" xfId="3065" applyNumberFormat="1" applyFont="1" applyFill="1" applyBorder="1" applyAlignment="1">
      <alignment horizontal="center" vertical="center"/>
    </xf>
    <xf numFmtId="189" fontId="46" fillId="0" borderId="6" xfId="3065" applyNumberFormat="1" applyFont="1" applyFill="1" applyBorder="1" applyAlignment="1">
      <alignment horizontal="right" vertical="center"/>
    </xf>
    <xf numFmtId="189" fontId="12" fillId="0" borderId="6" xfId="3065" applyNumberFormat="1" applyFont="1" applyFill="1" applyBorder="1" applyAlignment="1">
      <alignment horizontal="center" vertical="center"/>
    </xf>
    <xf numFmtId="182" fontId="12" fillId="0" borderId="0" xfId="3065" applyNumberFormat="1" applyFont="1" applyFill="1"/>
    <xf numFmtId="182" fontId="12" fillId="30" borderId="0" xfId="3065" applyNumberFormat="1" applyFont="1" applyFill="1"/>
    <xf numFmtId="0" fontId="12" fillId="0" borderId="0" xfId="3065" applyFont="1" applyFill="1" applyAlignment="1">
      <alignment horizontal="center"/>
    </xf>
    <xf numFmtId="189" fontId="12" fillId="0" borderId="0" xfId="3065" applyNumberFormat="1" applyFont="1" applyFill="1"/>
    <xf numFmtId="0" fontId="45" fillId="0" borderId="0" xfId="0" applyFont="1"/>
    <xf numFmtId="176" fontId="45" fillId="0" borderId="0" xfId="0" applyNumberFormat="1" applyFont="1"/>
    <xf numFmtId="176" fontId="45" fillId="0" borderId="0" xfId="0" applyNumberFormat="1" applyFont="1" applyAlignment="1">
      <alignment horizontal="center" vertical="center"/>
    </xf>
    <xf numFmtId="0" fontId="49" fillId="28" borderId="6" xfId="0" applyFont="1" applyFill="1" applyBorder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/>
    </xf>
    <xf numFmtId="176" fontId="45" fillId="0" borderId="6" xfId="0" applyNumberFormat="1" applyFont="1" applyFill="1" applyBorder="1" applyAlignment="1">
      <alignment horizontal="center" vertical="center"/>
    </xf>
    <xf numFmtId="177" fontId="45" fillId="0" borderId="0" xfId="0" applyNumberFormat="1" applyFont="1"/>
    <xf numFmtId="177" fontId="9" fillId="28" borderId="6" xfId="0" applyNumberFormat="1" applyFont="1" applyFill="1" applyBorder="1" applyAlignment="1">
      <alignment horizontal="center" vertical="center"/>
    </xf>
    <xf numFmtId="176" fontId="45" fillId="0" borderId="26" xfId="0" applyNumberFormat="1" applyFont="1" applyBorder="1" applyAlignment="1">
      <alignment horizontal="center" vertical="center"/>
    </xf>
    <xf numFmtId="178" fontId="45" fillId="0" borderId="26" xfId="0" applyNumberFormat="1" applyFont="1" applyBorder="1" applyAlignment="1">
      <alignment horizontal="center" vertical="center"/>
    </xf>
    <xf numFmtId="0" fontId="45" fillId="0" borderId="0" xfId="0" applyFont="1" applyBorder="1"/>
    <xf numFmtId="0" fontId="11" fillId="0" borderId="0" xfId="3066" applyFont="1"/>
    <xf numFmtId="0" fontId="12" fillId="0" borderId="0" xfId="3062" applyFont="1" applyAlignment="1">
      <alignment horizontal="left"/>
    </xf>
    <xf numFmtId="0" fontId="51" fillId="0" borderId="0" xfId="3066" applyFont="1" applyAlignment="1">
      <alignment horizontal="centerContinuous" vertical="center"/>
    </xf>
    <xf numFmtId="0" fontId="12" fillId="0" borderId="0" xfId="3066" applyFont="1" applyAlignment="1">
      <alignment horizontal="centerContinuous" vertical="center"/>
    </xf>
    <xf numFmtId="0" fontId="12" fillId="0" borderId="0" xfId="3066" applyFont="1"/>
    <xf numFmtId="0" fontId="12" fillId="0" borderId="51" xfId="3066" applyFont="1" applyBorder="1" applyAlignment="1">
      <alignment horizontal="center" vertical="center"/>
    </xf>
    <xf numFmtId="182" fontId="11" fillId="29" borderId="41" xfId="3066" applyNumberFormat="1" applyFont="1" applyFill="1" applyBorder="1" applyAlignment="1" applyProtection="1">
      <alignment horizontal="right" vertical="center"/>
      <protection locked="0"/>
    </xf>
    <xf numFmtId="182" fontId="11" fillId="29" borderId="48" xfId="3066" applyNumberFormat="1" applyFont="1" applyFill="1" applyBorder="1" applyAlignment="1">
      <alignment horizontal="right" vertical="center"/>
    </xf>
    <xf numFmtId="0" fontId="12" fillId="0" borderId="44" xfId="3066" applyFont="1" applyBorder="1" applyAlignment="1">
      <alignment horizontal="center" vertical="center"/>
    </xf>
    <xf numFmtId="182" fontId="11" fillId="0" borderId="52" xfId="3066" applyNumberFormat="1" applyFont="1" applyFill="1" applyBorder="1" applyAlignment="1" applyProtection="1">
      <alignment horizontal="right" vertical="center"/>
      <protection locked="0"/>
    </xf>
    <xf numFmtId="182" fontId="11" fillId="0" borderId="45" xfId="3066" applyNumberFormat="1" applyFont="1" applyFill="1" applyBorder="1" applyAlignment="1">
      <alignment horizontal="right" vertical="center"/>
    </xf>
    <xf numFmtId="0" fontId="12" fillId="0" borderId="37" xfId="3066" applyFont="1" applyBorder="1" applyAlignment="1">
      <alignment horizontal="center" vertical="center"/>
    </xf>
    <xf numFmtId="182" fontId="48" fillId="29" borderId="37" xfId="3066" applyNumberFormat="1" applyFont="1" applyFill="1" applyBorder="1" applyAlignment="1" applyProtection="1">
      <alignment horizontal="right" vertical="center"/>
      <protection locked="0"/>
    </xf>
    <xf numFmtId="182" fontId="11" fillId="29" borderId="37" xfId="3066" applyNumberFormat="1" applyFont="1" applyFill="1" applyBorder="1" applyAlignment="1" applyProtection="1">
      <alignment horizontal="right" vertical="center"/>
      <protection locked="0"/>
    </xf>
    <xf numFmtId="182" fontId="11" fillId="29" borderId="37" xfId="3066" applyNumberFormat="1" applyFont="1" applyFill="1" applyBorder="1" applyAlignment="1">
      <alignment horizontal="right" vertical="center"/>
    </xf>
    <xf numFmtId="182" fontId="47" fillId="0" borderId="44" xfId="3066" applyNumberFormat="1" applyFont="1" applyBorder="1" applyAlignment="1">
      <alignment horizontal="right" vertical="center"/>
    </xf>
    <xf numFmtId="182" fontId="11" fillId="0" borderId="44" xfId="3066" applyNumberFormat="1" applyFont="1" applyBorder="1" applyAlignment="1">
      <alignment horizontal="right" vertical="center"/>
    </xf>
    <xf numFmtId="182" fontId="11" fillId="34" borderId="37" xfId="3066" applyNumberFormat="1" applyFont="1" applyFill="1" applyBorder="1" applyAlignment="1">
      <alignment horizontal="right" vertical="center"/>
    </xf>
    <xf numFmtId="182" fontId="11" fillId="34" borderId="48" xfId="3066" applyNumberFormat="1" applyFont="1" applyFill="1" applyBorder="1" applyAlignment="1">
      <alignment horizontal="right" vertical="center"/>
    </xf>
    <xf numFmtId="182" fontId="12" fillId="0" borderId="0" xfId="3066" applyNumberFormat="1" applyFont="1"/>
    <xf numFmtId="0" fontId="12" fillId="0" borderId="0" xfId="3066" applyFont="1" applyBorder="1" applyAlignment="1">
      <alignment horizontal="center" vertical="center"/>
    </xf>
    <xf numFmtId="182" fontId="11" fillId="0" borderId="0" xfId="3066" applyNumberFormat="1" applyFont="1" applyBorder="1" applyAlignment="1">
      <alignment horizontal="right" vertical="center"/>
    </xf>
    <xf numFmtId="182" fontId="11" fillId="0" borderId="0" xfId="3066" applyNumberFormat="1" applyFont="1" applyFill="1" applyBorder="1" applyAlignment="1">
      <alignment horizontal="right" vertical="center"/>
    </xf>
    <xf numFmtId="188" fontId="12" fillId="0" borderId="0" xfId="3066" applyNumberFormat="1" applyFont="1"/>
    <xf numFmtId="187" fontId="12" fillId="0" borderId="0" xfId="3066" applyNumberFormat="1" applyFont="1" applyAlignment="1">
      <alignment horizontal="right"/>
    </xf>
    <xf numFmtId="0" fontId="12" fillId="0" borderId="0" xfId="3066" applyFont="1" applyAlignment="1">
      <alignment horizontal="center"/>
    </xf>
    <xf numFmtId="182" fontId="12" fillId="32" borderId="6" xfId="3065" applyNumberFormat="1" applyFont="1" applyFill="1" applyBorder="1" applyAlignment="1">
      <alignment horizontal="center" vertical="center"/>
    </xf>
    <xf numFmtId="0" fontId="12" fillId="32" borderId="5" xfId="3064" applyFont="1" applyFill="1" applyBorder="1" applyAlignment="1">
      <alignment horizontal="centerContinuous" vertical="center"/>
    </xf>
    <xf numFmtId="0" fontId="12" fillId="32" borderId="44" xfId="3064" applyFont="1" applyFill="1" applyBorder="1" applyAlignment="1">
      <alignment horizontal="center" vertical="center"/>
    </xf>
    <xf numFmtId="0" fontId="12" fillId="32" borderId="27" xfId="3064" applyFont="1" applyFill="1" applyBorder="1" applyAlignment="1">
      <alignment horizontal="centerContinuous" vertical="center"/>
    </xf>
    <xf numFmtId="0" fontId="12" fillId="32" borderId="29" xfId="3064" applyFont="1" applyFill="1" applyBorder="1" applyAlignment="1">
      <alignment horizontal="center" vertical="center"/>
    </xf>
    <xf numFmtId="0" fontId="12" fillId="32" borderId="6" xfId="3064" applyFont="1" applyFill="1" applyBorder="1" applyAlignment="1">
      <alignment horizontal="center" vertical="center"/>
    </xf>
    <xf numFmtId="0" fontId="12" fillId="32" borderId="48" xfId="3064" applyFont="1" applyFill="1" applyBorder="1" applyAlignment="1">
      <alignment horizontal="center" vertical="center"/>
    </xf>
    <xf numFmtId="0" fontId="12" fillId="32" borderId="28" xfId="3064" applyFont="1" applyFill="1" applyBorder="1" applyAlignment="1">
      <alignment horizontal="center" vertical="center"/>
    </xf>
    <xf numFmtId="0" fontId="12" fillId="32" borderId="5" xfId="3064" applyFont="1" applyFill="1" applyBorder="1" applyAlignment="1">
      <alignment horizontal="center" vertical="center"/>
    </xf>
    <xf numFmtId="0" fontId="12" fillId="32" borderId="25" xfId="3064" applyFont="1" applyFill="1" applyBorder="1" applyAlignment="1">
      <alignment horizontal="center" vertical="center"/>
    </xf>
    <xf numFmtId="176" fontId="12" fillId="32" borderId="25" xfId="3064" applyNumberFormat="1" applyFont="1" applyFill="1" applyBorder="1" applyAlignment="1">
      <alignment horizontal="center" vertical="center"/>
    </xf>
    <xf numFmtId="0" fontId="12" fillId="32" borderId="15" xfId="3064" applyFont="1" applyFill="1" applyBorder="1" applyAlignment="1">
      <alignment horizontal="left" vertical="center"/>
    </xf>
    <xf numFmtId="0" fontId="12" fillId="32" borderId="37" xfId="3064" applyFont="1" applyFill="1" applyBorder="1" applyAlignment="1">
      <alignment horizontal="center" vertical="center"/>
    </xf>
    <xf numFmtId="176" fontId="12" fillId="32" borderId="37" xfId="3064" applyNumberFormat="1" applyFont="1" applyFill="1" applyBorder="1" applyAlignment="1">
      <alignment horizontal="center" vertical="center"/>
    </xf>
    <xf numFmtId="0" fontId="12" fillId="32" borderId="53" xfId="3064" applyFont="1" applyFill="1" applyBorder="1" applyAlignment="1">
      <alignment horizontal="left" vertical="center"/>
    </xf>
    <xf numFmtId="0" fontId="12" fillId="32" borderId="52" xfId="3064" applyFont="1" applyFill="1" applyBorder="1" applyAlignment="1">
      <alignment horizontal="center" vertical="center"/>
    </xf>
    <xf numFmtId="176" fontId="12" fillId="32" borderId="52" xfId="3064" applyNumberFormat="1" applyFont="1" applyFill="1" applyBorder="1" applyAlignment="1">
      <alignment horizontal="center" vertical="center"/>
    </xf>
    <xf numFmtId="0" fontId="12" fillId="32" borderId="6" xfId="3064" applyFont="1" applyFill="1" applyBorder="1" applyAlignment="1">
      <alignment horizontal="left" vertical="center"/>
    </xf>
    <xf numFmtId="0" fontId="12" fillId="32" borderId="34" xfId="3064" applyFont="1" applyFill="1" applyBorder="1" applyAlignment="1">
      <alignment horizontal="center" vertical="center"/>
    </xf>
    <xf numFmtId="1" fontId="11" fillId="0" borderId="14" xfId="3058" applyNumberFormat="1" applyFont="1" applyFill="1" applyBorder="1">
      <alignment vertical="center"/>
    </xf>
    <xf numFmtId="1" fontId="11" fillId="0" borderId="13" xfId="3058" applyNumberFormat="1" applyFont="1" applyFill="1" applyBorder="1" applyAlignment="1">
      <alignment horizontal="center" vertical="center"/>
    </xf>
    <xf numFmtId="1" fontId="11" fillId="0" borderId="2" xfId="3058" applyNumberFormat="1" applyFont="1" applyFill="1" applyBorder="1">
      <alignment vertical="center"/>
    </xf>
    <xf numFmtId="0" fontId="11" fillId="0" borderId="14" xfId="3058" applyFont="1" applyFill="1" applyBorder="1">
      <alignment vertical="center"/>
    </xf>
    <xf numFmtId="182" fontId="11" fillId="0" borderId="2" xfId="3058" applyNumberFormat="1" applyFont="1" applyFill="1" applyBorder="1">
      <alignment vertical="center"/>
    </xf>
    <xf numFmtId="182" fontId="11" fillId="0" borderId="14" xfId="3058" applyNumberFormat="1" applyFont="1" applyFill="1" applyBorder="1">
      <alignment vertical="center"/>
    </xf>
    <xf numFmtId="1" fontId="11" fillId="0" borderId="23" xfId="3058" applyNumberFormat="1" applyFont="1" applyBorder="1" applyAlignment="1">
      <alignment horizontal="center" vertical="center"/>
    </xf>
    <xf numFmtId="1" fontId="11" fillId="0" borderId="2" xfId="3058" applyNumberFormat="1" applyFont="1" applyFill="1" applyBorder="1" applyAlignment="1">
      <alignment horizontal="right" vertical="center"/>
    </xf>
    <xf numFmtId="1" fontId="48" fillId="0" borderId="14" xfId="3058" applyNumberFormat="1" applyFont="1" applyFill="1" applyBorder="1">
      <alignment vertical="center"/>
    </xf>
    <xf numFmtId="1" fontId="11" fillId="0" borderId="54" xfId="3058" applyNumberFormat="1" applyFont="1" applyFill="1" applyBorder="1">
      <alignment vertical="center"/>
    </xf>
    <xf numFmtId="0" fontId="40" fillId="28" borderId="48" xfId="0" applyFont="1" applyFill="1" applyBorder="1" applyAlignment="1">
      <alignment horizontal="center" vertical="center"/>
    </xf>
    <xf numFmtId="0" fontId="40" fillId="28" borderId="29" xfId="0" applyFont="1" applyFill="1" applyBorder="1" applyAlignment="1">
      <alignment horizontal="center" vertical="center"/>
    </xf>
    <xf numFmtId="0" fontId="40" fillId="28" borderId="6" xfId="0" applyFont="1" applyFill="1" applyBorder="1" applyAlignment="1">
      <alignment horizontal="center" vertical="center"/>
    </xf>
    <xf numFmtId="176" fontId="40" fillId="0" borderId="6" xfId="0" applyNumberFormat="1" applyFont="1" applyBorder="1" applyAlignment="1">
      <alignment horizontal="center" vertical="center"/>
    </xf>
    <xf numFmtId="177" fontId="40" fillId="0" borderId="6" xfId="0" applyNumberFormat="1" applyFont="1" applyFill="1" applyBorder="1" applyAlignment="1">
      <alignment horizontal="center" vertical="center"/>
    </xf>
    <xf numFmtId="0" fontId="40" fillId="28" borderId="28" xfId="0" applyFont="1" applyFill="1" applyBorder="1" applyAlignment="1">
      <alignment horizontal="center" vertical="center"/>
    </xf>
    <xf numFmtId="0" fontId="40" fillId="28" borderId="25" xfId="0" applyFont="1" applyFill="1" applyBorder="1" applyAlignment="1">
      <alignment horizontal="center" vertical="center"/>
    </xf>
    <xf numFmtId="0" fontId="40" fillId="28" borderId="27" xfId="0" applyFont="1" applyFill="1" applyBorder="1" applyAlignment="1">
      <alignment horizontal="center" vertical="center"/>
    </xf>
    <xf numFmtId="178" fontId="40" fillId="0" borderId="6" xfId="0" applyNumberFormat="1" applyFont="1" applyFill="1" applyBorder="1" applyAlignment="1">
      <alignment horizontal="center" vertical="center"/>
    </xf>
    <xf numFmtId="0" fontId="40" fillId="28" borderId="6" xfId="0" applyFont="1" applyFill="1" applyBorder="1" applyAlignment="1">
      <alignment horizontal="centerContinuous" vertical="center"/>
    </xf>
    <xf numFmtId="177" fontId="11" fillId="0" borderId="6" xfId="0" applyNumberFormat="1" applyFont="1" applyFill="1" applyBorder="1" applyAlignment="1">
      <alignment horizontal="center" vertical="center"/>
    </xf>
    <xf numFmtId="177" fontId="40" fillId="0" borderId="6" xfId="0" applyNumberFormat="1" applyFont="1" applyBorder="1" applyAlignment="1">
      <alignment horizontal="center" vertical="center"/>
    </xf>
    <xf numFmtId="176" fontId="40" fillId="0" borderId="6" xfId="0" applyNumberFormat="1" applyFont="1" applyFill="1" applyBorder="1" applyAlignment="1">
      <alignment horizontal="center" vertical="center"/>
    </xf>
    <xf numFmtId="0" fontId="40" fillId="28" borderId="6" xfId="0" quotePrefix="1" applyFont="1" applyFill="1" applyBorder="1" applyAlignment="1">
      <alignment horizontal="center" vertical="center"/>
    </xf>
    <xf numFmtId="0" fontId="40" fillId="28" borderId="27" xfId="0" applyFont="1" applyFill="1" applyBorder="1" applyAlignment="1">
      <alignment horizontal="centerContinuous" vertical="center"/>
    </xf>
    <xf numFmtId="0" fontId="40" fillId="28" borderId="25" xfId="0" applyFont="1" applyFill="1" applyBorder="1" applyAlignment="1">
      <alignment horizontal="centerContinuous" vertical="center"/>
    </xf>
    <xf numFmtId="0" fontId="40" fillId="28" borderId="5" xfId="0" applyFont="1" applyFill="1" applyBorder="1" applyAlignment="1">
      <alignment horizontal="centerContinuous" vertical="center"/>
    </xf>
    <xf numFmtId="0" fontId="40" fillId="28" borderId="29" xfId="0" applyFont="1" applyFill="1" applyBorder="1" applyAlignment="1">
      <alignment horizontal="centerContinuous" vertical="center"/>
    </xf>
    <xf numFmtId="0" fontId="40" fillId="32" borderId="27" xfId="0" applyFont="1" applyFill="1" applyBorder="1" applyAlignment="1">
      <alignment horizontal="centerContinuous" vertical="center"/>
    </xf>
    <xf numFmtId="0" fontId="40" fillId="32" borderId="5" xfId="0" applyFont="1" applyFill="1" applyBorder="1" applyAlignment="1">
      <alignment horizontal="centerContinuous" vertical="center"/>
    </xf>
    <xf numFmtId="0" fontId="40" fillId="32" borderId="25" xfId="0" applyFont="1" applyFill="1" applyBorder="1" applyAlignment="1">
      <alignment horizontal="centerContinuous" vertical="center"/>
    </xf>
    <xf numFmtId="0" fontId="40" fillId="32" borderId="6" xfId="0" applyFont="1" applyFill="1" applyBorder="1" applyAlignment="1">
      <alignment horizontal="center" vertical="center"/>
    </xf>
    <xf numFmtId="0" fontId="40" fillId="28" borderId="25" xfId="0" applyFont="1" applyFill="1" applyBorder="1" applyAlignment="1">
      <alignment vertical="center"/>
    </xf>
    <xf numFmtId="0" fontId="76" fillId="32" borderId="6" xfId="3054" applyFont="1" applyFill="1" applyBorder="1" applyAlignment="1">
      <alignment horizontal="center" vertical="center"/>
    </xf>
    <xf numFmtId="0" fontId="76" fillId="32" borderId="6" xfId="3055" applyFont="1" applyFill="1" applyBorder="1" applyAlignment="1">
      <alignment horizontal="center" vertical="center"/>
    </xf>
    <xf numFmtId="0" fontId="76" fillId="32" borderId="6" xfId="3054" applyFont="1" applyFill="1" applyBorder="1" applyAlignment="1">
      <alignment horizontal="center" vertical="center" wrapText="1"/>
    </xf>
    <xf numFmtId="0" fontId="40" fillId="28" borderId="47" xfId="0" applyFont="1" applyFill="1" applyBorder="1" applyAlignment="1">
      <alignment horizontal="centerContinuous" vertical="center"/>
    </xf>
    <xf numFmtId="0" fontId="40" fillId="28" borderId="41" xfId="0" applyFont="1" applyFill="1" applyBorder="1" applyAlignment="1">
      <alignment horizontal="centerContinuous" vertical="center"/>
    </xf>
    <xf numFmtId="0" fontId="11" fillId="0" borderId="0" xfId="3058" applyFont="1" applyBorder="1">
      <alignment vertical="center"/>
    </xf>
    <xf numFmtId="1" fontId="11" fillId="0" borderId="0" xfId="3058" applyNumberFormat="1" applyFont="1" applyBorder="1">
      <alignment vertical="center"/>
    </xf>
    <xf numFmtId="1" fontId="11" fillId="0" borderId="0" xfId="3058" applyNumberFormat="1" applyFont="1" applyBorder="1" applyAlignment="1">
      <alignment horizontal="center" vertical="center"/>
    </xf>
    <xf numFmtId="1" fontId="11" fillId="0" borderId="47" xfId="3058" applyNumberFormat="1" applyFont="1" applyBorder="1" applyAlignment="1">
      <alignment horizontal="center" vertical="center"/>
    </xf>
    <xf numFmtId="0" fontId="12" fillId="0" borderId="55" xfId="3064" applyFont="1" applyBorder="1" applyAlignment="1">
      <alignment horizontal="center" vertical="center"/>
    </xf>
    <xf numFmtId="189" fontId="12" fillId="0" borderId="6" xfId="3065" applyNumberFormat="1" applyFont="1" applyFill="1" applyBorder="1" applyAlignment="1">
      <alignment horizontal="right" vertical="center"/>
    </xf>
    <xf numFmtId="0" fontId="12" fillId="32" borderId="6" xfId="3064" applyFont="1" applyFill="1" applyBorder="1" applyAlignment="1">
      <alignment horizontal="center" vertical="center" wrapText="1"/>
    </xf>
    <xf numFmtId="0" fontId="12" fillId="32" borderId="27" xfId="3064" applyFont="1" applyFill="1" applyBorder="1" applyAlignment="1">
      <alignment horizontal="center" vertical="center" wrapText="1"/>
    </xf>
    <xf numFmtId="0" fontId="12" fillId="0" borderId="51" xfId="3064" applyFont="1" applyBorder="1" applyAlignment="1">
      <alignment horizontal="center" vertical="center"/>
    </xf>
    <xf numFmtId="1" fontId="11" fillId="0" borderId="13" xfId="3058" applyNumberFormat="1" applyFont="1" applyFill="1" applyBorder="1">
      <alignment vertical="center"/>
    </xf>
    <xf numFmtId="177" fontId="45" fillId="0" borderId="6" xfId="0" applyNumberFormat="1" applyFont="1" applyFill="1" applyBorder="1"/>
    <xf numFmtId="0" fontId="44" fillId="0" borderId="56" xfId="3058" applyFont="1" applyFill="1" applyBorder="1" applyAlignment="1">
      <alignment horizontal="left" vertical="center"/>
    </xf>
    <xf numFmtId="1" fontId="44" fillId="0" borderId="56" xfId="3058" applyNumberFormat="1" applyFont="1" applyFill="1" applyBorder="1">
      <alignment vertical="center"/>
    </xf>
    <xf numFmtId="1" fontId="44" fillId="0" borderId="57" xfId="3058" applyNumberFormat="1" applyFont="1" applyFill="1" applyBorder="1" applyAlignment="1">
      <alignment horizontal="center" vertical="center"/>
    </xf>
    <xf numFmtId="1" fontId="44" fillId="0" borderId="58" xfId="3058" applyNumberFormat="1" applyFont="1" applyFill="1" applyBorder="1">
      <alignment vertical="center"/>
    </xf>
    <xf numFmtId="0" fontId="44" fillId="0" borderId="56" xfId="3058" applyFont="1" applyFill="1" applyBorder="1">
      <alignment vertical="center"/>
    </xf>
    <xf numFmtId="1" fontId="44" fillId="0" borderId="59" xfId="3058" applyNumberFormat="1" applyFont="1" applyFill="1" applyBorder="1">
      <alignment vertical="center"/>
    </xf>
    <xf numFmtId="0" fontId="44" fillId="0" borderId="15" xfId="3058" applyFont="1" applyFill="1" applyBorder="1">
      <alignment vertical="center"/>
    </xf>
    <xf numFmtId="1" fontId="44" fillId="32" borderId="14" xfId="3058" applyNumberFormat="1" applyFont="1" applyFill="1" applyBorder="1">
      <alignment vertical="center"/>
    </xf>
    <xf numFmtId="1" fontId="44" fillId="32" borderId="13" xfId="3058" applyNumberFormat="1" applyFont="1" applyFill="1" applyBorder="1" applyAlignment="1">
      <alignment horizontal="center" vertical="center"/>
    </xf>
    <xf numFmtId="1" fontId="44" fillId="32" borderId="2" xfId="3058" applyNumberFormat="1" applyFont="1" applyFill="1" applyBorder="1">
      <alignment vertical="center"/>
    </xf>
    <xf numFmtId="0" fontId="44" fillId="32" borderId="14" xfId="3058" applyFont="1" applyFill="1" applyBorder="1">
      <alignment vertical="center"/>
    </xf>
    <xf numFmtId="1" fontId="44" fillId="32" borderId="23" xfId="3058" applyNumberFormat="1" applyFont="1" applyFill="1" applyBorder="1">
      <alignment vertical="center"/>
    </xf>
    <xf numFmtId="0" fontId="44" fillId="32" borderId="30" xfId="3058" applyFont="1" applyFill="1" applyBorder="1">
      <alignment vertical="center"/>
    </xf>
    <xf numFmtId="1" fontId="92" fillId="32" borderId="2" xfId="3058" applyNumberFormat="1" applyFont="1" applyFill="1" applyBorder="1">
      <alignment vertical="center"/>
    </xf>
    <xf numFmtId="1" fontId="44" fillId="32" borderId="23" xfId="3058" applyNumberFormat="1" applyFont="1" applyFill="1" applyBorder="1" applyAlignment="1">
      <alignment horizontal="center" vertical="center" wrapText="1"/>
    </xf>
    <xf numFmtId="0" fontId="44" fillId="0" borderId="30" xfId="3058" applyFont="1" applyBorder="1">
      <alignment vertical="center"/>
    </xf>
    <xf numFmtId="1" fontId="92" fillId="32" borderId="14" xfId="3058" applyNumberFormat="1" applyFont="1" applyFill="1" applyBorder="1">
      <alignment vertical="center"/>
    </xf>
    <xf numFmtId="1" fontId="44" fillId="32" borderId="10" xfId="3058" applyNumberFormat="1" applyFont="1" applyFill="1" applyBorder="1">
      <alignment vertical="center"/>
    </xf>
    <xf numFmtId="1" fontId="44" fillId="32" borderId="60" xfId="3058" applyNumberFormat="1" applyFont="1" applyFill="1" applyBorder="1" applyAlignment="1">
      <alignment horizontal="center" vertical="center"/>
    </xf>
    <xf numFmtId="1" fontId="44" fillId="32" borderId="61" xfId="3058" applyNumberFormat="1" applyFont="1" applyFill="1" applyBorder="1">
      <alignment vertical="center"/>
    </xf>
    <xf numFmtId="0" fontId="76" fillId="32" borderId="6" xfId="0" applyFont="1" applyFill="1" applyBorder="1" applyAlignment="1">
      <alignment horizontal="center" vertical="center"/>
    </xf>
    <xf numFmtId="182" fontId="44" fillId="32" borderId="2" xfId="3058" applyNumberFormat="1" applyFont="1" applyFill="1" applyBorder="1">
      <alignment vertical="center"/>
    </xf>
    <xf numFmtId="0" fontId="11" fillId="0" borderId="0" xfId="3058" applyFont="1" applyFill="1" applyBorder="1">
      <alignment vertical="center"/>
    </xf>
    <xf numFmtId="1" fontId="11" fillId="0" borderId="62" xfId="3058" applyNumberFormat="1" applyFont="1" applyBorder="1">
      <alignment vertical="center"/>
    </xf>
    <xf numFmtId="1" fontId="11" fillId="0" borderId="63" xfId="3058" applyNumberFormat="1" applyFont="1" applyBorder="1" applyAlignment="1">
      <alignment horizontal="center" vertical="center"/>
    </xf>
    <xf numFmtId="176" fontId="95" fillId="0" borderId="6" xfId="3064" applyNumberFormat="1" applyFont="1" applyBorder="1" applyAlignment="1">
      <alignment horizontal="center" vertical="center"/>
    </xf>
    <xf numFmtId="178" fontId="95" fillId="0" borderId="6" xfId="3064" applyNumberFormat="1" applyFont="1" applyBorder="1" applyAlignment="1">
      <alignment horizontal="center" vertical="center"/>
    </xf>
    <xf numFmtId="182" fontId="11" fillId="0" borderId="54" xfId="3058" applyNumberFormat="1" applyFont="1" applyFill="1" applyBorder="1">
      <alignment vertical="center"/>
    </xf>
    <xf numFmtId="1" fontId="94" fillId="0" borderId="2" xfId="3058" applyNumberFormat="1" applyFont="1" applyFill="1" applyBorder="1">
      <alignment vertical="center"/>
    </xf>
    <xf numFmtId="0" fontId="97" fillId="0" borderId="0" xfId="3066" applyFont="1" applyBorder="1" applyAlignment="1">
      <alignment horizontal="center"/>
    </xf>
    <xf numFmtId="0" fontId="12" fillId="0" borderId="0" xfId="3066" applyFont="1" applyBorder="1" applyAlignment="1">
      <alignment horizontal="center"/>
    </xf>
    <xf numFmtId="0" fontId="12" fillId="0" borderId="6" xfId="3066" applyFont="1" applyBorder="1" applyAlignment="1">
      <alignment horizontal="center"/>
    </xf>
    <xf numFmtId="0" fontId="97" fillId="0" borderId="6" xfId="3066" applyFont="1" applyBorder="1" applyAlignment="1">
      <alignment horizontal="center"/>
    </xf>
    <xf numFmtId="0" fontId="98" fillId="0" borderId="0" xfId="3066" applyFont="1"/>
    <xf numFmtId="182" fontId="99" fillId="29" borderId="41" xfId="3066" applyNumberFormat="1" applyFont="1" applyFill="1" applyBorder="1" applyAlignment="1" applyProtection="1">
      <alignment horizontal="right" vertical="center"/>
      <protection locked="0"/>
    </xf>
    <xf numFmtId="1" fontId="100" fillId="32" borderId="2" xfId="3058" applyNumberFormat="1" applyFont="1" applyFill="1" applyBorder="1">
      <alignment vertical="center"/>
    </xf>
    <xf numFmtId="1" fontId="44" fillId="0" borderId="23" xfId="3058" applyNumberFormat="1" applyFont="1" applyFill="1" applyBorder="1" applyAlignment="1">
      <alignment horizontal="center" vertical="center" wrapText="1"/>
    </xf>
    <xf numFmtId="0" fontId="100" fillId="0" borderId="30" xfId="3058" applyFont="1" applyBorder="1">
      <alignment vertical="center"/>
    </xf>
    <xf numFmtId="1" fontId="11" fillId="0" borderId="14" xfId="3058" applyNumberFormat="1" applyFont="1" applyFill="1" applyBorder="1" applyAlignment="1">
      <alignment horizontal="left" vertical="center"/>
    </xf>
    <xf numFmtId="1" fontId="44" fillId="28" borderId="2" xfId="3058" applyNumberFormat="1" applyFont="1" applyFill="1" applyBorder="1">
      <alignment vertical="center"/>
    </xf>
    <xf numFmtId="1" fontId="44" fillId="28" borderId="14" xfId="3058" applyNumberFormat="1" applyFont="1" applyFill="1" applyBorder="1">
      <alignment vertical="center"/>
    </xf>
    <xf numFmtId="182" fontId="44" fillId="28" borderId="10" xfId="3058" applyNumberFormat="1" applyFont="1" applyFill="1" applyBorder="1">
      <alignment vertical="center"/>
    </xf>
    <xf numFmtId="0" fontId="28" fillId="0" borderId="0" xfId="3066" applyFont="1"/>
    <xf numFmtId="0" fontId="101" fillId="0" borderId="30" xfId="3058" applyFont="1" applyBorder="1">
      <alignment vertical="center"/>
    </xf>
    <xf numFmtId="1" fontId="11" fillId="32" borderId="14" xfId="3058" applyNumberFormat="1" applyFont="1" applyFill="1" applyBorder="1">
      <alignment vertical="center"/>
    </xf>
    <xf numFmtId="1" fontId="11" fillId="32" borderId="13" xfId="3058" applyNumberFormat="1" applyFont="1" applyFill="1" applyBorder="1" applyAlignment="1">
      <alignment horizontal="center" vertical="center"/>
    </xf>
    <xf numFmtId="0" fontId="92" fillId="0" borderId="58" xfId="3058" quotePrefix="1" applyFont="1" applyFill="1" applyBorder="1" applyAlignment="1">
      <alignment horizontal="left" vertical="center"/>
    </xf>
    <xf numFmtId="0" fontId="44" fillId="32" borderId="2" xfId="3058" applyFont="1" applyFill="1" applyBorder="1" applyAlignment="1">
      <alignment horizontal="left" vertical="center"/>
    </xf>
    <xf numFmtId="196" fontId="44" fillId="32" borderId="14" xfId="3058" quotePrefix="1" applyNumberFormat="1" applyFont="1" applyFill="1" applyBorder="1" applyAlignment="1">
      <alignment horizontal="left" vertical="center"/>
    </xf>
    <xf numFmtId="0" fontId="11" fillId="0" borderId="2" xfId="3058" applyFont="1" applyFill="1" applyBorder="1" applyAlignment="1">
      <alignment horizontal="left" vertical="center"/>
    </xf>
    <xf numFmtId="0" fontId="11" fillId="0" borderId="14" xfId="3058" quotePrefix="1" applyFont="1" applyFill="1" applyBorder="1" applyAlignment="1">
      <alignment horizontal="left" vertical="center"/>
    </xf>
    <xf numFmtId="0" fontId="44" fillId="32" borderId="2" xfId="3058" quotePrefix="1" applyFont="1" applyFill="1" applyBorder="1" applyAlignment="1">
      <alignment horizontal="left" vertical="center"/>
    </xf>
    <xf numFmtId="0" fontId="11" fillId="0" borderId="2" xfId="3058" quotePrefix="1" applyFont="1" applyFill="1" applyBorder="1" applyAlignment="1">
      <alignment horizontal="left" vertical="center"/>
    </xf>
    <xf numFmtId="0" fontId="11" fillId="0" borderId="2" xfId="3058" applyFont="1" applyBorder="1" applyAlignment="1">
      <alignment horizontal="left" vertical="center"/>
    </xf>
    <xf numFmtId="0" fontId="11" fillId="0" borderId="26" xfId="3058" applyFont="1" applyFill="1" applyBorder="1" applyAlignment="1">
      <alignment horizontal="left" vertical="center"/>
    </xf>
    <xf numFmtId="0" fontId="11" fillId="0" borderId="26" xfId="3058" applyFont="1" applyBorder="1" applyAlignment="1">
      <alignment horizontal="left" vertical="center"/>
    </xf>
    <xf numFmtId="0" fontId="44" fillId="0" borderId="2" xfId="3058" quotePrefix="1" applyFont="1" applyFill="1" applyBorder="1" applyAlignment="1">
      <alignment horizontal="left" vertical="center"/>
    </xf>
    <xf numFmtId="0" fontId="11" fillId="0" borderId="54" xfId="3058" applyFont="1" applyFill="1" applyBorder="1" applyAlignment="1">
      <alignment horizontal="left" vertical="center"/>
    </xf>
    <xf numFmtId="0" fontId="44" fillId="32" borderId="64" xfId="3058" applyFont="1" applyFill="1" applyBorder="1" applyAlignment="1">
      <alignment horizontal="left" vertical="center"/>
    </xf>
    <xf numFmtId="0" fontId="11" fillId="0" borderId="47" xfId="3058" applyFont="1" applyBorder="1" applyAlignment="1">
      <alignment horizontal="left" vertical="center"/>
    </xf>
    <xf numFmtId="0" fontId="11" fillId="0" borderId="0" xfId="3058" applyFont="1" applyAlignment="1">
      <alignment horizontal="left" vertical="center"/>
    </xf>
    <xf numFmtId="0" fontId="11" fillId="0" borderId="0" xfId="3058" applyFont="1" applyBorder="1" applyAlignment="1">
      <alignment horizontal="left" vertical="center"/>
    </xf>
    <xf numFmtId="0" fontId="11" fillId="0" borderId="0" xfId="3058" applyFont="1" applyFill="1" applyBorder="1" applyAlignment="1">
      <alignment horizontal="left" vertical="center"/>
    </xf>
    <xf numFmtId="1" fontId="11" fillId="32" borderId="2" xfId="3058" applyNumberFormat="1" applyFont="1" applyFill="1" applyBorder="1">
      <alignment vertical="center"/>
    </xf>
    <xf numFmtId="0" fontId="12" fillId="32" borderId="6" xfId="3065" applyFont="1" applyFill="1" applyBorder="1" applyAlignment="1">
      <alignment horizontal="center" vertical="center"/>
    </xf>
    <xf numFmtId="0" fontId="12" fillId="32" borderId="6" xfId="3065" applyFont="1" applyFill="1" applyBorder="1" applyAlignment="1">
      <alignment vertical="center"/>
    </xf>
    <xf numFmtId="1" fontId="44" fillId="32" borderId="14" xfId="3058" applyNumberFormat="1" applyFont="1" applyFill="1" applyBorder="1" applyAlignment="1">
      <alignment horizontal="center" vertical="center"/>
    </xf>
    <xf numFmtId="1" fontId="11" fillId="0" borderId="14" xfId="3058" applyNumberFormat="1" applyFont="1" applyFill="1" applyBorder="1" applyAlignment="1">
      <alignment horizontal="center" vertical="center"/>
    </xf>
    <xf numFmtId="0" fontId="11" fillId="0" borderId="65" xfId="3058" applyFont="1" applyFill="1" applyBorder="1">
      <alignment vertical="center"/>
    </xf>
    <xf numFmtId="182" fontId="44" fillId="32" borderId="64" xfId="3058" applyNumberFormat="1" applyFont="1" applyFill="1" applyBorder="1">
      <alignment vertical="center"/>
    </xf>
    <xf numFmtId="0" fontId="102" fillId="0" borderId="0" xfId="3064" applyFont="1" applyAlignment="1">
      <alignment horizontal="left" vertical="center"/>
    </xf>
    <xf numFmtId="49" fontId="11" fillId="0" borderId="14" xfId="3058" applyNumberFormat="1" applyFont="1" applyFill="1" applyBorder="1">
      <alignment vertical="center"/>
    </xf>
    <xf numFmtId="1" fontId="11" fillId="0" borderId="23" xfId="3058" applyNumberFormat="1" applyFont="1" applyFill="1" applyBorder="1" applyAlignment="1">
      <alignment horizontal="center" vertical="center"/>
    </xf>
    <xf numFmtId="0" fontId="12" fillId="0" borderId="6" xfId="3064" applyFont="1" applyFill="1" applyBorder="1" applyAlignment="1">
      <alignment vertical="center"/>
    </xf>
    <xf numFmtId="0" fontId="76" fillId="32" borderId="29" xfId="3054" applyFont="1" applyFill="1" applyBorder="1" applyAlignment="1">
      <alignment horizontal="center" vertical="center"/>
    </xf>
    <xf numFmtId="1" fontId="110" fillId="0" borderId="2" xfId="3058" applyNumberFormat="1" applyFont="1" applyFill="1" applyBorder="1">
      <alignment vertical="center"/>
    </xf>
    <xf numFmtId="0" fontId="11" fillId="0" borderId="2" xfId="3058" applyFont="1" applyFill="1" applyBorder="1" applyAlignment="1">
      <alignment horizontal="right" vertical="center"/>
    </xf>
    <xf numFmtId="0" fontId="76" fillId="32" borderId="29" xfId="3055" applyFont="1" applyFill="1" applyBorder="1" applyAlignment="1">
      <alignment horizontal="center" vertical="center"/>
    </xf>
    <xf numFmtId="0" fontId="103" fillId="35" borderId="66" xfId="0" applyFont="1" applyFill="1" applyBorder="1" applyAlignment="1">
      <alignment horizontal="center" vertical="center"/>
    </xf>
    <xf numFmtId="0" fontId="92" fillId="0" borderId="30" xfId="3058" quotePrefix="1" applyFont="1" applyBorder="1">
      <alignment vertical="center"/>
    </xf>
    <xf numFmtId="182" fontId="110" fillId="29" borderId="41" xfId="3066" applyNumberFormat="1" applyFont="1" applyFill="1" applyBorder="1" applyAlignment="1" applyProtection="1">
      <alignment horizontal="right" vertical="center"/>
      <protection locked="0"/>
    </xf>
    <xf numFmtId="239" fontId="11" fillId="0" borderId="23" xfId="3058" applyNumberFormat="1" applyFont="1" applyFill="1" applyBorder="1">
      <alignment vertical="center"/>
    </xf>
    <xf numFmtId="239" fontId="11" fillId="0" borderId="38" xfId="3058" applyNumberFormat="1" applyFont="1" applyFill="1" applyBorder="1" applyAlignment="1">
      <alignment horizontal="center" vertical="center"/>
    </xf>
    <xf numFmtId="0" fontId="45" fillId="0" borderId="50" xfId="0" applyFont="1" applyBorder="1"/>
    <xf numFmtId="0" fontId="45" fillId="0" borderId="47" xfId="0" applyFont="1" applyBorder="1"/>
    <xf numFmtId="0" fontId="103" fillId="35" borderId="67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03" fillId="35" borderId="66" xfId="0" applyFont="1" applyFill="1" applyBorder="1" applyAlignment="1">
      <alignment horizontal="center" vertical="center"/>
    </xf>
    <xf numFmtId="0" fontId="31" fillId="0" borderId="6" xfId="3064" applyFont="1" applyBorder="1" applyAlignment="1">
      <alignment horizontal="center" vertical="center"/>
    </xf>
    <xf numFmtId="178" fontId="12" fillId="0" borderId="6" xfId="3064" applyNumberFormat="1" applyFont="1" applyBorder="1" applyAlignment="1">
      <alignment horizontal="center" vertical="center"/>
    </xf>
    <xf numFmtId="0" fontId="103" fillId="35" borderId="66" xfId="0" applyFont="1" applyFill="1" applyBorder="1" applyAlignment="1">
      <alignment horizontal="center" vertical="center"/>
    </xf>
    <xf numFmtId="1" fontId="111" fillId="32" borderId="2" xfId="3058" applyNumberFormat="1" applyFont="1" applyFill="1" applyBorder="1">
      <alignment vertical="center"/>
    </xf>
    <xf numFmtId="41" fontId="44" fillId="32" borderId="23" xfId="2444" applyFont="1" applyFill="1" applyBorder="1" applyAlignment="1">
      <alignment vertical="center"/>
    </xf>
    <xf numFmtId="1" fontId="112" fillId="0" borderId="23" xfId="3058" applyNumberFormat="1" applyFont="1" applyFill="1" applyBorder="1">
      <alignment vertical="center"/>
    </xf>
    <xf numFmtId="239" fontId="11" fillId="0" borderId="35" xfId="3058" applyNumberFormat="1" applyFont="1" applyFill="1" applyBorder="1" applyAlignment="1">
      <alignment vertical="center"/>
    </xf>
    <xf numFmtId="239" fontId="11" fillId="0" borderId="38" xfId="3058" applyNumberFormat="1" applyFont="1" applyFill="1" applyBorder="1" applyAlignment="1">
      <alignment vertical="center"/>
    </xf>
    <xf numFmtId="0" fontId="76" fillId="35" borderId="6" xfId="0" applyFont="1" applyFill="1" applyBorder="1" applyAlignment="1">
      <alignment horizontal="center" vertical="center"/>
    </xf>
    <xf numFmtId="176" fontId="11" fillId="0" borderId="6" xfId="0" applyNumberFormat="1" applyFont="1" applyFill="1" applyBorder="1" applyAlignment="1">
      <alignment horizontal="center" vertical="center"/>
    </xf>
    <xf numFmtId="176" fontId="110" fillId="0" borderId="6" xfId="0" applyNumberFormat="1" applyFont="1" applyFill="1" applyBorder="1" applyAlignment="1">
      <alignment horizontal="center" vertical="center"/>
    </xf>
    <xf numFmtId="177" fontId="40" fillId="0" borderId="0" xfId="0" applyNumberFormat="1" applyFont="1" applyFill="1" applyAlignment="1">
      <alignment horizontal="center" vertical="center"/>
    </xf>
    <xf numFmtId="176" fontId="48" fillId="0" borderId="6" xfId="0" applyNumberFormat="1" applyFont="1" applyFill="1" applyBorder="1" applyAlignment="1">
      <alignment horizontal="center" vertical="center"/>
    </xf>
    <xf numFmtId="178" fontId="11" fillId="0" borderId="6" xfId="0" applyNumberFormat="1" applyFont="1" applyFill="1" applyBorder="1" applyAlignment="1">
      <alignment horizontal="center" vertical="center"/>
    </xf>
    <xf numFmtId="177" fontId="48" fillId="0" borderId="6" xfId="0" applyNumberFormat="1" applyFont="1" applyFill="1" applyBorder="1" applyAlignment="1">
      <alignment horizontal="center" vertical="center"/>
    </xf>
    <xf numFmtId="177" fontId="40" fillId="0" borderId="25" xfId="0" applyNumberFormat="1" applyFont="1" applyFill="1" applyBorder="1" applyAlignment="1">
      <alignment horizontal="center" vertical="center"/>
    </xf>
    <xf numFmtId="0" fontId="103" fillId="35" borderId="68" xfId="0" applyFont="1" applyFill="1" applyBorder="1" applyAlignment="1">
      <alignment horizontal="center" vertical="center"/>
    </xf>
    <xf numFmtId="0" fontId="111" fillId="32" borderId="6" xfId="3058" applyFont="1" applyFill="1" applyBorder="1">
      <alignment vertical="center"/>
    </xf>
    <xf numFmtId="0" fontId="110" fillId="0" borderId="6" xfId="3058" applyFont="1" applyBorder="1">
      <alignment vertical="center"/>
    </xf>
    <xf numFmtId="0" fontId="110" fillId="0" borderId="6" xfId="3058" applyFont="1" applyFill="1" applyBorder="1">
      <alignment vertical="center"/>
    </xf>
    <xf numFmtId="0" fontId="110" fillId="29" borderId="6" xfId="3058" applyFont="1" applyFill="1" applyBorder="1">
      <alignment vertical="center"/>
    </xf>
    <xf numFmtId="0" fontId="111" fillId="0" borderId="6" xfId="3058" applyFont="1" applyBorder="1">
      <alignment vertical="center"/>
    </xf>
    <xf numFmtId="0" fontId="44" fillId="0" borderId="0" xfId="3058" applyFont="1" applyFill="1" applyBorder="1">
      <alignment vertical="center"/>
    </xf>
    <xf numFmtId="0" fontId="44" fillId="32" borderId="6" xfId="3058" applyFont="1" applyFill="1" applyBorder="1">
      <alignment vertical="center"/>
    </xf>
    <xf numFmtId="0" fontId="11" fillId="0" borderId="6" xfId="3058" applyFont="1" applyBorder="1">
      <alignment vertical="center"/>
    </xf>
    <xf numFmtId="0" fontId="44" fillId="0" borderId="6" xfId="3058" applyFont="1" applyBorder="1">
      <alignment vertical="center"/>
    </xf>
    <xf numFmtId="196" fontId="44" fillId="32" borderId="10" xfId="3058" quotePrefix="1" applyNumberFormat="1" applyFont="1" applyFill="1" applyBorder="1" applyAlignment="1">
      <alignment horizontal="left" vertical="center"/>
    </xf>
    <xf numFmtId="240" fontId="12" fillId="0" borderId="6" xfId="3065" applyNumberFormat="1" applyFont="1" applyFill="1" applyBorder="1" applyAlignment="1">
      <alignment horizontal="right" vertical="center"/>
    </xf>
    <xf numFmtId="241" fontId="45" fillId="0" borderId="0" xfId="0" applyNumberFormat="1" applyFont="1"/>
    <xf numFmtId="241" fontId="45" fillId="30" borderId="0" xfId="0" applyNumberFormat="1" applyFont="1" applyFill="1"/>
    <xf numFmtId="241" fontId="45" fillId="0" borderId="0" xfId="0" applyNumberFormat="1" applyFont="1" applyBorder="1" applyAlignment="1">
      <alignment horizontal="center" vertical="center"/>
    </xf>
    <xf numFmtId="241" fontId="45" fillId="0" borderId="50" xfId="0" applyNumberFormat="1" applyFont="1" applyBorder="1"/>
    <xf numFmtId="241" fontId="45" fillId="0" borderId="47" xfId="0" applyNumberFormat="1" applyFont="1" applyBorder="1"/>
    <xf numFmtId="241" fontId="45" fillId="30" borderId="0" xfId="0" applyNumberFormat="1" applyFont="1" applyFill="1" applyBorder="1" applyAlignment="1">
      <alignment horizontal="center" vertical="center"/>
    </xf>
    <xf numFmtId="241" fontId="45" fillId="0" borderId="0" xfId="0" applyNumberFormat="1" applyFont="1" applyBorder="1"/>
    <xf numFmtId="202" fontId="45" fillId="0" borderId="0" xfId="0" applyNumberFormat="1" applyFont="1"/>
    <xf numFmtId="0" fontId="12" fillId="0" borderId="25" xfId="3064" applyFont="1" applyFill="1" applyBorder="1" applyAlignment="1">
      <alignment horizontal="center" vertical="center"/>
    </xf>
    <xf numFmtId="0" fontId="12" fillId="0" borderId="6" xfId="3062" applyFont="1" applyFill="1" applyBorder="1" applyAlignment="1">
      <alignment horizontal="center" vertical="center"/>
    </xf>
    <xf numFmtId="0" fontId="12" fillId="0" borderId="27" xfId="3062" applyFont="1" applyFill="1" applyBorder="1" applyAlignment="1">
      <alignment horizontal="centerContinuous" vertical="center"/>
    </xf>
    <xf numFmtId="0" fontId="12" fillId="0" borderId="25" xfId="3062" applyFont="1" applyFill="1" applyBorder="1" applyAlignment="1">
      <alignment horizontal="centerContinuous" vertical="center"/>
    </xf>
    <xf numFmtId="176" fontId="12" fillId="0" borderId="6" xfId="3062" applyNumberFormat="1" applyFont="1" applyFill="1" applyBorder="1" applyAlignment="1">
      <alignment horizontal="center" vertical="center"/>
    </xf>
    <xf numFmtId="182" fontId="11" fillId="0" borderId="2" xfId="3058" applyNumberFormat="1" applyFont="1" applyFill="1" applyBorder="1" applyAlignment="1">
      <alignment horizontal="right" vertical="center"/>
    </xf>
    <xf numFmtId="0" fontId="12" fillId="0" borderId="27" xfId="3062" applyFont="1" applyFill="1" applyBorder="1" applyAlignment="1">
      <alignment horizontal="center" vertical="center"/>
    </xf>
    <xf numFmtId="1" fontId="12" fillId="0" borderId="6" xfId="3062" applyNumberFormat="1" applyFont="1" applyFill="1" applyBorder="1" applyAlignment="1">
      <alignment horizontal="center" vertical="center"/>
    </xf>
    <xf numFmtId="0" fontId="76" fillId="35" borderId="6" xfId="0" applyFont="1" applyFill="1" applyBorder="1" applyAlignment="1">
      <alignment horizontal="center" vertical="center"/>
    </xf>
    <xf numFmtId="0" fontId="12" fillId="0" borderId="47" xfId="3062" applyFont="1" applyFill="1" applyBorder="1"/>
    <xf numFmtId="0" fontId="11" fillId="0" borderId="69" xfId="3058" applyFont="1" applyFill="1" applyBorder="1">
      <alignment vertical="center"/>
    </xf>
    <xf numFmtId="182" fontId="11" fillId="0" borderId="52" xfId="3066" applyNumberFormat="1" applyFont="1" applyBorder="1" applyAlignment="1" applyProtection="1">
      <alignment horizontal="right" vertical="center"/>
      <protection locked="0"/>
    </xf>
    <xf numFmtId="182" fontId="46" fillId="0" borderId="6" xfId="3064" applyNumberFormat="1" applyFont="1" applyFill="1" applyBorder="1" applyAlignment="1">
      <alignment horizontal="center" vertical="center"/>
    </xf>
    <xf numFmtId="177" fontId="9" fillId="28" borderId="6" xfId="0" applyNumberFormat="1" applyFont="1" applyFill="1" applyBorder="1" applyAlignment="1">
      <alignment horizontal="center" vertical="center" wrapText="1"/>
    </xf>
    <xf numFmtId="1" fontId="44" fillId="0" borderId="14" xfId="3058" applyNumberFormat="1" applyFont="1" applyFill="1" applyBorder="1">
      <alignment vertical="center"/>
    </xf>
    <xf numFmtId="1" fontId="92" fillId="0" borderId="2" xfId="3058" applyNumberFormat="1" applyFont="1" applyFill="1" applyBorder="1">
      <alignment vertical="center"/>
    </xf>
    <xf numFmtId="1" fontId="44" fillId="0" borderId="23" xfId="3058" applyNumberFormat="1" applyFont="1" applyFill="1" applyBorder="1">
      <alignment vertical="center"/>
    </xf>
    <xf numFmtId="0" fontId="11" fillId="0" borderId="14" xfId="3058" quotePrefix="1" applyFont="1" applyBorder="1" applyAlignment="1">
      <alignment horizontal="left" vertical="center"/>
    </xf>
    <xf numFmtId="1" fontId="11" fillId="0" borderId="14" xfId="3058" applyNumberFormat="1" applyFont="1" applyBorder="1" applyAlignment="1">
      <alignment horizontal="center" vertical="center"/>
    </xf>
    <xf numFmtId="0" fontId="40" fillId="32" borderId="27" xfId="0" applyFont="1" applyFill="1" applyBorder="1" applyAlignment="1">
      <alignment horizontal="center" vertical="center" shrinkToFit="1"/>
    </xf>
    <xf numFmtId="0" fontId="40" fillId="32" borderId="6" xfId="0" applyFont="1" applyFill="1" applyBorder="1" applyAlignment="1">
      <alignment horizontal="center" vertical="center" shrinkToFit="1"/>
    </xf>
    <xf numFmtId="0" fontId="76" fillId="32" borderId="6" xfId="3054" applyFont="1" applyFill="1" applyBorder="1" applyAlignment="1">
      <alignment horizontal="center" vertical="center" shrinkToFit="1"/>
    </xf>
    <xf numFmtId="0" fontId="40" fillId="28" borderId="6" xfId="0" applyFont="1" applyFill="1" applyBorder="1" applyAlignment="1">
      <alignment horizontal="center" vertical="center" shrinkToFit="1"/>
    </xf>
    <xf numFmtId="0" fontId="45" fillId="28" borderId="27" xfId="0" applyFont="1" applyFill="1" applyBorder="1" applyAlignment="1">
      <alignment horizontal="center" vertical="center" shrinkToFit="1"/>
    </xf>
    <xf numFmtId="0" fontId="40" fillId="28" borderId="48" xfId="0" applyFont="1" applyFill="1" applyBorder="1" applyAlignment="1">
      <alignment horizontal="center" vertical="center" shrinkToFit="1"/>
    </xf>
    <xf numFmtId="0" fontId="45" fillId="28" borderId="6" xfId="0" applyFont="1" applyFill="1" applyBorder="1" applyAlignment="1">
      <alignment horizontal="center" vertical="center" shrinkToFit="1"/>
    </xf>
    <xf numFmtId="0" fontId="40" fillId="28" borderId="29" xfId="0" applyFont="1" applyFill="1" applyBorder="1" applyAlignment="1">
      <alignment horizontal="center" vertical="center" shrinkToFit="1"/>
    </xf>
    <xf numFmtId="0" fontId="7" fillId="32" borderId="6" xfId="0" applyFont="1" applyFill="1" applyBorder="1" applyAlignment="1">
      <alignment horizontal="center" vertical="center" shrinkToFit="1"/>
    </xf>
    <xf numFmtId="0" fontId="76" fillId="32" borderId="6" xfId="0" applyFont="1" applyFill="1" applyBorder="1" applyAlignment="1">
      <alignment horizontal="center" vertical="center" shrinkToFit="1"/>
    </xf>
    <xf numFmtId="0" fontId="76" fillId="32" borderId="6" xfId="0" applyFont="1" applyFill="1" applyBorder="1" applyAlignment="1">
      <alignment horizontal="center" vertical="center" wrapText="1" shrinkToFit="1"/>
    </xf>
    <xf numFmtId="182" fontId="110" fillId="0" borderId="2" xfId="3058" applyNumberFormat="1" applyFont="1" applyFill="1" applyBorder="1">
      <alignment vertical="center"/>
    </xf>
    <xf numFmtId="0" fontId="12" fillId="0" borderId="6" xfId="3064" applyFont="1" applyFill="1" applyBorder="1" applyAlignment="1">
      <alignment horizontal="center" vertical="center" wrapText="1"/>
    </xf>
    <xf numFmtId="0" fontId="12" fillId="0" borderId="48" xfId="3064" applyFont="1" applyBorder="1" applyAlignment="1">
      <alignment horizontal="center" vertical="center"/>
    </xf>
    <xf numFmtId="0" fontId="12" fillId="0" borderId="28" xfId="3064" applyFont="1" applyBorder="1" applyAlignment="1">
      <alignment horizontal="center" vertical="center"/>
    </xf>
    <xf numFmtId="0" fontId="105" fillId="0" borderId="0" xfId="3064" applyFont="1"/>
    <xf numFmtId="0" fontId="105" fillId="0" borderId="0" xfId="3064" applyFont="1" applyAlignment="1">
      <alignment horizontal="center" vertical="center"/>
    </xf>
    <xf numFmtId="0" fontId="106" fillId="0" borderId="0" xfId="3064" applyFont="1"/>
    <xf numFmtId="0" fontId="105" fillId="32" borderId="0" xfId="3064" applyFont="1" applyFill="1"/>
    <xf numFmtId="0" fontId="28" fillId="0" borderId="0" xfId="3064" applyFont="1" applyAlignment="1">
      <alignment horizontal="center"/>
    </xf>
    <xf numFmtId="0" fontId="12" fillId="0" borderId="0" xfId="3064" quotePrefix="1" applyFont="1" applyAlignment="1">
      <alignment horizontal="center"/>
    </xf>
    <xf numFmtId="0" fontId="12" fillId="0" borderId="0" xfId="3064" quotePrefix="1" applyFont="1" applyAlignment="1">
      <alignment horizontal="centerContinuous" vertical="center"/>
    </xf>
    <xf numFmtId="0" fontId="12" fillId="32" borderId="46" xfId="3064" applyFont="1" applyFill="1" applyBorder="1" applyAlignment="1">
      <alignment horizontal="centerContinuous"/>
    </xf>
    <xf numFmtId="0" fontId="12" fillId="32" borderId="41" xfId="3064" applyFont="1" applyFill="1" applyBorder="1" applyAlignment="1">
      <alignment horizontal="centerContinuous"/>
    </xf>
    <xf numFmtId="0" fontId="12" fillId="32" borderId="46" xfId="3064" applyFont="1" applyFill="1" applyBorder="1" applyAlignment="1">
      <alignment horizontal="center"/>
    </xf>
    <xf numFmtId="0" fontId="12" fillId="32" borderId="27" xfId="3064" quotePrefix="1" applyFont="1" applyFill="1" applyBorder="1" applyAlignment="1">
      <alignment horizontal="centerContinuous" vertical="center"/>
    </xf>
    <xf numFmtId="0" fontId="12" fillId="32" borderId="5" xfId="3064" applyFont="1" applyFill="1" applyBorder="1" applyAlignment="1">
      <alignment horizontal="centerContinuous"/>
    </xf>
    <xf numFmtId="0" fontId="12" fillId="32" borderId="5" xfId="3064" quotePrefix="1" applyFont="1" applyFill="1" applyBorder="1" applyAlignment="1">
      <alignment horizontal="centerContinuous" vertical="center"/>
    </xf>
    <xf numFmtId="0" fontId="12" fillId="32" borderId="25" xfId="3064" quotePrefix="1" applyFont="1" applyFill="1" applyBorder="1" applyAlignment="1">
      <alignment horizontal="centerContinuous" vertical="center"/>
    </xf>
    <xf numFmtId="0" fontId="12" fillId="32" borderId="26" xfId="3064" applyFont="1" applyFill="1" applyBorder="1" applyAlignment="1">
      <alignment horizontal="center" vertical="center"/>
    </xf>
    <xf numFmtId="0" fontId="12" fillId="32" borderId="40" xfId="3064" applyFont="1" applyFill="1" applyBorder="1" applyAlignment="1">
      <alignment horizontal="center" vertical="center"/>
    </xf>
    <xf numFmtId="0" fontId="12" fillId="32" borderId="49" xfId="3064" applyFont="1" applyFill="1" applyBorder="1" applyAlignment="1">
      <alignment horizontal="center" vertical="center"/>
    </xf>
    <xf numFmtId="0" fontId="12" fillId="32" borderId="25" xfId="3064" applyFont="1" applyFill="1" applyBorder="1" applyAlignment="1">
      <alignment horizontal="centerContinuous" vertical="center"/>
    </xf>
    <xf numFmtId="0" fontId="12" fillId="0" borderId="50" xfId="3064" applyFont="1" applyBorder="1" applyAlignment="1">
      <alignment horizontal="centerContinuous" vertical="center"/>
    </xf>
    <xf numFmtId="187" fontId="12" fillId="0" borderId="6" xfId="3064" applyNumberFormat="1" applyFont="1" applyBorder="1" applyAlignment="1">
      <alignment horizontal="center" vertical="center"/>
    </xf>
    <xf numFmtId="242" fontId="12" fillId="0" borderId="6" xfId="3064" applyNumberFormat="1" applyFont="1" applyBorder="1" applyAlignment="1">
      <alignment horizontal="right" vertical="center"/>
    </xf>
    <xf numFmtId="242" fontId="12" fillId="0" borderId="25" xfId="3064" applyNumberFormat="1" applyFont="1" applyBorder="1" applyAlignment="1">
      <alignment vertical="center"/>
    </xf>
    <xf numFmtId="242" fontId="12" fillId="0" borderId="6" xfId="3064" applyNumberFormat="1" applyFont="1" applyBorder="1" applyAlignment="1">
      <alignment vertical="center"/>
    </xf>
    <xf numFmtId="242" fontId="12" fillId="0" borderId="29" xfId="3064" applyNumberFormat="1" applyFont="1" applyBorder="1" applyAlignment="1">
      <alignment horizontal="right" vertical="center"/>
    </xf>
    <xf numFmtId="0" fontId="12" fillId="0" borderId="29" xfId="3064" applyFont="1" applyBorder="1"/>
    <xf numFmtId="242" fontId="12" fillId="0" borderId="25" xfId="3064" applyNumberFormat="1" applyFont="1" applyBorder="1" applyAlignment="1">
      <alignment horizontal="right" vertical="center"/>
    </xf>
    <xf numFmtId="0" fontId="11" fillId="0" borderId="44" xfId="3064" applyFont="1" applyBorder="1"/>
    <xf numFmtId="176" fontId="12" fillId="0" borderId="6" xfId="3064" applyNumberFormat="1" applyFont="1" applyBorder="1" applyAlignment="1">
      <alignment horizontal="right" vertical="center"/>
    </xf>
    <xf numFmtId="242" fontId="12" fillId="0" borderId="25" xfId="3064" applyNumberFormat="1" applyFont="1" applyBorder="1" applyAlignment="1">
      <alignment horizontal="center" vertical="center"/>
    </xf>
    <xf numFmtId="176" fontId="12" fillId="0" borderId="29" xfId="3064" applyNumberFormat="1" applyFont="1" applyBorder="1" applyAlignment="1">
      <alignment horizontal="center" vertical="center"/>
    </xf>
    <xf numFmtId="0" fontId="11" fillId="0" borderId="44" xfId="3064" applyFont="1" applyBorder="1" applyAlignment="1">
      <alignment horizontal="center" vertical="center"/>
    </xf>
    <xf numFmtId="176" fontId="12" fillId="0" borderId="6" xfId="3064" applyNumberFormat="1" applyFont="1" applyBorder="1" applyAlignment="1">
      <alignment horizontal="center" vertical="center"/>
    </xf>
    <xf numFmtId="0" fontId="12" fillId="0" borderId="6" xfId="3064" applyFont="1" applyBorder="1" applyAlignment="1">
      <alignment vertical="center"/>
    </xf>
    <xf numFmtId="176" fontId="12" fillId="0" borderId="6" xfId="3064" applyNumberFormat="1" applyFont="1" applyBorder="1" applyAlignment="1">
      <alignment vertical="center"/>
    </xf>
    <xf numFmtId="242" fontId="12" fillId="0" borderId="29" xfId="3064" applyNumberFormat="1" applyFont="1" applyBorder="1" applyAlignment="1">
      <alignment vertical="center"/>
    </xf>
    <xf numFmtId="0" fontId="12" fillId="0" borderId="29" xfId="3064" applyFont="1" applyBorder="1" applyAlignment="1">
      <alignment horizontal="centerContinuous" vertical="center"/>
    </xf>
    <xf numFmtId="0" fontId="12" fillId="0" borderId="49" xfId="3064" applyFont="1" applyBorder="1" applyAlignment="1">
      <alignment horizontal="centerContinuous" vertical="center"/>
    </xf>
    <xf numFmtId="242" fontId="12" fillId="0" borderId="44" xfId="3064" applyNumberFormat="1" applyFont="1" applyBorder="1" applyAlignment="1">
      <alignment horizontal="right" vertical="center"/>
    </xf>
    <xf numFmtId="182" fontId="12" fillId="0" borderId="6" xfId="3064" applyNumberFormat="1" applyFont="1" applyBorder="1" applyAlignment="1">
      <alignment horizontal="center" vertical="center"/>
    </xf>
    <xf numFmtId="242" fontId="12" fillId="0" borderId="27" xfId="3064" applyNumberFormat="1" applyFont="1" applyBorder="1" applyAlignment="1">
      <alignment horizontal="left" vertical="center"/>
    </xf>
    <xf numFmtId="242" fontId="12" fillId="0" borderId="5" xfId="3064" applyNumberFormat="1" applyFont="1" applyBorder="1" applyAlignment="1">
      <alignment horizontal="right" vertical="center"/>
    </xf>
    <xf numFmtId="242" fontId="11" fillId="0" borderId="25" xfId="3064" applyNumberFormat="1" applyFont="1" applyBorder="1" applyAlignment="1">
      <alignment horizontal="right" vertical="center"/>
    </xf>
    <xf numFmtId="0" fontId="11" fillId="0" borderId="0" xfId="3064" applyFont="1"/>
    <xf numFmtId="0" fontId="12" fillId="0" borderId="0" xfId="3064" applyFont="1" applyAlignment="1">
      <alignment horizontal="center"/>
    </xf>
    <xf numFmtId="0" fontId="12" fillId="0" borderId="0" xfId="3064" applyFont="1" applyAlignment="1">
      <alignment horizontal="right" vertical="center"/>
    </xf>
    <xf numFmtId="0" fontId="12" fillId="0" borderId="0" xfId="3064" applyFont="1" applyAlignment="1">
      <alignment horizontal="left" vertical="center"/>
    </xf>
    <xf numFmtId="1" fontId="105" fillId="0" borderId="0" xfId="3064" applyNumberFormat="1" applyFont="1" applyAlignment="1">
      <alignment horizontal="center" vertical="center"/>
    </xf>
    <xf numFmtId="176" fontId="40" fillId="0" borderId="0" xfId="0" applyNumberFormat="1" applyFont="1" applyFill="1" applyBorder="1" applyAlignment="1">
      <alignment horizontal="center" vertical="center"/>
    </xf>
    <xf numFmtId="0" fontId="40" fillId="28" borderId="46" xfId="0" applyFont="1" applyFill="1" applyBorder="1" applyAlignment="1">
      <alignment horizontal="center" vertical="center"/>
    </xf>
    <xf numFmtId="0" fontId="40" fillId="28" borderId="27" xfId="0" applyFont="1" applyFill="1" applyBorder="1" applyAlignment="1">
      <alignment vertical="center"/>
    </xf>
    <xf numFmtId="0" fontId="76" fillId="32" borderId="27" xfId="3054" applyFont="1" applyFill="1" applyBorder="1" applyAlignment="1">
      <alignment horizontal="center" vertical="center" shrinkToFit="1"/>
    </xf>
    <xf numFmtId="1" fontId="11" fillId="0" borderId="0" xfId="3058" applyNumberFormat="1" applyFont="1" applyFill="1" applyBorder="1">
      <alignment vertical="center"/>
    </xf>
    <xf numFmtId="176" fontId="12" fillId="0" borderId="6" xfId="3064" applyNumberFormat="1" applyFont="1" applyFill="1" applyBorder="1" applyAlignment="1">
      <alignment horizontal="center" vertical="center"/>
    </xf>
    <xf numFmtId="177" fontId="40" fillId="0" borderId="29" xfId="0" applyNumberFormat="1" applyFont="1" applyFill="1" applyBorder="1" applyAlignment="1">
      <alignment horizontal="center" vertical="center"/>
    </xf>
    <xf numFmtId="177" fontId="11" fillId="0" borderId="29" xfId="0" applyNumberFormat="1" applyFont="1" applyFill="1" applyBorder="1" applyAlignment="1">
      <alignment horizontal="center" vertical="center"/>
    </xf>
    <xf numFmtId="177" fontId="45" fillId="0" borderId="29" xfId="0" applyNumberFormat="1" applyFont="1" applyFill="1" applyBorder="1"/>
    <xf numFmtId="176" fontId="45" fillId="0" borderId="49" xfId="0" applyNumberFormat="1" applyFont="1" applyBorder="1" applyAlignment="1">
      <alignment horizontal="center" vertical="center"/>
    </xf>
    <xf numFmtId="241" fontId="45" fillId="0" borderId="50" xfId="0" applyNumberFormat="1" applyFont="1" applyBorder="1" applyAlignment="1">
      <alignment horizontal="center" vertical="center"/>
    </xf>
    <xf numFmtId="0" fontId="11" fillId="0" borderId="70" xfId="3058" applyFont="1" applyFill="1" applyBorder="1" applyAlignment="1">
      <alignment horizontal="left" vertical="center"/>
    </xf>
    <xf numFmtId="0" fontId="11" fillId="0" borderId="1" xfId="3058" quotePrefix="1" applyFont="1" applyFill="1" applyBorder="1" applyAlignment="1">
      <alignment horizontal="left" vertical="center"/>
    </xf>
    <xf numFmtId="1" fontId="11" fillId="0" borderId="1" xfId="3058" applyNumberFormat="1" applyFont="1" applyFill="1" applyBorder="1">
      <alignment vertical="center"/>
    </xf>
    <xf numFmtId="1" fontId="11" fillId="0" borderId="71" xfId="3058" applyNumberFormat="1" applyFont="1" applyFill="1" applyBorder="1">
      <alignment vertical="center"/>
    </xf>
    <xf numFmtId="1" fontId="11" fillId="0" borderId="39" xfId="3058" applyNumberFormat="1" applyFont="1" applyFill="1" applyBorder="1">
      <alignment vertical="center"/>
    </xf>
    <xf numFmtId="0" fontId="11" fillId="0" borderId="14" xfId="3058" applyFont="1" applyBorder="1" applyAlignment="1">
      <alignment horizontal="left" vertical="center"/>
    </xf>
    <xf numFmtId="0" fontId="11" fillId="0" borderId="14" xfId="3058" applyFont="1" applyBorder="1">
      <alignment vertical="center"/>
    </xf>
    <xf numFmtId="0" fontId="11" fillId="0" borderId="23" xfId="3058" applyFont="1" applyBorder="1">
      <alignment vertical="center"/>
    </xf>
    <xf numFmtId="1" fontId="11" fillId="0" borderId="2" xfId="3058" applyNumberFormat="1" applyFont="1" applyBorder="1">
      <alignment vertical="center"/>
    </xf>
    <xf numFmtId="178" fontId="48" fillId="0" borderId="6" xfId="0" applyNumberFormat="1" applyFont="1" applyFill="1" applyBorder="1" applyAlignment="1">
      <alignment horizontal="center" vertical="center"/>
    </xf>
    <xf numFmtId="0" fontId="45" fillId="0" borderId="0" xfId="0" applyFont="1" applyFill="1" applyAlignment="1"/>
    <xf numFmtId="0" fontId="45" fillId="0" borderId="0" xfId="0" applyFont="1" applyBorder="1" applyAlignment="1">
      <alignment vertical="center"/>
    </xf>
    <xf numFmtId="0" fontId="40" fillId="28" borderId="48" xfId="0" applyFont="1" applyFill="1" applyBorder="1" applyAlignment="1">
      <alignment horizontal="center" vertical="center" wrapText="1"/>
    </xf>
    <xf numFmtId="1" fontId="11" fillId="0" borderId="63" xfId="3058" applyNumberFormat="1" applyFont="1" applyFill="1" applyBorder="1" applyAlignment="1">
      <alignment horizontal="center" vertical="center"/>
    </xf>
    <xf numFmtId="0" fontId="93" fillId="35" borderId="29" xfId="0" applyFont="1" applyFill="1" applyBorder="1" applyAlignment="1">
      <alignment horizontal="center" vertical="center"/>
    </xf>
    <xf numFmtId="0" fontId="107" fillId="28" borderId="49" xfId="0" applyFont="1" applyFill="1" applyBorder="1" applyAlignment="1">
      <alignment horizontal="center" vertical="center"/>
    </xf>
    <xf numFmtId="0" fontId="93" fillId="35" borderId="6" xfId="0" applyFont="1" applyFill="1" applyBorder="1" applyAlignment="1">
      <alignment horizontal="center" vertical="center"/>
    </xf>
    <xf numFmtId="0" fontId="107" fillId="28" borderId="27" xfId="0" applyFont="1" applyFill="1" applyBorder="1" applyAlignment="1">
      <alignment horizontal="center" vertical="center"/>
    </xf>
    <xf numFmtId="0" fontId="40" fillId="28" borderId="48" xfId="0" applyFont="1" applyFill="1" applyBorder="1" applyAlignment="1">
      <alignment horizontal="center" vertical="center" wrapText="1" shrinkToFit="1"/>
    </xf>
    <xf numFmtId="0" fontId="76" fillId="32" borderId="48" xfId="3054" applyFont="1" applyFill="1" applyBorder="1" applyAlignment="1">
      <alignment horizontal="center" vertical="center" shrinkToFit="1"/>
    </xf>
    <xf numFmtId="0" fontId="45" fillId="32" borderId="6" xfId="0" applyFont="1" applyFill="1" applyBorder="1" applyAlignment="1">
      <alignment horizontal="center" vertical="center" shrinkToFit="1"/>
    </xf>
    <xf numFmtId="0" fontId="40" fillId="35" borderId="6" xfId="3051" applyFont="1" applyFill="1" applyBorder="1" applyAlignment="1">
      <alignment horizontal="center" vertical="center"/>
    </xf>
    <xf numFmtId="177" fontId="45" fillId="0" borderId="6" xfId="0" applyNumberFormat="1" applyFont="1" applyBorder="1"/>
    <xf numFmtId="0" fontId="40" fillId="35" borderId="6" xfId="0" applyFont="1" applyFill="1" applyBorder="1" applyAlignment="1">
      <alignment horizontal="center"/>
    </xf>
    <xf numFmtId="0" fontId="103" fillId="35" borderId="72" xfId="0" applyFont="1" applyFill="1" applyBorder="1" applyAlignment="1">
      <alignment horizontal="center" vertical="center"/>
    </xf>
    <xf numFmtId="1" fontId="77" fillId="0" borderId="14" xfId="3058" applyNumberFormat="1" applyFont="1" applyFill="1" applyBorder="1" applyAlignment="1">
      <alignment horizontal="left" vertical="center"/>
    </xf>
    <xf numFmtId="0" fontId="103" fillId="35" borderId="66" xfId="0" applyFont="1" applyFill="1" applyBorder="1" applyAlignment="1">
      <alignment horizontal="center" vertical="center" wrapText="1"/>
    </xf>
    <xf numFmtId="0" fontId="103" fillId="35" borderId="73" xfId="0" applyFont="1" applyFill="1" applyBorder="1" applyAlignment="1">
      <alignment horizontal="center" vertical="center"/>
    </xf>
    <xf numFmtId="0" fontId="30" fillId="0" borderId="46" xfId="3061" applyFont="1" applyBorder="1" applyAlignment="1">
      <alignment horizontal="center" vertical="center" wrapText="1"/>
    </xf>
    <xf numFmtId="0" fontId="30" fillId="0" borderId="47" xfId="3061" applyFont="1" applyBorder="1" applyAlignment="1">
      <alignment horizontal="center" vertical="center"/>
    </xf>
    <xf numFmtId="0" fontId="30" fillId="0" borderId="41" xfId="3061" applyFont="1" applyBorder="1" applyAlignment="1">
      <alignment horizontal="center" vertical="center"/>
    </xf>
    <xf numFmtId="0" fontId="30" fillId="0" borderId="26" xfId="3061" applyFont="1" applyBorder="1" applyAlignment="1">
      <alignment horizontal="center" vertical="center"/>
    </xf>
    <xf numFmtId="0" fontId="30" fillId="0" borderId="0" xfId="3061" applyFont="1" applyBorder="1" applyAlignment="1">
      <alignment horizontal="center" vertical="center"/>
    </xf>
    <xf numFmtId="0" fontId="30" fillId="0" borderId="40" xfId="3061" applyFont="1" applyBorder="1" applyAlignment="1">
      <alignment horizontal="center" vertical="center"/>
    </xf>
    <xf numFmtId="0" fontId="43" fillId="0" borderId="74" xfId="3057" applyFont="1" applyBorder="1" applyAlignment="1">
      <alignment horizontal="center" vertical="center"/>
    </xf>
    <xf numFmtId="0" fontId="43" fillId="0" borderId="75" xfId="3057" applyFont="1" applyBorder="1" applyAlignment="1">
      <alignment horizontal="center" vertical="center"/>
    </xf>
    <xf numFmtId="0" fontId="43" fillId="0" borderId="76" xfId="3057" applyFont="1" applyBorder="1" applyAlignment="1">
      <alignment horizontal="center" vertical="center"/>
    </xf>
    <xf numFmtId="0" fontId="43" fillId="0" borderId="77" xfId="3057" applyFont="1" applyBorder="1" applyAlignment="1">
      <alignment horizontal="center" vertical="center"/>
    </xf>
    <xf numFmtId="0" fontId="43" fillId="0" borderId="78" xfId="3057" applyFont="1" applyBorder="1" applyAlignment="1">
      <alignment horizontal="center" vertical="center"/>
    </xf>
    <xf numFmtId="0" fontId="43" fillId="0" borderId="79" xfId="3057" applyFont="1" applyBorder="1" applyAlignment="1">
      <alignment horizontal="center" vertical="center"/>
    </xf>
    <xf numFmtId="0" fontId="41" fillId="0" borderId="0" xfId="3059" applyFont="1" applyAlignment="1">
      <alignment horizontal="center" vertical="center"/>
    </xf>
    <xf numFmtId="0" fontId="42" fillId="0" borderId="0" xfId="3059" applyFont="1" applyAlignment="1">
      <alignment horizontal="center" vertical="center"/>
    </xf>
    <xf numFmtId="0" fontId="44" fillId="28" borderId="27" xfId="3058" applyFont="1" applyFill="1" applyBorder="1" applyAlignment="1">
      <alignment horizontal="center" vertical="center"/>
    </xf>
    <xf numFmtId="0" fontId="44" fillId="28" borderId="5" xfId="3058" applyFont="1" applyFill="1" applyBorder="1" applyAlignment="1">
      <alignment horizontal="center" vertical="center"/>
    </xf>
    <xf numFmtId="0" fontId="44" fillId="28" borderId="80" xfId="3058" applyFont="1" applyFill="1" applyBorder="1" applyAlignment="1">
      <alignment horizontal="center" vertical="center"/>
    </xf>
    <xf numFmtId="0" fontId="12" fillId="0" borderId="27" xfId="3064" applyFont="1" applyFill="1" applyBorder="1" applyAlignment="1">
      <alignment horizontal="center" vertical="center"/>
    </xf>
    <xf numFmtId="0" fontId="12" fillId="0" borderId="25" xfId="3064" applyFont="1" applyFill="1" applyBorder="1" applyAlignment="1">
      <alignment horizontal="center" vertical="center"/>
    </xf>
    <xf numFmtId="0" fontId="12" fillId="0" borderId="69" xfId="3064" applyFont="1" applyBorder="1" applyAlignment="1">
      <alignment horizontal="center" vertical="center"/>
    </xf>
    <xf numFmtId="0" fontId="12" fillId="0" borderId="55" xfId="3064" applyFont="1" applyBorder="1" applyAlignment="1">
      <alignment horizontal="center" vertical="center"/>
    </xf>
    <xf numFmtId="0" fontId="12" fillId="0" borderId="27" xfId="3064" applyFont="1" applyBorder="1" applyAlignment="1">
      <alignment horizontal="center" vertical="center"/>
    </xf>
    <xf numFmtId="0" fontId="12" fillId="0" borderId="25" xfId="3064" applyFont="1" applyBorder="1" applyAlignment="1">
      <alignment horizontal="center" vertical="center"/>
    </xf>
    <xf numFmtId="1" fontId="49" fillId="0" borderId="53" xfId="0" applyNumberFormat="1" applyFont="1" applyFill="1" applyBorder="1" applyAlignment="1">
      <alignment horizontal="center" vertical="center"/>
    </xf>
    <xf numFmtId="1" fontId="49" fillId="0" borderId="52" xfId="0" applyNumberFormat="1" applyFont="1" applyFill="1" applyBorder="1" applyAlignment="1">
      <alignment horizontal="center" vertical="center"/>
    </xf>
    <xf numFmtId="0" fontId="12" fillId="0" borderId="48" xfId="3064" applyFont="1" applyBorder="1" applyAlignment="1">
      <alignment horizontal="center" vertical="center" wrapText="1"/>
    </xf>
    <xf numFmtId="0" fontId="12" fillId="0" borderId="28" xfId="3064" applyFont="1" applyBorder="1" applyAlignment="1">
      <alignment horizontal="center" vertical="center"/>
    </xf>
    <xf numFmtId="0" fontId="12" fillId="0" borderId="29" xfId="3064" applyFont="1" applyBorder="1" applyAlignment="1">
      <alignment horizontal="center" vertical="center"/>
    </xf>
    <xf numFmtId="1" fontId="49" fillId="0" borderId="69" xfId="0" applyNumberFormat="1" applyFont="1" applyFill="1" applyBorder="1" applyAlignment="1">
      <alignment horizontal="center" vertical="center"/>
    </xf>
    <xf numFmtId="1" fontId="49" fillId="0" borderId="55" xfId="0" applyNumberFormat="1" applyFont="1" applyFill="1" applyBorder="1" applyAlignment="1">
      <alignment horizontal="center" vertical="center"/>
    </xf>
    <xf numFmtId="0" fontId="12" fillId="0" borderId="48" xfId="3064" applyFont="1" applyBorder="1" applyAlignment="1">
      <alignment horizontal="center" vertical="center"/>
    </xf>
    <xf numFmtId="0" fontId="12" fillId="0" borderId="28" xfId="3064" applyFont="1" applyBorder="1" applyAlignment="1">
      <alignment horizontal="center" vertical="center" wrapText="1"/>
    </xf>
    <xf numFmtId="0" fontId="12" fillId="0" borderId="29" xfId="3064" applyFont="1" applyBorder="1" applyAlignment="1">
      <alignment horizontal="center" vertical="center" wrapText="1"/>
    </xf>
    <xf numFmtId="0" fontId="12" fillId="0" borderId="48" xfId="3062" applyFont="1" applyFill="1" applyBorder="1" applyAlignment="1">
      <alignment horizontal="center" vertical="center"/>
    </xf>
    <xf numFmtId="0" fontId="12" fillId="0" borderId="29" xfId="3062" applyFont="1" applyFill="1" applyBorder="1" applyAlignment="1">
      <alignment horizontal="center" vertical="center"/>
    </xf>
    <xf numFmtId="0" fontId="12" fillId="0" borderId="6" xfId="3064" applyFont="1" applyBorder="1" applyAlignment="1">
      <alignment horizontal="center" vertical="center"/>
    </xf>
    <xf numFmtId="182" fontId="49" fillId="0" borderId="27" xfId="3064" applyNumberFormat="1" applyFont="1" applyFill="1" applyBorder="1" applyAlignment="1">
      <alignment horizontal="center" vertical="center"/>
    </xf>
    <xf numFmtId="182" fontId="49" fillId="0" borderId="5" xfId="3064" applyNumberFormat="1" applyFont="1" applyFill="1" applyBorder="1" applyAlignment="1">
      <alignment horizontal="center" vertical="center"/>
    </xf>
    <xf numFmtId="182" fontId="49" fillId="0" borderId="25" xfId="3064" applyNumberFormat="1" applyFont="1" applyFill="1" applyBorder="1" applyAlignment="1">
      <alignment horizontal="center" vertical="center"/>
    </xf>
    <xf numFmtId="0" fontId="12" fillId="32" borderId="46" xfId="3064" applyFont="1" applyFill="1" applyBorder="1" applyAlignment="1">
      <alignment horizontal="center" vertical="center" wrapText="1"/>
    </xf>
    <xf numFmtId="0" fontId="12" fillId="32" borderId="49" xfId="3064" applyFont="1" applyFill="1" applyBorder="1" applyAlignment="1">
      <alignment horizontal="center" vertical="center" wrapText="1"/>
    </xf>
    <xf numFmtId="0" fontId="12" fillId="32" borderId="48" xfId="3064" applyFont="1" applyFill="1" applyBorder="1" applyAlignment="1">
      <alignment horizontal="center" vertical="center" wrapText="1"/>
    </xf>
    <xf numFmtId="0" fontId="12" fillId="32" borderId="29" xfId="3064" applyFont="1" applyFill="1" applyBorder="1" applyAlignment="1">
      <alignment horizontal="center" vertical="center" wrapText="1"/>
    </xf>
    <xf numFmtId="0" fontId="12" fillId="32" borderId="48" xfId="3064" applyFont="1" applyFill="1" applyBorder="1" applyAlignment="1">
      <alignment horizontal="center" vertical="center"/>
    </xf>
    <xf numFmtId="0" fontId="12" fillId="32" borderId="29" xfId="3064" applyFont="1" applyFill="1" applyBorder="1" applyAlignment="1">
      <alignment horizontal="center" vertical="center"/>
    </xf>
    <xf numFmtId="0" fontId="12" fillId="32" borderId="27" xfId="3064" applyFont="1" applyFill="1" applyBorder="1" applyAlignment="1">
      <alignment horizontal="center" vertical="center"/>
    </xf>
    <xf numFmtId="0" fontId="12" fillId="32" borderId="5" xfId="3064" applyFont="1" applyFill="1" applyBorder="1" applyAlignment="1">
      <alignment horizontal="center" vertical="center"/>
    </xf>
    <xf numFmtId="0" fontId="12" fillId="32" borderId="25" xfId="3064" applyFont="1" applyFill="1" applyBorder="1" applyAlignment="1">
      <alignment horizontal="center" vertical="center"/>
    </xf>
    <xf numFmtId="0" fontId="12" fillId="32" borderId="41" xfId="3064" applyFont="1" applyFill="1" applyBorder="1" applyAlignment="1">
      <alignment horizontal="center" vertical="center" wrapText="1"/>
    </xf>
    <xf numFmtId="0" fontId="12" fillId="32" borderId="44" xfId="3064" applyFont="1" applyFill="1" applyBorder="1" applyAlignment="1">
      <alignment horizontal="center" vertical="center" wrapText="1"/>
    </xf>
    <xf numFmtId="0" fontId="12" fillId="32" borderId="47" xfId="3064" applyFont="1" applyFill="1" applyBorder="1" applyAlignment="1">
      <alignment horizontal="center" vertical="center" wrapText="1"/>
    </xf>
    <xf numFmtId="0" fontId="12" fillId="32" borderId="50" xfId="3064" applyFont="1" applyFill="1" applyBorder="1" applyAlignment="1">
      <alignment horizontal="center" vertical="center" wrapText="1"/>
    </xf>
    <xf numFmtId="0" fontId="29" fillId="0" borderId="50" xfId="3064" applyFont="1" applyBorder="1" applyAlignment="1">
      <alignment horizontal="left"/>
    </xf>
    <xf numFmtId="0" fontId="75" fillId="0" borderId="0" xfId="3064" applyNumberFormat="1" applyFont="1" applyAlignment="1">
      <alignment horizontal="center" vertical="center"/>
    </xf>
    <xf numFmtId="0" fontId="12" fillId="28" borderId="27" xfId="3064" applyFont="1" applyFill="1" applyBorder="1" applyAlignment="1">
      <alignment horizontal="center" vertical="center"/>
    </xf>
    <xf numFmtId="0" fontId="12" fillId="28" borderId="25" xfId="3064" applyFont="1" applyFill="1" applyBorder="1" applyAlignment="1">
      <alignment horizontal="center" vertical="center"/>
    </xf>
    <xf numFmtId="0" fontId="12" fillId="32" borderId="46" xfId="3064" applyFont="1" applyFill="1" applyBorder="1" applyAlignment="1">
      <alignment horizontal="center"/>
    </xf>
    <xf numFmtId="0" fontId="12" fillId="32" borderId="41" xfId="3064" applyFont="1" applyFill="1" applyBorder="1" applyAlignment="1">
      <alignment horizontal="center"/>
    </xf>
    <xf numFmtId="0" fontId="12" fillId="32" borderId="41" xfId="3064" quotePrefix="1" applyFont="1" applyFill="1" applyBorder="1" applyAlignment="1">
      <alignment horizontal="center"/>
    </xf>
    <xf numFmtId="0" fontId="12" fillId="0" borderId="46" xfId="3064" applyFont="1" applyBorder="1" applyAlignment="1">
      <alignment horizontal="center" vertical="center"/>
    </xf>
    <xf numFmtId="0" fontId="12" fillId="0" borderId="26" xfId="3064" applyFont="1" applyBorder="1" applyAlignment="1">
      <alignment horizontal="center" vertical="center"/>
    </xf>
    <xf numFmtId="0" fontId="12" fillId="0" borderId="49" xfId="3064" applyFont="1" applyBorder="1" applyAlignment="1">
      <alignment horizontal="center" vertical="center"/>
    </xf>
    <xf numFmtId="0" fontId="12" fillId="28" borderId="6" xfId="3065" applyFont="1" applyFill="1" applyBorder="1" applyAlignment="1">
      <alignment horizontal="center" vertical="center" wrapText="1"/>
    </xf>
    <xf numFmtId="0" fontId="12" fillId="28" borderId="6" xfId="3065" applyFont="1" applyFill="1" applyBorder="1" applyAlignment="1">
      <alignment horizontal="center" vertical="center"/>
    </xf>
    <xf numFmtId="0" fontId="12" fillId="28" borderId="48" xfId="3065" applyFont="1" applyFill="1" applyBorder="1" applyAlignment="1">
      <alignment horizontal="center" vertical="center"/>
    </xf>
    <xf numFmtId="0" fontId="12" fillId="28" borderId="29" xfId="3065" applyFont="1" applyFill="1" applyBorder="1" applyAlignment="1">
      <alignment horizontal="center" vertical="center"/>
    </xf>
    <xf numFmtId="0" fontId="12" fillId="28" borderId="28" xfId="3065" applyFont="1" applyFill="1" applyBorder="1" applyAlignment="1">
      <alignment horizontal="center" vertical="center"/>
    </xf>
    <xf numFmtId="0" fontId="28" fillId="28" borderId="48" xfId="3065" applyFont="1" applyFill="1" applyBorder="1" applyAlignment="1">
      <alignment horizontal="center" vertical="center"/>
    </xf>
    <xf numFmtId="0" fontId="28" fillId="28" borderId="29" xfId="3065" applyFont="1" applyFill="1" applyBorder="1" applyAlignment="1">
      <alignment horizontal="center" vertical="center"/>
    </xf>
    <xf numFmtId="0" fontId="12" fillId="28" borderId="48" xfId="3065" applyFont="1" applyFill="1" applyBorder="1" applyAlignment="1">
      <alignment horizontal="center" vertical="center" wrapText="1"/>
    </xf>
    <xf numFmtId="0" fontId="12" fillId="28" borderId="29" xfId="3065" applyFont="1" applyFill="1" applyBorder="1" applyAlignment="1">
      <alignment horizontal="center" vertical="center" wrapText="1"/>
    </xf>
    <xf numFmtId="189" fontId="28" fillId="28" borderId="48" xfId="3065" applyNumberFormat="1" applyFont="1" applyFill="1" applyBorder="1" applyAlignment="1">
      <alignment horizontal="center" vertical="center"/>
    </xf>
    <xf numFmtId="189" fontId="28" fillId="28" borderId="29" xfId="3065" applyNumberFormat="1" applyFont="1" applyFill="1" applyBorder="1" applyAlignment="1">
      <alignment horizontal="center" vertical="center"/>
    </xf>
    <xf numFmtId="0" fontId="45" fillId="28" borderId="6" xfId="0" applyFont="1" applyFill="1" applyBorder="1" applyAlignment="1">
      <alignment horizontal="center" vertical="center"/>
    </xf>
    <xf numFmtId="0" fontId="40" fillId="28" borderId="27" xfId="0" applyFont="1" applyFill="1" applyBorder="1" applyAlignment="1">
      <alignment horizontal="center" vertical="center"/>
    </xf>
    <xf numFmtId="0" fontId="40" fillId="28" borderId="5" xfId="0" applyFont="1" applyFill="1" applyBorder="1" applyAlignment="1">
      <alignment horizontal="center" vertical="center"/>
    </xf>
    <xf numFmtId="0" fontId="40" fillId="28" borderId="25" xfId="0" applyFont="1" applyFill="1" applyBorder="1" applyAlignment="1">
      <alignment horizontal="center" vertical="center"/>
    </xf>
    <xf numFmtId="0" fontId="11" fillId="32" borderId="6" xfId="3053" applyFont="1" applyFill="1" applyBorder="1" applyAlignment="1">
      <alignment horizontal="center" vertical="center"/>
    </xf>
    <xf numFmtId="0" fontId="76" fillId="35" borderId="6" xfId="0" applyFont="1" applyFill="1" applyBorder="1" applyAlignment="1">
      <alignment horizontal="center" vertical="center"/>
    </xf>
    <xf numFmtId="0" fontId="40" fillId="28" borderId="6" xfId="0" applyFont="1" applyFill="1" applyBorder="1" applyAlignment="1">
      <alignment horizontal="center" vertical="center"/>
    </xf>
    <xf numFmtId="0" fontId="12" fillId="32" borderId="27" xfId="3065" applyFont="1" applyFill="1" applyBorder="1" applyAlignment="1">
      <alignment horizontal="center" vertical="center"/>
    </xf>
    <xf numFmtId="0" fontId="12" fillId="32" borderId="25" xfId="3065" applyFont="1" applyFill="1" applyBorder="1" applyAlignment="1">
      <alignment horizontal="center" vertical="center"/>
    </xf>
    <xf numFmtId="0" fontId="40" fillId="28" borderId="48" xfId="0" applyFont="1" applyFill="1" applyBorder="1" applyAlignment="1">
      <alignment horizontal="center" vertical="center" wrapText="1"/>
    </xf>
    <xf numFmtId="0" fontId="40" fillId="28" borderId="28" xfId="0" applyFont="1" applyFill="1" applyBorder="1" applyAlignment="1">
      <alignment horizontal="center" vertical="center"/>
    </xf>
    <xf numFmtId="0" fontId="40" fillId="28" borderId="29" xfId="0" applyFont="1" applyFill="1" applyBorder="1" applyAlignment="1">
      <alignment horizontal="center" vertical="center"/>
    </xf>
    <xf numFmtId="0" fontId="9" fillId="28" borderId="6" xfId="0" applyFont="1" applyFill="1" applyBorder="1" applyAlignment="1">
      <alignment horizontal="center" vertical="center"/>
    </xf>
    <xf numFmtId="176" fontId="9" fillId="28" borderId="48" xfId="0" applyNumberFormat="1" applyFont="1" applyFill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/>
    </xf>
    <xf numFmtId="176" fontId="9" fillId="28" borderId="6" xfId="0" applyNumberFormat="1" applyFont="1" applyFill="1" applyBorder="1" applyAlignment="1">
      <alignment horizontal="center" vertical="center"/>
    </xf>
    <xf numFmtId="0" fontId="40" fillId="28" borderId="48" xfId="0" applyFont="1" applyFill="1" applyBorder="1" applyAlignment="1">
      <alignment horizontal="center" vertical="center"/>
    </xf>
    <xf numFmtId="0" fontId="40" fillId="28" borderId="28" xfId="0" applyFont="1" applyFill="1" applyBorder="1" applyAlignment="1">
      <alignment horizontal="center" vertical="center" wrapText="1"/>
    </xf>
    <xf numFmtId="0" fontId="103" fillId="35" borderId="84" xfId="0" applyFont="1" applyFill="1" applyBorder="1" applyAlignment="1">
      <alignment horizontal="center" vertical="center"/>
    </xf>
    <xf numFmtId="0" fontId="103" fillId="35" borderId="85" xfId="0" applyFont="1" applyFill="1" applyBorder="1" applyAlignment="1">
      <alignment horizontal="center" vertical="center"/>
    </xf>
    <xf numFmtId="0" fontId="103" fillId="35" borderId="6" xfId="0" applyFont="1" applyFill="1" applyBorder="1" applyAlignment="1">
      <alignment horizontal="center" vertical="center"/>
    </xf>
    <xf numFmtId="0" fontId="103" fillId="35" borderId="6" xfId="0" applyFont="1" applyFill="1" applyBorder="1" applyAlignment="1">
      <alignment horizontal="center" vertical="center" wrapText="1"/>
    </xf>
    <xf numFmtId="0" fontId="40" fillId="35" borderId="6" xfId="0" applyFont="1" applyFill="1" applyBorder="1" applyAlignment="1">
      <alignment horizontal="center" vertical="center" wrapText="1"/>
    </xf>
    <xf numFmtId="0" fontId="40" fillId="35" borderId="6" xfId="0" applyFont="1" applyFill="1" applyBorder="1" applyAlignment="1">
      <alignment horizontal="center" vertical="center"/>
    </xf>
    <xf numFmtId="0" fontId="11" fillId="35" borderId="48" xfId="3058" applyFont="1" applyFill="1" applyBorder="1" applyAlignment="1">
      <alignment horizontal="center" vertical="center" wrapText="1"/>
    </xf>
    <xf numFmtId="0" fontId="11" fillId="35" borderId="28" xfId="3058" applyFont="1" applyFill="1" applyBorder="1" applyAlignment="1">
      <alignment horizontal="center" vertical="center" wrapText="1"/>
    </xf>
    <xf numFmtId="0" fontId="11" fillId="35" borderId="29" xfId="3058" applyFont="1" applyFill="1" applyBorder="1" applyAlignment="1">
      <alignment horizontal="center" vertical="center" wrapText="1"/>
    </xf>
    <xf numFmtId="0" fontId="40" fillId="28" borderId="28" xfId="0" applyFont="1" applyFill="1" applyBorder="1" applyAlignment="1">
      <alignment horizontal="center" vertical="center" wrapText="1" shrinkToFit="1"/>
    </xf>
    <xf numFmtId="0" fontId="40" fillId="28" borderId="29" xfId="0" applyFont="1" applyFill="1" applyBorder="1" applyAlignment="1">
      <alignment horizontal="center" vertical="center" wrapText="1" shrinkToFit="1"/>
    </xf>
    <xf numFmtId="0" fontId="40" fillId="28" borderId="48" xfId="0" applyFont="1" applyFill="1" applyBorder="1" applyAlignment="1">
      <alignment horizontal="center" vertical="center" shrinkToFit="1"/>
    </xf>
    <xf numFmtId="0" fontId="40" fillId="28" borderId="29" xfId="0" applyFont="1" applyFill="1" applyBorder="1" applyAlignment="1">
      <alignment horizontal="center" vertical="center" shrinkToFit="1"/>
    </xf>
    <xf numFmtId="0" fontId="76" fillId="32" borderId="48" xfId="3054" applyFont="1" applyFill="1" applyBorder="1" applyAlignment="1">
      <alignment horizontal="center" vertical="center" shrinkToFit="1"/>
    </xf>
    <xf numFmtId="0" fontId="76" fillId="32" borderId="28" xfId="3054" applyFont="1" applyFill="1" applyBorder="1" applyAlignment="1">
      <alignment horizontal="center" vertical="center" shrinkToFit="1"/>
    </xf>
    <xf numFmtId="0" fontId="76" fillId="32" borderId="29" xfId="3054" applyFont="1" applyFill="1" applyBorder="1" applyAlignment="1">
      <alignment horizontal="center" vertical="center" shrinkToFit="1"/>
    </xf>
    <xf numFmtId="0" fontId="77" fillId="32" borderId="27" xfId="3054" applyFont="1" applyFill="1" applyBorder="1" applyAlignment="1">
      <alignment horizontal="center" vertical="center"/>
    </xf>
    <xf numFmtId="0" fontId="77" fillId="32" borderId="25" xfId="3054" applyFont="1" applyFill="1" applyBorder="1" applyAlignment="1">
      <alignment horizontal="center" vertical="center"/>
    </xf>
    <xf numFmtId="0" fontId="76" fillId="32" borderId="6" xfId="3054" applyFont="1" applyFill="1" applyBorder="1" applyAlignment="1">
      <alignment horizontal="center" vertical="center"/>
    </xf>
    <xf numFmtId="0" fontId="11" fillId="32" borderId="48" xfId="3058" applyFont="1" applyFill="1" applyBorder="1" applyAlignment="1">
      <alignment horizontal="center" vertical="center" wrapText="1"/>
    </xf>
    <xf numFmtId="0" fontId="11" fillId="32" borderId="28" xfId="3058" applyFont="1" applyFill="1" applyBorder="1" applyAlignment="1">
      <alignment horizontal="center" vertical="center" wrapText="1"/>
    </xf>
    <xf numFmtId="0" fontId="11" fillId="32" borderId="29" xfId="3058" applyFont="1" applyFill="1" applyBorder="1" applyAlignment="1">
      <alignment horizontal="center" vertical="center" wrapText="1"/>
    </xf>
    <xf numFmtId="0" fontId="76" fillId="32" borderId="27" xfId="3054" applyFont="1" applyFill="1" applyBorder="1" applyAlignment="1">
      <alignment horizontal="center" vertical="center" shrinkToFit="1"/>
    </xf>
    <xf numFmtId="0" fontId="76" fillId="32" borderId="25" xfId="3054" applyFont="1" applyFill="1" applyBorder="1" applyAlignment="1">
      <alignment horizontal="center" vertical="center" shrinkToFit="1"/>
    </xf>
    <xf numFmtId="0" fontId="76" fillId="32" borderId="6" xfId="3054" applyFont="1" applyFill="1" applyBorder="1" applyAlignment="1">
      <alignment horizontal="center" vertical="center" wrapText="1"/>
    </xf>
    <xf numFmtId="0" fontId="77" fillId="32" borderId="6" xfId="3054" applyFont="1" applyFill="1" applyBorder="1" applyAlignment="1">
      <alignment horizontal="center" vertical="center"/>
    </xf>
    <xf numFmtId="0" fontId="76" fillId="35" borderId="27" xfId="0" applyFont="1" applyFill="1" applyBorder="1" applyAlignment="1">
      <alignment horizontal="center" vertical="center"/>
    </xf>
    <xf numFmtId="0" fontId="76" fillId="35" borderId="5" xfId="0" applyFont="1" applyFill="1" applyBorder="1" applyAlignment="1">
      <alignment horizontal="center" vertical="center"/>
    </xf>
    <xf numFmtId="0" fontId="76" fillId="35" borderId="25" xfId="0" applyFont="1" applyFill="1" applyBorder="1" applyAlignment="1">
      <alignment horizontal="center" vertical="center"/>
    </xf>
    <xf numFmtId="0" fontId="103" fillId="35" borderId="83" xfId="0" applyFont="1" applyFill="1" applyBorder="1" applyAlignment="1">
      <alignment horizontal="center" vertical="center"/>
    </xf>
    <xf numFmtId="0" fontId="103" fillId="35" borderId="82" xfId="0" applyFont="1" applyFill="1" applyBorder="1" applyAlignment="1">
      <alignment horizontal="center" vertical="center"/>
    </xf>
    <xf numFmtId="0" fontId="103" fillId="35" borderId="68" xfId="0" applyFont="1" applyFill="1" applyBorder="1" applyAlignment="1">
      <alignment horizontal="center" vertical="center"/>
    </xf>
    <xf numFmtId="0" fontId="40" fillId="35" borderId="6" xfId="3051" applyFont="1" applyFill="1" applyBorder="1" applyAlignment="1">
      <alignment horizontal="center" vertical="center"/>
    </xf>
    <xf numFmtId="0" fontId="40" fillId="35" borderId="48" xfId="3051" applyFont="1" applyFill="1" applyBorder="1" applyAlignment="1">
      <alignment horizontal="center" vertical="center"/>
    </xf>
    <xf numFmtId="0" fontId="40" fillId="35" borderId="28" xfId="3051" applyFont="1" applyFill="1" applyBorder="1" applyAlignment="1">
      <alignment horizontal="center" vertical="center"/>
    </xf>
    <xf numFmtId="0" fontId="40" fillId="35" borderId="29" xfId="3051" applyFont="1" applyFill="1" applyBorder="1" applyAlignment="1">
      <alignment horizontal="center" vertical="center"/>
    </xf>
    <xf numFmtId="0" fontId="40" fillId="28" borderId="46" xfId="0" applyFont="1" applyFill="1" applyBorder="1" applyAlignment="1">
      <alignment horizontal="center" vertical="center"/>
    </xf>
    <xf numFmtId="0" fontId="40" fillId="28" borderId="47" xfId="0" applyFont="1" applyFill="1" applyBorder="1" applyAlignment="1">
      <alignment horizontal="center" vertical="center"/>
    </xf>
    <xf numFmtId="0" fontId="40" fillId="28" borderId="41" xfId="0" applyFont="1" applyFill="1" applyBorder="1" applyAlignment="1">
      <alignment horizontal="center" vertical="center"/>
    </xf>
    <xf numFmtId="0" fontId="76" fillId="32" borderId="29" xfId="3054" applyFont="1" applyFill="1" applyBorder="1" applyAlignment="1">
      <alignment horizontal="center" vertical="center"/>
    </xf>
    <xf numFmtId="0" fontId="40" fillId="28" borderId="29" xfId="0" applyFont="1" applyFill="1" applyBorder="1" applyAlignment="1">
      <alignment horizontal="center" vertical="center" wrapText="1"/>
    </xf>
    <xf numFmtId="0" fontId="40" fillId="28" borderId="49" xfId="0" applyFont="1" applyFill="1" applyBorder="1" applyAlignment="1">
      <alignment horizontal="center" vertical="center"/>
    </xf>
    <xf numFmtId="0" fontId="40" fillId="28" borderId="44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" fontId="45" fillId="32" borderId="27" xfId="0" applyNumberFormat="1" applyFont="1" applyFill="1" applyBorder="1" applyAlignment="1">
      <alignment horizontal="center" vertical="center"/>
    </xf>
    <xf numFmtId="0" fontId="45" fillId="32" borderId="25" xfId="0" applyFont="1" applyFill="1" applyBorder="1" applyAlignment="1">
      <alignment horizontal="center" vertical="center"/>
    </xf>
    <xf numFmtId="1" fontId="45" fillId="28" borderId="27" xfId="0" applyNumberFormat="1" applyFont="1" applyFill="1" applyBorder="1" applyAlignment="1">
      <alignment horizontal="center" vertical="center"/>
    </xf>
    <xf numFmtId="0" fontId="45" fillId="28" borderId="25" xfId="0" applyFont="1" applyFill="1" applyBorder="1" applyAlignment="1">
      <alignment horizontal="center" vertical="center"/>
    </xf>
    <xf numFmtId="0" fontId="40" fillId="28" borderId="46" xfId="0" applyFont="1" applyFill="1" applyBorder="1" applyAlignment="1">
      <alignment horizontal="center" vertical="center" wrapText="1"/>
    </xf>
    <xf numFmtId="0" fontId="40" fillId="28" borderId="41" xfId="0" applyFont="1" applyFill="1" applyBorder="1" applyAlignment="1">
      <alignment horizontal="center" vertical="center" wrapText="1"/>
    </xf>
    <xf numFmtId="0" fontId="40" fillId="28" borderId="26" xfId="0" applyFont="1" applyFill="1" applyBorder="1" applyAlignment="1">
      <alignment horizontal="center" vertical="center" wrapText="1"/>
    </xf>
    <xf numFmtId="0" fontId="40" fillId="28" borderId="40" xfId="0" applyFont="1" applyFill="1" applyBorder="1" applyAlignment="1">
      <alignment horizontal="center" vertical="center" wrapText="1"/>
    </xf>
    <xf numFmtId="0" fontId="40" fillId="28" borderId="49" xfId="0" applyFont="1" applyFill="1" applyBorder="1" applyAlignment="1">
      <alignment horizontal="center" vertical="center" wrapText="1"/>
    </xf>
    <xf numFmtId="0" fontId="40" fillId="28" borderId="44" xfId="0" applyFont="1" applyFill="1" applyBorder="1" applyAlignment="1">
      <alignment horizontal="center" vertical="center" wrapText="1"/>
    </xf>
    <xf numFmtId="0" fontId="76" fillId="32" borderId="48" xfId="3054" applyFont="1" applyFill="1" applyBorder="1" applyAlignment="1">
      <alignment horizontal="center" vertical="center"/>
    </xf>
    <xf numFmtId="0" fontId="76" fillId="32" borderId="28" xfId="3054" applyFont="1" applyFill="1" applyBorder="1" applyAlignment="1">
      <alignment horizontal="center" vertical="center"/>
    </xf>
    <xf numFmtId="0" fontId="103" fillId="35" borderId="82" xfId="0" applyFont="1" applyFill="1" applyBorder="1" applyAlignment="1">
      <alignment horizontal="center" vertical="center" wrapText="1"/>
    </xf>
    <xf numFmtId="0" fontId="103" fillId="35" borderId="68" xfId="0" applyFont="1" applyFill="1" applyBorder="1" applyAlignment="1">
      <alignment horizontal="center" vertical="center" wrapText="1"/>
    </xf>
    <xf numFmtId="0" fontId="45" fillId="32" borderId="48" xfId="0" applyFont="1" applyFill="1" applyBorder="1" applyAlignment="1">
      <alignment horizontal="center" vertical="center" shrinkToFit="1"/>
    </xf>
    <xf numFmtId="0" fontId="45" fillId="32" borderId="28" xfId="0" applyFont="1" applyFill="1" applyBorder="1" applyAlignment="1">
      <alignment horizontal="center" vertical="center" shrinkToFit="1"/>
    </xf>
    <xf numFmtId="0" fontId="77" fillId="32" borderId="48" xfId="0" applyFont="1" applyFill="1" applyBorder="1" applyAlignment="1">
      <alignment horizontal="center" vertical="center" shrinkToFit="1"/>
    </xf>
    <xf numFmtId="0" fontId="77" fillId="32" borderId="29" xfId="0" applyFont="1" applyFill="1" applyBorder="1" applyAlignment="1">
      <alignment horizontal="center" vertical="center" shrinkToFit="1"/>
    </xf>
    <xf numFmtId="0" fontId="103" fillId="35" borderId="81" xfId="0" applyFont="1" applyFill="1" applyBorder="1" applyAlignment="1">
      <alignment horizontal="center" vertical="center"/>
    </xf>
    <xf numFmtId="0" fontId="40" fillId="35" borderId="46" xfId="0" applyFont="1" applyFill="1" applyBorder="1" applyAlignment="1">
      <alignment horizontal="center" vertical="center"/>
    </xf>
    <xf numFmtId="0" fontId="40" fillId="35" borderId="47" xfId="0" applyFont="1" applyFill="1" applyBorder="1" applyAlignment="1">
      <alignment horizontal="center" vertical="center"/>
    </xf>
    <xf numFmtId="0" fontId="40" fillId="35" borderId="41" xfId="0" applyFont="1" applyFill="1" applyBorder="1" applyAlignment="1">
      <alignment horizontal="center" vertical="center"/>
    </xf>
    <xf numFmtId="0" fontId="12" fillId="0" borderId="48" xfId="3066" applyFont="1" applyBorder="1" applyAlignment="1">
      <alignment horizontal="center" vertical="center"/>
    </xf>
    <xf numFmtId="0" fontId="12" fillId="0" borderId="29" xfId="3066" applyFont="1" applyBorder="1" applyAlignment="1">
      <alignment horizontal="center" vertical="center"/>
    </xf>
    <xf numFmtId="0" fontId="12" fillId="0" borderId="48" xfId="3066" applyFont="1" applyBorder="1" applyAlignment="1">
      <alignment horizontal="center" vertical="center" wrapText="1"/>
    </xf>
  </cellXfs>
  <cellStyles count="3074">
    <cellStyle name=" " xfId="1"/>
    <cellStyle name="&amp;A" xfId="2"/>
    <cellStyle name=")" xfId="3"/>
    <cellStyle name="??&amp;O?&amp;H?_x0008__x000f__x0007_?_x0007__x0001__x0001_" xfId="4"/>
    <cellStyle name="??&amp;O?&amp;H?_x0008_??_x0007__x0001__x0001_" xfId="5"/>
    <cellStyle name="?W?_laroux" xfId="6"/>
    <cellStyle name="_0.지하차도내역서적용수량" xfId="7"/>
    <cellStyle name="_0.평내2교BOQ" xfId="8"/>
    <cellStyle name="_00교각수량집계" xfId="9"/>
    <cellStyle name="_00교대수량집계" xfId="10"/>
    <cellStyle name="_00옹벽수량집계" xfId="11"/>
    <cellStyle name="_01.교리IC1교 수량" xfId="12"/>
    <cellStyle name="_010. BOX. 토공수량집계" xfId="13"/>
    <cellStyle name="_011.주요자재집계표" xfId="14"/>
    <cellStyle name="_01-2차수량토공1차최종1101" xfId="15"/>
    <cellStyle name="_014.문양육교-상부수량" xfId="16"/>
    <cellStyle name="_01U" xfId="17"/>
    <cellStyle name="_01U_U-12" xfId="18"/>
    <cellStyle name="_01U_U-13" xfId="19"/>
    <cellStyle name="_01U_U-14" xfId="20"/>
    <cellStyle name="_01U_U-14-1" xfId="21"/>
    <cellStyle name="_01U-TypeL" xfId="22"/>
    <cellStyle name="_01U-TypeL_05U(5823)" xfId="23"/>
    <cellStyle name="_01U-TypeL_U-12" xfId="24"/>
    <cellStyle name="_01U-TypeL_U-13" xfId="25"/>
    <cellStyle name="_01U-TypeL_U-14" xfId="26"/>
    <cellStyle name="_01U-TypeL_U-14-1" xfId="27"/>
    <cellStyle name="_020.BOX 일반수량 집계" xfId="28"/>
    <cellStyle name="_02U(5407)" xfId="29"/>
    <cellStyle name="_02U(5407)_U-12" xfId="30"/>
    <cellStyle name="_02U(5407)_U-13" xfId="31"/>
    <cellStyle name="_02U(5407)_U-14" xfId="32"/>
    <cellStyle name="_02U(5407)_U-14-1" xfId="33"/>
    <cellStyle name="_02-감천1교상부(PSC-35)" xfId="34"/>
    <cellStyle name="_02-골담교상부(PSC-35)" xfId="35"/>
    <cellStyle name="_02-금광1교상부(PSC-35)" xfId="36"/>
    <cellStyle name="_02-금광2교상부(PSC-35)" xfId="37"/>
    <cellStyle name="_02-문의1교상부(PSC-35)" xfId="38"/>
    <cellStyle name="_02-문의2교상부(PSC-35)" xfId="39"/>
    <cellStyle name="_04U(7994)" xfId="40"/>
    <cellStyle name="_04U(7994)_U-12" xfId="41"/>
    <cellStyle name="_04U(7994)_U-13" xfId="42"/>
    <cellStyle name="_04U(7994)_U-14" xfId="43"/>
    <cellStyle name="_04U(7994)_U-14-1" xfId="44"/>
    <cellStyle name="_05U(5823)" xfId="45"/>
    <cellStyle name="_064.도당육교교대수량" xfId="46"/>
    <cellStyle name="_074_금당3교상부구조물공(200706)" xfId="47"/>
    <cellStyle name="_1,2.자재집계표,수량집계표" xfId="48"/>
    <cellStyle name="_1.소탄교-주요자재집계표" xfId="49"/>
    <cellStyle name="_1.집계표" xfId="50"/>
    <cellStyle name="_1.총괄집계및토공" xfId="51"/>
    <cellStyle name="_1.총괄집계및토공_1.총괄집계및토공" xfId="52"/>
    <cellStyle name="_11,폐공" xfId="53"/>
    <cellStyle name="_1-토공" xfId="54"/>
    <cellStyle name="_2.연평교-수량" xfId="55"/>
    <cellStyle name="_2.재궁교-수량" xfId="56"/>
    <cellStyle name="_2.지하차도총괄수량" xfId="57"/>
    <cellStyle name="_2.지하차도총괄수량_1.총괄집계및토공" xfId="58"/>
    <cellStyle name="_2.지하차도총괄수량_1.총괄집계및토공_1.총괄집계및토공" xfId="59"/>
    <cellStyle name="_2.지하차도총괄수량_3~4.옹벽및가시설" xfId="60"/>
    <cellStyle name="_2.지하차도총괄수량_3~4.옹벽및가시설_1.총괄집계및토공" xfId="61"/>
    <cellStyle name="_2-4.상반기실적부문별요약" xfId="62"/>
    <cellStyle name="_2-4.상반기실적부문별요약(표지및목차포함)" xfId="63"/>
    <cellStyle name="_2-4.상반기실적부문별요약(표지및목차포함)_1" xfId="64"/>
    <cellStyle name="_2-4.상반기실적부문별요약_1" xfId="65"/>
    <cellStyle name="_3~4.옹벽및가시설" xfId="66"/>
    <cellStyle name="_3~4.옹벽및가시설_1.총괄집계및토공" xfId="67"/>
    <cellStyle name="_4.소탄교-상부(PSC)수량" xfId="68"/>
    <cellStyle name="_4.소탄교-상부(PSC)수량_01-소탄교-총괄수량집계표" xfId="69"/>
    <cellStyle name="_4.소탄교-상부(PSC)수량_01-소탄교-총괄수량집계표1" xfId="70"/>
    <cellStyle name="_4.소탄교-상부(PSC)수량_01-여곡2교-총괄수량집계표" xfId="71"/>
    <cellStyle name="_5_세륜세차시설" xfId="72"/>
    <cellStyle name="_'99상반기경영개선활동결과(게시용)" xfId="73"/>
    <cellStyle name="_babo" xfId="74"/>
    <cellStyle name="_beam재료표" xfId="75"/>
    <cellStyle name="_BOX수량" xfId="76"/>
    <cellStyle name="_F교_교대1 수량" xfId="77"/>
    <cellStyle name="_F교_교대1 수량_일식단가공" xfId="78"/>
    <cellStyle name="_F교_교대1 수량_자재(지하도로)" xfId="79"/>
    <cellStyle name="_F교_교대1 수량_자재집계표" xfId="80"/>
    <cellStyle name="_F교_교대1 수량_주요자재집계표" xfId="81"/>
    <cellStyle name="_MBR1~3 (version 1)" xfId="82"/>
    <cellStyle name="_PSCBEAM방호벽중분대수량" xfId="83"/>
    <cellStyle name="_강남(구조물공)" xfId="84"/>
    <cellStyle name="_강남(구조물공)_04-선릉(구조물공)" xfId="85"/>
    <cellStyle name="_강남(구조물공)_온직교(구조물공)-1" xfId="86"/>
    <cellStyle name="_강남(구조물공)_외부ES#8 " xfId="87"/>
    <cellStyle name="_강남(구조물공)_용두교(구조물공)" xfId="88"/>
    <cellStyle name="_경영개선활동상반기실적(990708)" xfId="89"/>
    <cellStyle name="_경영개선활동상반기실적(990708)_1" xfId="90"/>
    <cellStyle name="_경영개선활동상반기실적(990708)_2" xfId="91"/>
    <cellStyle name="_경영개선활성화방안(990802)" xfId="92"/>
    <cellStyle name="_경영개선활성화방안(990802)_1" xfId="93"/>
    <cellStyle name="_고양2교 - 수량R2-0405" xfId="94"/>
    <cellStyle name="_고양2교 - 수량R2-0405_1.총괄집계및토공" xfId="95"/>
    <cellStyle name="_고양2교 - 수량R2-0405_1.총괄집계및토공_1.총괄집계및토공" xfId="96"/>
    <cellStyle name="_고양2교 - 수량R2-0405_3~4.옹벽및가시설" xfId="97"/>
    <cellStyle name="_고양2교 - 수량R2-0405_3~4.옹벽및가시설_1.총괄집계및토공" xfId="98"/>
    <cellStyle name="_고양2교- 수량토공" xfId="99"/>
    <cellStyle name="_고양2교- 수량토공_1.총괄집계및토공" xfId="100"/>
    <cellStyle name="_고양2교- 수량토공_1.총괄집계및토공_1.총괄집계및토공" xfId="101"/>
    <cellStyle name="_고양2교- 수량토공_3~4.옹벽및가시설" xfId="102"/>
    <cellStyle name="_고양2교- 수량토공_3~4.옹벽및가시설_1.총괄집계및토공" xfId="103"/>
    <cellStyle name="_고양3교- 수량R1-0405" xfId="104"/>
    <cellStyle name="_고양3교- 수량R1-0405_1.총괄집계및토공" xfId="105"/>
    <cellStyle name="_고양3교- 수량R1-0405_1.총괄집계및토공_1.총괄집계및토공" xfId="106"/>
    <cellStyle name="_고양3교- 수량R1-0405_3~4.옹벽및가시설" xfId="107"/>
    <cellStyle name="_고양3교- 수량R1-0405_3~4.옹벽및가시설_1.총괄집계및토공" xfId="108"/>
    <cellStyle name="_공통공총괄" xfId="109"/>
    <cellStyle name="_공통공총괄_03반정1육교총괄집계표" xfId="110"/>
    <cellStyle name="_공통공총괄_03반정1육교총괄집계표_0923-지하차도총괄수량집계" xfId="111"/>
    <cellStyle name="_공통공총괄_03반정1육교총괄집계표_경사로1-상하부총괄수량" xfId="112"/>
    <cellStyle name="_공통공총괄_03반정1육교총괄집계표_보도육교2-경사로1-교각일반수량" xfId="113"/>
    <cellStyle name="_공통공총괄_03반정1육교총괄집계표_보도육교2-경사로-교각일반수량" xfId="114"/>
    <cellStyle name="_공통공총괄_03반정1육교총괄집계표_보도육교2-교각일반수량" xfId="115"/>
    <cellStyle name="_공통공총괄_03반정1육교총괄집계표_보도육교2-본체-교각일반수량" xfId="116"/>
    <cellStyle name="_공통공총괄_03반정1육교총괄집계표_보도육교2상부수량" xfId="117"/>
    <cellStyle name="_공통공총괄_03반정1육교총괄집계표_보도육교2-상하부총괄수량" xfId="118"/>
    <cellStyle name="_공통공총괄_03반정1육교총괄집계표_보도육교2-하부총괄수량" xfId="119"/>
    <cellStyle name="_공통공총괄_03반정1육교총괄집계표_장재1-교대-교각 총괄토공" xfId="120"/>
    <cellStyle name="_공통공총괄_07_01곡반정육교총괄집계표" xfId="121"/>
    <cellStyle name="_공통공총괄_07_01곡반정육교총괄집계표_0923-지하차도총괄수량집계" xfId="122"/>
    <cellStyle name="_공통공총괄_07_01곡반정육교총괄집계표_경사로1-상하부총괄수량" xfId="123"/>
    <cellStyle name="_공통공총괄_07_01곡반정육교총괄집계표_보도육교2-경사로1-교각일반수량" xfId="124"/>
    <cellStyle name="_공통공총괄_07_01곡반정육교총괄집계표_보도육교2-경사로-교각일반수량" xfId="125"/>
    <cellStyle name="_공통공총괄_07_01곡반정육교총괄집계표_보도육교2-교각일반수량" xfId="126"/>
    <cellStyle name="_공통공총괄_07_01곡반정육교총괄집계표_보도육교2-본체-교각일반수량" xfId="127"/>
    <cellStyle name="_공통공총괄_07_01곡반정육교총괄집계표_보도육교2상부수량" xfId="128"/>
    <cellStyle name="_공통공총괄_07_01곡반정육교총괄집계표_보도육교2-상하부총괄수량" xfId="129"/>
    <cellStyle name="_공통공총괄_07_01곡반정육교총괄집계표_보도육교2-하부총괄수량" xfId="130"/>
    <cellStyle name="_공통공총괄_07_01곡반정육교총괄집계표_장재1-교대-교각 총괄토공" xfId="131"/>
    <cellStyle name="_공통공총괄_0923-지하차도총괄수량집계" xfId="132"/>
    <cellStyle name="_공통공총괄_경사로1-상하부총괄수량" xfId="133"/>
    <cellStyle name="_공통공총괄_보도육교2-경사로1-교각일반수량" xfId="134"/>
    <cellStyle name="_공통공총괄_보도육교2-경사로-교각일반수량" xfId="135"/>
    <cellStyle name="_공통공총괄_보도육교2-교각일반수량" xfId="136"/>
    <cellStyle name="_공통공총괄_보도육교2-본체-교각일반수량" xfId="137"/>
    <cellStyle name="_공통공총괄_보도육교2상부수량" xfId="138"/>
    <cellStyle name="_공통공총괄_보도육교2-상하부총괄수량" xfId="139"/>
    <cellStyle name="_공통공총괄_보도육교2-하부총괄수량" xfId="140"/>
    <cellStyle name="_공통공총괄_장재1-교대-교각 총괄토공" xfId="141"/>
    <cellStyle name="_교량공총괄" xfId="142"/>
    <cellStyle name="_교량공총괄_03반정1육교총괄집계표" xfId="143"/>
    <cellStyle name="_교량공총괄_03반정1육교총괄집계표_0923-지하차도총괄수량집계" xfId="144"/>
    <cellStyle name="_교량공총괄_03반정1육교총괄집계표_경사로1-상하부총괄수량" xfId="145"/>
    <cellStyle name="_교량공총괄_03반정1육교총괄집계표_보도육교2-경사로1-교각일반수량" xfId="146"/>
    <cellStyle name="_교량공총괄_03반정1육교총괄집계표_보도육교2-경사로-교각일반수량" xfId="147"/>
    <cellStyle name="_교량공총괄_03반정1육교총괄집계표_보도육교2-교각일반수량" xfId="148"/>
    <cellStyle name="_교량공총괄_03반정1육교총괄집계표_보도육교2-본체-교각일반수량" xfId="149"/>
    <cellStyle name="_교량공총괄_03반정1육교총괄집계표_보도육교2상부수량" xfId="150"/>
    <cellStyle name="_교량공총괄_03반정1육교총괄집계표_보도육교2-상하부총괄수량" xfId="151"/>
    <cellStyle name="_교량공총괄_03반정1육교총괄집계표_보도육교2-하부총괄수량" xfId="152"/>
    <cellStyle name="_교량공총괄_03반정1육교총괄집계표_장재1-교대-교각 총괄토공" xfId="153"/>
    <cellStyle name="_교량공총괄_07_01곡반정육교총괄집계표" xfId="154"/>
    <cellStyle name="_교량공총괄_07_01곡반정육교총괄집계표_0923-지하차도총괄수량집계" xfId="155"/>
    <cellStyle name="_교량공총괄_07_01곡반정육교총괄집계표_경사로1-상하부총괄수량" xfId="156"/>
    <cellStyle name="_교량공총괄_07_01곡반정육교총괄집계표_보도육교2-경사로1-교각일반수량" xfId="157"/>
    <cellStyle name="_교량공총괄_07_01곡반정육교총괄집계표_보도육교2-경사로-교각일반수량" xfId="158"/>
    <cellStyle name="_교량공총괄_07_01곡반정육교총괄집계표_보도육교2-교각일반수량" xfId="159"/>
    <cellStyle name="_교량공총괄_07_01곡반정육교총괄집계표_보도육교2-본체-교각일반수량" xfId="160"/>
    <cellStyle name="_교량공총괄_07_01곡반정육교총괄집계표_보도육교2상부수량" xfId="161"/>
    <cellStyle name="_교량공총괄_07_01곡반정육교총괄집계표_보도육교2-상하부총괄수량" xfId="162"/>
    <cellStyle name="_교량공총괄_07_01곡반정육교총괄집계표_보도육교2-하부총괄수량" xfId="163"/>
    <cellStyle name="_교량공총괄_07_01곡반정육교총괄집계표_장재1-교대-교각 총괄토공" xfId="164"/>
    <cellStyle name="_교량공총괄_0923-지하차도총괄수량집계" xfId="165"/>
    <cellStyle name="_교량공총괄_경사로1-상하부총괄수량" xfId="166"/>
    <cellStyle name="_교량공총괄_보도육교2-경사로1-교각일반수량" xfId="167"/>
    <cellStyle name="_교량공총괄_보도육교2-경사로-교각일반수량" xfId="168"/>
    <cellStyle name="_교량공총괄_보도육교2-교각일반수량" xfId="169"/>
    <cellStyle name="_교량공총괄_보도육교2-본체-교각일반수량" xfId="170"/>
    <cellStyle name="_교량공총괄_보도육교2상부수량" xfId="171"/>
    <cellStyle name="_교량공총괄_보도육교2-상하부총괄수량" xfId="172"/>
    <cellStyle name="_교량공총괄_보도육교2-하부총괄수량" xfId="173"/>
    <cellStyle name="_교량공총괄_장재1-교대-교각 총괄토공" xfId="174"/>
    <cellStyle name="_교량별-공종별집계" xfId="175"/>
    <cellStyle name="_교량별-공종별집계_01기산교총괄집계표" xfId="176"/>
    <cellStyle name="_교량별-공종별집계_01기산교총괄집계표_03반정1육교총괄집계표" xfId="177"/>
    <cellStyle name="_교량별-공종별집계_01기산교총괄집계표_03반정1육교총괄집계표_0923-지하차도총괄수량집계" xfId="178"/>
    <cellStyle name="_교량별-공종별집계_01기산교총괄집계표_03반정1육교총괄집계표_경사로1-상하부총괄수량" xfId="179"/>
    <cellStyle name="_교량별-공종별집계_01기산교총괄집계표_03반정1육교총괄집계표_보도육교2-경사로1-교각일반수량" xfId="180"/>
    <cellStyle name="_교량별-공종별집계_01기산교총괄집계표_03반정1육교총괄집계표_보도육교2-경사로-교각일반수량" xfId="181"/>
    <cellStyle name="_교량별-공종별집계_01기산교총괄집계표_03반정1육교총괄집계표_보도육교2-교각일반수량" xfId="182"/>
    <cellStyle name="_교량별-공종별집계_01기산교총괄집계표_03반정1육교총괄집계표_보도육교2-본체-교각일반수량" xfId="183"/>
    <cellStyle name="_교량별-공종별집계_01기산교총괄집계표_03반정1육교총괄집계표_보도육교2상부수량" xfId="184"/>
    <cellStyle name="_교량별-공종별집계_01기산교총괄집계표_03반정1육교총괄집계표_보도육교2-상하부총괄수량" xfId="185"/>
    <cellStyle name="_교량별-공종별집계_01기산교총괄집계표_03반정1육교총괄집계표_보도육교2-하부총괄수량" xfId="186"/>
    <cellStyle name="_교량별-공종별집계_01기산교총괄집계표_03반정1육교총괄집계표_장재1-교대-교각 총괄토공" xfId="187"/>
    <cellStyle name="_교량별-공종별집계_01기산교총괄집계표_07_01곡반정육교총괄집계표" xfId="188"/>
    <cellStyle name="_교량별-공종별집계_01기산교총괄집계표_07_01곡반정육교총괄집계표_0923-지하차도총괄수량집계" xfId="189"/>
    <cellStyle name="_교량별-공종별집계_01기산교총괄집계표_07_01곡반정육교총괄집계표_경사로1-상하부총괄수량" xfId="190"/>
    <cellStyle name="_교량별-공종별집계_01기산교총괄집계표_07_01곡반정육교총괄집계표_보도육교2-경사로1-교각일반수량" xfId="191"/>
    <cellStyle name="_교량별-공종별집계_01기산교총괄집계표_07_01곡반정육교총괄집계표_보도육교2-경사로-교각일반수량" xfId="192"/>
    <cellStyle name="_교량별-공종별집계_01기산교총괄집계표_07_01곡반정육교총괄집계표_보도육교2-교각일반수량" xfId="193"/>
    <cellStyle name="_교량별-공종별집계_01기산교총괄집계표_07_01곡반정육교총괄집계표_보도육교2-본체-교각일반수량" xfId="194"/>
    <cellStyle name="_교량별-공종별집계_01기산교총괄집계표_07_01곡반정육교총괄집계표_보도육교2상부수량" xfId="195"/>
    <cellStyle name="_교량별-공종별집계_01기산교총괄집계표_07_01곡반정육교총괄집계표_보도육교2-상하부총괄수량" xfId="196"/>
    <cellStyle name="_교량별-공종별집계_01기산교총괄집계표_07_01곡반정육교총괄집계표_보도육교2-하부총괄수량" xfId="197"/>
    <cellStyle name="_교량별-공종별집계_01기산교총괄집계표_07_01곡반정육교총괄집계표_장재1-교대-교각 총괄토공" xfId="198"/>
    <cellStyle name="_교량별-공종별집계_01기산교총괄집계표_0923-지하차도총괄수량집계" xfId="199"/>
    <cellStyle name="_교량별-공종별집계_01기산교총괄집계표_경사로1-상하부총괄수량" xfId="200"/>
    <cellStyle name="_교량별-공종별집계_01기산교총괄집계표_보도육교2-경사로1-교각일반수량" xfId="201"/>
    <cellStyle name="_교량별-공종별집계_01기산교총괄집계표_보도육교2-경사로-교각일반수량" xfId="202"/>
    <cellStyle name="_교량별-공종별집계_01기산교총괄집계표_보도육교2-교각일반수량" xfId="203"/>
    <cellStyle name="_교량별-공종별집계_01기산교총괄집계표_보도육교2-본체-교각일반수량" xfId="204"/>
    <cellStyle name="_교량별-공종별집계_01기산교총괄집계표_보도육교2상부수량" xfId="205"/>
    <cellStyle name="_교량별-공종별집계_01기산교총괄집계표_보도육교2-상하부총괄수량" xfId="206"/>
    <cellStyle name="_교량별-공종별집계_01기산교총괄집계표_보도육교2-하부총괄수량" xfId="207"/>
    <cellStyle name="_교량별-공종별집계_01기산교총괄집계표_장재1-교대-교각 총괄토공" xfId="208"/>
    <cellStyle name="_교량별-공종별집계_02한반천교총괄집계표" xfId="209"/>
    <cellStyle name="_교량별-공종별집계_02한반천교총괄집계표_03반정1육교총괄집계표" xfId="210"/>
    <cellStyle name="_교량별-공종별집계_02한반천교총괄집계표_03반정1육교총괄집계표_0923-지하차도총괄수량집계" xfId="211"/>
    <cellStyle name="_교량별-공종별집계_02한반천교총괄집계표_03반정1육교총괄집계표_경사로1-상하부총괄수량" xfId="212"/>
    <cellStyle name="_교량별-공종별집계_02한반천교총괄집계표_03반정1육교총괄집계표_보도육교2-경사로1-교각일반수량" xfId="213"/>
    <cellStyle name="_교량별-공종별집계_02한반천교총괄집계표_03반정1육교총괄집계표_보도육교2-경사로-교각일반수량" xfId="214"/>
    <cellStyle name="_교량별-공종별집계_02한반천교총괄집계표_03반정1육교총괄집계표_보도육교2-교각일반수량" xfId="215"/>
    <cellStyle name="_교량별-공종별집계_02한반천교총괄집계표_03반정1육교총괄집계표_보도육교2-본체-교각일반수량" xfId="216"/>
    <cellStyle name="_교량별-공종별집계_02한반천교총괄집계표_03반정1육교총괄집계표_보도육교2상부수량" xfId="217"/>
    <cellStyle name="_교량별-공종별집계_02한반천교총괄집계표_03반정1육교총괄집계표_보도육교2-상하부총괄수량" xfId="218"/>
    <cellStyle name="_교량별-공종별집계_02한반천교총괄집계표_03반정1육교총괄집계표_보도육교2-하부총괄수량" xfId="219"/>
    <cellStyle name="_교량별-공종별집계_02한반천교총괄집계표_03반정1육교총괄집계표_장재1-교대-교각 총괄토공" xfId="220"/>
    <cellStyle name="_교량별-공종별집계_02한반천교총괄집계표_07_01곡반정육교총괄집계표" xfId="221"/>
    <cellStyle name="_교량별-공종별집계_02한반천교총괄집계표_07_01곡반정육교총괄집계표_0923-지하차도총괄수량집계" xfId="222"/>
    <cellStyle name="_교량별-공종별집계_02한반천교총괄집계표_07_01곡반정육교총괄집계표_경사로1-상하부총괄수량" xfId="223"/>
    <cellStyle name="_교량별-공종별집계_02한반천교총괄집계표_07_01곡반정육교총괄집계표_보도육교2-경사로1-교각일반수량" xfId="224"/>
    <cellStyle name="_교량별-공종별집계_02한반천교총괄집계표_07_01곡반정육교총괄집계표_보도육교2-경사로-교각일반수량" xfId="225"/>
    <cellStyle name="_교량별-공종별집계_02한반천교총괄집계표_07_01곡반정육교총괄집계표_보도육교2-교각일반수량" xfId="226"/>
    <cellStyle name="_교량별-공종별집계_02한반천교총괄집계표_07_01곡반정육교총괄집계표_보도육교2-본체-교각일반수량" xfId="227"/>
    <cellStyle name="_교량별-공종별집계_02한반천교총괄집계표_07_01곡반정육교총괄집계표_보도육교2상부수량" xfId="228"/>
    <cellStyle name="_교량별-공종별집계_02한반천교총괄집계표_07_01곡반정육교총괄집계표_보도육교2-상하부총괄수량" xfId="229"/>
    <cellStyle name="_교량별-공종별집계_02한반천교총괄집계표_07_01곡반정육교총괄집계표_보도육교2-하부총괄수량" xfId="230"/>
    <cellStyle name="_교량별-공종별집계_02한반천교총괄집계표_07_01곡반정육교총괄집계표_장재1-교대-교각 총괄토공" xfId="231"/>
    <cellStyle name="_교량별-공종별집계_02한반천교총괄집계표_0923-지하차도총괄수량집계" xfId="232"/>
    <cellStyle name="_교량별-공종별집계_02한반천교총괄집계표_경사로1-상하부총괄수량" xfId="233"/>
    <cellStyle name="_교량별-공종별집계_02한반천교총괄집계표_보도육교2-경사로1-교각일반수량" xfId="234"/>
    <cellStyle name="_교량별-공종별집계_02한반천교총괄집계표_보도육교2-경사로-교각일반수량" xfId="235"/>
    <cellStyle name="_교량별-공종별집계_02한반천교총괄집계표_보도육교2-교각일반수량" xfId="236"/>
    <cellStyle name="_교량별-공종별집계_02한반천교총괄집계표_보도육교2-본체-교각일반수량" xfId="237"/>
    <cellStyle name="_교량별-공종별집계_02한반천교총괄집계표_보도육교2상부수량" xfId="238"/>
    <cellStyle name="_교량별-공종별집계_02한반천교총괄집계표_보도육교2-상하부총괄수량" xfId="239"/>
    <cellStyle name="_교량별-공종별집계_02한반천교총괄집계표_보도육교2-하부총괄수량" xfId="240"/>
    <cellStyle name="_교량별-공종별집계_02한반천교총괄집계표_장재1-교대-교각 총괄토공" xfId="241"/>
    <cellStyle name="_교량별-공종별집계_03반정1육교총괄집계표" xfId="242"/>
    <cellStyle name="_교량별-공종별집계_03반정1육교총괄집계표_07_01곡반정육교총괄집계표" xfId="243"/>
    <cellStyle name="_교량별-공종별집계_03반정1육교총괄집계표_07_01곡반정육교총괄집계표_0923-지하차도총괄수량집계" xfId="244"/>
    <cellStyle name="_교량별-공종별집계_03반정1육교총괄집계표_07_01곡반정육교총괄집계표_경사로1-상하부총괄수량" xfId="245"/>
    <cellStyle name="_교량별-공종별집계_03반정1육교총괄집계표_07_01곡반정육교총괄집계표_보도육교2-경사로1-교각일반수량" xfId="246"/>
    <cellStyle name="_교량별-공종별집계_03반정1육교총괄집계표_07_01곡반정육교총괄집계표_보도육교2-경사로-교각일반수량" xfId="247"/>
    <cellStyle name="_교량별-공종별집계_03반정1육교총괄집계표_07_01곡반정육교총괄집계표_보도육교2-교각일반수량" xfId="248"/>
    <cellStyle name="_교량별-공종별집계_03반정1육교총괄집계표_07_01곡반정육교총괄집계표_보도육교2-본체-교각일반수량" xfId="249"/>
    <cellStyle name="_교량별-공종별집계_03반정1육교총괄집계표_07_01곡반정육교총괄집계표_보도육교2상부수량" xfId="250"/>
    <cellStyle name="_교량별-공종별집계_03반정1육교총괄집계표_07_01곡반정육교총괄집계표_보도육교2-상하부총괄수량" xfId="251"/>
    <cellStyle name="_교량별-공종별집계_03반정1육교총괄집계표_07_01곡반정육교총괄집계표_보도육교2-하부총괄수량" xfId="252"/>
    <cellStyle name="_교량별-공종별집계_03반정1육교총괄집계표_07_01곡반정육교총괄집계표_장재1-교대-교각 총괄토공" xfId="253"/>
    <cellStyle name="_교량별-공종별집계_03반정1육교총괄집계표_0923-지하차도총괄수량집계" xfId="254"/>
    <cellStyle name="_교량별-공종별집계_03반정1육교총괄집계표_경사로1-상하부총괄수량" xfId="255"/>
    <cellStyle name="_교량별-공종별집계_03반정1육교총괄집계표_보도육교2-경사로1-교각일반수량" xfId="256"/>
    <cellStyle name="_교량별-공종별집계_03반정1육교총괄집계표_보도육교2-경사로-교각일반수량" xfId="257"/>
    <cellStyle name="_교량별-공종별집계_03반정1육교총괄집계표_보도육교2-교각일반수량" xfId="258"/>
    <cellStyle name="_교량별-공종별집계_03반정1육교총괄집계표_보도육교2-본체-교각일반수량" xfId="259"/>
    <cellStyle name="_교량별-공종별집계_03반정1육교총괄집계표_보도육교2상부수량" xfId="260"/>
    <cellStyle name="_교량별-공종별집계_03반정1육교총괄집계표_보도육교2-상하부총괄수량" xfId="261"/>
    <cellStyle name="_교량별-공종별집계_03반정1육교총괄집계표_보도육교2-하부총괄수량" xfId="262"/>
    <cellStyle name="_교량별-공종별집계_03반정1육교총괄집계표_장재1-교대-교각 총괄토공" xfId="263"/>
    <cellStyle name="_교량별-공종별집계_04반정2육교총괄집계표" xfId="264"/>
    <cellStyle name="_교량별-공종별집계_04반정2육교총괄집계표_07_01곡반정육교총괄집계표" xfId="265"/>
    <cellStyle name="_교량별-공종별집계_04반정2육교총괄집계표_07_01곡반정육교총괄집계표_0923-지하차도총괄수량집계" xfId="266"/>
    <cellStyle name="_교량별-공종별집계_04반정2육교총괄집계표_07_01곡반정육교총괄집계표_경사로1-상하부총괄수량" xfId="267"/>
    <cellStyle name="_교량별-공종별집계_04반정2육교총괄집계표_07_01곡반정육교총괄집계표_보도육교2-경사로1-교각일반수량" xfId="268"/>
    <cellStyle name="_교량별-공종별집계_04반정2육교총괄집계표_07_01곡반정육교총괄집계표_보도육교2-경사로-교각일반수량" xfId="269"/>
    <cellStyle name="_교량별-공종별집계_04반정2육교총괄집계표_07_01곡반정육교총괄집계표_보도육교2-교각일반수량" xfId="270"/>
    <cellStyle name="_교량별-공종별집계_04반정2육교총괄집계표_07_01곡반정육교총괄집계표_보도육교2-본체-교각일반수량" xfId="271"/>
    <cellStyle name="_교량별-공종별집계_04반정2육교총괄집계표_07_01곡반정육교총괄집계표_보도육교2상부수량" xfId="272"/>
    <cellStyle name="_교량별-공종별집계_04반정2육교총괄집계표_07_01곡반정육교총괄집계표_보도육교2-상하부총괄수량" xfId="273"/>
    <cellStyle name="_교량별-공종별집계_04반정2육교총괄집계표_07_01곡반정육교총괄집계표_보도육교2-하부총괄수량" xfId="274"/>
    <cellStyle name="_교량별-공종별집계_04반정2육교총괄집계표_07_01곡반정육교총괄집계표_장재1-교대-교각 총괄토공" xfId="275"/>
    <cellStyle name="_교량별-공종별집계_04반정2육교총괄집계표_0923-지하차도총괄수량집계" xfId="276"/>
    <cellStyle name="_교량별-공종별집계_04반정2육교총괄집계표_경사로1-상하부총괄수량" xfId="277"/>
    <cellStyle name="_교량별-공종별집계_04반정2육교총괄집계표_보도육교2-경사로1-교각일반수량" xfId="278"/>
    <cellStyle name="_교량별-공종별집계_04반정2육교총괄집계표_보도육교2-경사로-교각일반수량" xfId="279"/>
    <cellStyle name="_교량별-공종별집계_04반정2육교총괄집계표_보도육교2-교각일반수량" xfId="280"/>
    <cellStyle name="_교량별-공종별집계_04반정2육교총괄집계표_보도육교2-본체-교각일반수량" xfId="281"/>
    <cellStyle name="_교량별-공종별집계_04반정2육교총괄집계표_보도육교2상부수량" xfId="282"/>
    <cellStyle name="_교량별-공종별집계_04반정2육교총괄집계표_보도육교2-상하부총괄수량" xfId="283"/>
    <cellStyle name="_교량별-공종별집계_04반정2육교총괄집계표_보도육교2-하부총괄수량" xfId="284"/>
    <cellStyle name="_교량별-공종별집계_04반정2육교총괄집계표_장재1-교대-교각 총괄토공" xfId="285"/>
    <cellStyle name="_교량별-공종별집계_05반정3육교총괄집계표" xfId="286"/>
    <cellStyle name="_교량별-공종별집계_05반정3육교총괄집계표_07_01곡반정육교총괄집계표" xfId="287"/>
    <cellStyle name="_교량별-공종별집계_05반정3육교총괄집계표_07_01곡반정육교총괄집계표_0923-지하차도총괄수량집계" xfId="288"/>
    <cellStyle name="_교량별-공종별집계_05반정3육교총괄집계표_07_01곡반정육교총괄집계표_경사로1-상하부총괄수량" xfId="289"/>
    <cellStyle name="_교량별-공종별집계_05반정3육교총괄집계표_07_01곡반정육교총괄집계표_보도육교2-경사로1-교각일반수량" xfId="290"/>
    <cellStyle name="_교량별-공종별집계_05반정3육교총괄집계표_07_01곡반정육교총괄집계표_보도육교2-경사로-교각일반수량" xfId="291"/>
    <cellStyle name="_교량별-공종별집계_05반정3육교총괄집계표_07_01곡반정육교총괄집계표_보도육교2-교각일반수량" xfId="292"/>
    <cellStyle name="_교량별-공종별집계_05반정3육교총괄집계표_07_01곡반정육교총괄집계표_보도육교2-본체-교각일반수량" xfId="293"/>
    <cellStyle name="_교량별-공종별집계_05반정3육교총괄집계표_07_01곡반정육교총괄집계표_보도육교2상부수량" xfId="294"/>
    <cellStyle name="_교량별-공종별집계_05반정3육교총괄집계표_07_01곡반정육교총괄집계표_보도육교2-상하부총괄수량" xfId="295"/>
    <cellStyle name="_교량별-공종별집계_05반정3육교총괄집계표_07_01곡반정육교총괄집계표_보도육교2-하부총괄수량" xfId="296"/>
    <cellStyle name="_교량별-공종별집계_05반정3육교총괄집계표_07_01곡반정육교총괄집계표_장재1-교대-교각 총괄토공" xfId="297"/>
    <cellStyle name="_교량별-공종별집계_05반정3육교총괄집계표_0923-지하차도총괄수량집계" xfId="298"/>
    <cellStyle name="_교량별-공종별집계_05반정3육교총괄집계표_경사로1-상하부총괄수량" xfId="299"/>
    <cellStyle name="_교량별-공종별집계_05반정3육교총괄집계표_보도육교2-경사로1-교각일반수량" xfId="300"/>
    <cellStyle name="_교량별-공종별집계_05반정3육교총괄집계표_보도육교2-경사로-교각일반수량" xfId="301"/>
    <cellStyle name="_교량별-공종별집계_05반정3육교총괄집계표_보도육교2-교각일반수량" xfId="302"/>
    <cellStyle name="_교량별-공종별집계_05반정3육교총괄집계표_보도육교2-본체-교각일반수량" xfId="303"/>
    <cellStyle name="_교량별-공종별집계_05반정3육교총괄집계표_보도육교2상부수량" xfId="304"/>
    <cellStyle name="_교량별-공종별집계_05반정3육교총괄집계표_보도육교2-상하부총괄수량" xfId="305"/>
    <cellStyle name="_교량별-공종별집계_05반정3육교총괄집계표_보도육교2-하부총괄수량" xfId="306"/>
    <cellStyle name="_교량별-공종별집계_05반정3육교총괄집계표_장재1-교대-교각 총괄토공" xfId="307"/>
    <cellStyle name="_교량별-공종별집계_06원천리천교총괄집계표" xfId="308"/>
    <cellStyle name="_교량별-공종별집계_06원천리천교총괄집계표_07_01곡반정육교총괄집계표" xfId="309"/>
    <cellStyle name="_교량별-공종별집계_06원천리천교총괄집계표_07_01곡반정육교총괄집계표_0923-지하차도총괄수량집계" xfId="310"/>
    <cellStyle name="_교량별-공종별집계_06원천리천교총괄집계표_07_01곡반정육교총괄집계표_경사로1-상하부총괄수량" xfId="311"/>
    <cellStyle name="_교량별-공종별집계_06원천리천교총괄집계표_07_01곡반정육교총괄집계표_보도육교2-경사로1-교각일반수량" xfId="312"/>
    <cellStyle name="_교량별-공종별집계_06원천리천교총괄집계표_07_01곡반정육교총괄집계표_보도육교2-경사로-교각일반수량" xfId="313"/>
    <cellStyle name="_교량별-공종별집계_06원천리천교총괄집계표_07_01곡반정육교총괄집계표_보도육교2-교각일반수량" xfId="314"/>
    <cellStyle name="_교량별-공종별집계_06원천리천교총괄집계표_07_01곡반정육교총괄집계표_보도육교2-본체-교각일반수량" xfId="315"/>
    <cellStyle name="_교량별-공종별집계_06원천리천교총괄집계표_07_01곡반정육교총괄집계표_보도육교2상부수량" xfId="316"/>
    <cellStyle name="_교량별-공종별집계_06원천리천교총괄집계표_07_01곡반정육교총괄집계표_보도육교2-상하부총괄수량" xfId="317"/>
    <cellStyle name="_교량별-공종별집계_06원천리천교총괄집계표_07_01곡반정육교총괄집계표_보도육교2-하부총괄수량" xfId="318"/>
    <cellStyle name="_교량별-공종별집계_06원천리천교총괄집계표_07_01곡반정육교총괄집계표_장재1-교대-교각 총괄토공" xfId="319"/>
    <cellStyle name="_교량별-공종별집계_06원천리천교총괄집계표_0923-지하차도총괄수량집계" xfId="320"/>
    <cellStyle name="_교량별-공종별집계_06원천리천교총괄집계표_경사로1-상하부총괄수량" xfId="321"/>
    <cellStyle name="_교량별-공종별집계_06원천리천교총괄집계표_보도육교2-경사로1-교각일반수량" xfId="322"/>
    <cellStyle name="_교량별-공종별집계_06원천리천교총괄집계표_보도육교2-경사로-교각일반수량" xfId="323"/>
    <cellStyle name="_교량별-공종별집계_06원천리천교총괄집계표_보도육교2-교각일반수량" xfId="324"/>
    <cellStyle name="_교량별-공종별집계_06원천리천교총괄집계표_보도육교2-본체-교각일반수량" xfId="325"/>
    <cellStyle name="_교량별-공종별집계_06원천리천교총괄집계표_보도육교2상부수량" xfId="326"/>
    <cellStyle name="_교량별-공종별집계_06원천리천교총괄집계표_보도육교2-상하부총괄수량" xfId="327"/>
    <cellStyle name="_교량별-공종별집계_06원천리천교총괄집계표_보도육교2-하부총괄수량" xfId="328"/>
    <cellStyle name="_교량별-공종별집계_06원천리천교총괄집계표_장재1-교대-교각 총괄토공" xfId="329"/>
    <cellStyle name="_교량별-공종별집계_07_01곡반정육교총괄집계표" xfId="330"/>
    <cellStyle name="_교량별-공종별집계_07_01곡반정육교총괄집계표_0923-지하차도총괄수량집계" xfId="331"/>
    <cellStyle name="_교량별-공종별집계_07_01곡반정육교총괄집계표_경사로1-상하부총괄수량" xfId="332"/>
    <cellStyle name="_교량별-공종별집계_07_01곡반정육교총괄집계표_보도육교2-경사로1-교각일반수량" xfId="333"/>
    <cellStyle name="_교량별-공종별집계_07_01곡반정육교총괄집계표_보도육교2-경사로-교각일반수량" xfId="334"/>
    <cellStyle name="_교량별-공종별집계_07_01곡반정육교총괄집계표_보도육교2-교각일반수량" xfId="335"/>
    <cellStyle name="_교량별-공종별집계_07_01곡반정육교총괄집계표_보도육교2-본체-교각일반수량" xfId="336"/>
    <cellStyle name="_교량별-공종별집계_07_01곡반정육교총괄집계표_보도육교2상부수량" xfId="337"/>
    <cellStyle name="_교량별-공종별집계_07_01곡반정육교총괄집계표_보도육교2-상하부총괄수량" xfId="338"/>
    <cellStyle name="_교량별-공종별집계_07_01곡반정육교총괄집계표_보도육교2-하부총괄수량" xfId="339"/>
    <cellStyle name="_교량별-공종별집계_07_01곡반정육교총괄집계표_장재1-교대-교각 총괄토공" xfId="340"/>
    <cellStyle name="_교량별-공종별집계_07곡반정육교총괄집계표" xfId="341"/>
    <cellStyle name="_교량별-공종별집계_07곡반정육교총괄집계표_0923-지하차도총괄수량집계" xfId="342"/>
    <cellStyle name="_교량별-공종별집계_07곡반정육교총괄집계표_경사로1-상하부총괄수량" xfId="343"/>
    <cellStyle name="_교량별-공종별집계_07곡반정육교총괄집계표_보도육교2-경사로1-교각일반수량" xfId="344"/>
    <cellStyle name="_교량별-공종별집계_07곡반정육교총괄집계표_보도육교2-경사로-교각일반수량" xfId="345"/>
    <cellStyle name="_교량별-공종별집계_07곡반정육교총괄집계표_보도육교2-교각일반수량" xfId="346"/>
    <cellStyle name="_교량별-공종별집계_07곡반정육교총괄집계표_보도육교2-본체-교각일반수량" xfId="347"/>
    <cellStyle name="_교량별-공종별집계_07곡반정육교총괄집계표_보도육교2상부수량" xfId="348"/>
    <cellStyle name="_교량별-공종별집계_07곡반정육교총괄집계표_보도육교2-상하부총괄수량" xfId="349"/>
    <cellStyle name="_교량별-공종별집계_07곡반정육교총괄집계표_보도육교2-하부총괄수량" xfId="350"/>
    <cellStyle name="_교량별-공종별집계_07곡반정육교총괄집계표_장재1-교대-교각 총괄토공" xfId="351"/>
    <cellStyle name="_교량별-공종별집계_0923-지하차도총괄수량집계" xfId="352"/>
    <cellStyle name="_교량별-공종별집계_11청계1교(B교)총괄집계표" xfId="353"/>
    <cellStyle name="_교량별-공종별집계_11청계1교(B교)총괄집계표_0923-지하차도총괄수량집계" xfId="354"/>
    <cellStyle name="_교량별-공종별집계_11청계1교(B교)총괄집계표_경사로1-상하부총괄수량" xfId="355"/>
    <cellStyle name="_교량별-공종별집계_11청계1교(B교)총괄집계표_보도육교2-경사로1-교각일반수량" xfId="356"/>
    <cellStyle name="_교량별-공종별집계_11청계1교(B교)총괄집계표_보도육교2-경사로-교각일반수량" xfId="357"/>
    <cellStyle name="_교량별-공종별집계_11청계1교(B교)총괄집계표_보도육교2-교각일반수량" xfId="358"/>
    <cellStyle name="_교량별-공종별집계_11청계1교(B교)총괄집계표_보도육교2-본체-교각일반수량" xfId="359"/>
    <cellStyle name="_교량별-공종별집계_11청계1교(B교)총괄집계표_보도육교2상부수량" xfId="360"/>
    <cellStyle name="_교량별-공종별집계_11청계1교(B교)총괄집계표_보도육교2-상하부총괄수량" xfId="361"/>
    <cellStyle name="_교량별-공종별집계_11청계1교(B교)총괄집계표_보도육교2-하부총괄수량" xfId="362"/>
    <cellStyle name="_교량별-공종별집계_11청계1교(B교)총괄집계표_장재1-교대-교각 총괄토공" xfId="363"/>
    <cellStyle name="_교량별-공종별집계_경사로1-상하부총괄수량" xfId="364"/>
    <cellStyle name="_교량별-공종별집계_보도육교2-경사로1-교각일반수량" xfId="365"/>
    <cellStyle name="_교량별-공종별집계_보도육교2-경사로-교각일반수량" xfId="366"/>
    <cellStyle name="_교량별-공종별집계_보도육교2-교각일반수량" xfId="367"/>
    <cellStyle name="_교량별-공종별집계_보도육교2-본체-교각일반수량" xfId="368"/>
    <cellStyle name="_교량별-공종별집계_보도육교2상부수량" xfId="369"/>
    <cellStyle name="_교량별-공종별집계_보도육교2-상하부총괄수량" xfId="370"/>
    <cellStyle name="_교량별-공종별집계_보도육교2-하부총괄수량" xfId="371"/>
    <cellStyle name="_교량별-공종별집계_장재1-교대-교각 총괄토공" xfId="372"/>
    <cellStyle name="_교량별공통공사집계표최종" xfId="373"/>
    <cellStyle name="_교량별총괄집계(신리5교)" xfId="374"/>
    <cellStyle name="_교량별총괄집계(신리5교)_01-소탄교-총괄수량집계표" xfId="375"/>
    <cellStyle name="_교량별총괄집계(신리5교)_01-소탄교-총괄수량집계표1" xfId="376"/>
    <cellStyle name="_교량별총괄집계(신리5교)_01-여곡2교-총괄수량집계표" xfId="377"/>
    <cellStyle name="_교량부 가축도수량산출" xfId="378"/>
    <cellStyle name="_교량총괄집계표" xfId="379"/>
    <cellStyle name="_국수교수량" xfId="380"/>
    <cellStyle name="_국수교수량_1.총괄집계및토공" xfId="381"/>
    <cellStyle name="_국수교수량_1.총괄집계및토공_1.총괄집계및토공" xfId="382"/>
    <cellStyle name="_국수교수량_3~4.옹벽및가시설" xfId="383"/>
    <cellStyle name="_국수교수량_3~4.옹벽및가시설_1.총괄집계및토공" xfId="384"/>
    <cellStyle name="_기존구조물깨기" xfId="385"/>
    <cellStyle name="_기존초당2교" xfId="386"/>
    <cellStyle name="_남악2교" xfId="387"/>
    <cellStyle name="_남악2교_일식단가공" xfId="388"/>
    <cellStyle name="_남악2교_자재(지하도로)" xfId="389"/>
    <cellStyle name="_남악2교_자재집계표" xfId="390"/>
    <cellStyle name="_남악2교_주요자재집계표" xfId="391"/>
    <cellStyle name="_노천1지구1공구" xfId="392"/>
    <cellStyle name="_노천1지구2공구" xfId="393"/>
    <cellStyle name="_노천1지구2공구_사본 - 하마2교-수량" xfId="394"/>
    <cellStyle name="_노천1지구2공구_하마1교-수량" xfId="395"/>
    <cellStyle name="_노천1지구2공구_하마2교-수량" xfId="396"/>
    <cellStyle name="_노천1지구2공구_하마읍3교대" xfId="397"/>
    <cellStyle name="_노천1지구2공구_하마읍3교토공" xfId="398"/>
    <cellStyle name="_노천3지구3공구" xfId="399"/>
    <cellStyle name="_대동교-일반수량" xfId="400"/>
    <cellStyle name="_덕거4(일반수량)" xfId="401"/>
    <cellStyle name="_도곡1교 교대 수량" xfId="402"/>
    <cellStyle name="_도곡1교 교대 수량_1.총괄집계및토공" xfId="403"/>
    <cellStyle name="_도곡1교 교대 수량_1.총괄집계및토공_1.총괄집계및토공" xfId="404"/>
    <cellStyle name="_도곡1교 교대 수량_3~4.옹벽및가시설" xfId="405"/>
    <cellStyle name="_도곡1교 교대 수량_3~4.옹벽및가시설_1.총괄집계및토공" xfId="406"/>
    <cellStyle name="_도곡1교 교대 수량_고양2교- 수량토공" xfId="407"/>
    <cellStyle name="_도곡1교 교대 수량_고양2교- 수량토공_1.총괄집계및토공" xfId="408"/>
    <cellStyle name="_도곡1교 교대 수량_고양2교- 수량토공_1.총괄집계및토공_1.총괄집계및토공" xfId="409"/>
    <cellStyle name="_도곡1교 교대 수량_고양2교- 수량토공_3~4.옹벽및가시설" xfId="410"/>
    <cellStyle name="_도곡1교 교대 수량_고양2교- 수량토공_3~4.옹벽및가시설_1.총괄집계및토공" xfId="411"/>
    <cellStyle name="_도곡1교 교대 수량_사본 - 하마2교-수량" xfId="412"/>
    <cellStyle name="_도곡1교 교대 수량_암거수량" xfId="413"/>
    <cellStyle name="_도곡1교 교대 수량_암거수량(2)" xfId="414"/>
    <cellStyle name="_도곡1교 교대 수량_암거수량(2)_1.총괄집계및토공" xfId="415"/>
    <cellStyle name="_도곡1교 교대 수량_암거수량(2)_1.총괄집계및토공_1.총괄집계및토공" xfId="416"/>
    <cellStyle name="_도곡1교 교대 수량_암거수량(2)_1련BOX" xfId="417"/>
    <cellStyle name="_도곡1교 교대 수량_암거수량(2)_1련BOX_1.총괄집계및토공" xfId="418"/>
    <cellStyle name="_도곡1교 교대 수량_암거수량(2)_1련BOX_1.총괄집계및토공_1.총괄집계및토공" xfId="419"/>
    <cellStyle name="_도곡1교 교대 수량_암거수량(2)_1련BOX_3~4.옹벽및가시설" xfId="420"/>
    <cellStyle name="_도곡1교 교대 수량_암거수량(2)_1련BOX_3~4.옹벽및가시설_1.총괄집계및토공" xfId="421"/>
    <cellStyle name="_도곡1교 교대 수량_암거수량(2)_1련BOX_고양2교- 수량토공" xfId="422"/>
    <cellStyle name="_도곡1교 교대 수량_암거수량(2)_1련BOX_고양2교- 수량토공_1.총괄집계및토공" xfId="423"/>
    <cellStyle name="_도곡1교 교대 수량_암거수량(2)_1련BOX_고양2교- 수량토공_1.총괄집계및토공_1.총괄집계및토공" xfId="424"/>
    <cellStyle name="_도곡1교 교대 수량_암거수량(2)_1련BOX_고양2교- 수량토공_3~4.옹벽및가시설" xfId="425"/>
    <cellStyle name="_도곡1교 교대 수량_암거수량(2)_1련BOX_고양2교- 수량토공_3~4.옹벽및가시설_1.총괄집계및토공" xfId="426"/>
    <cellStyle name="_도곡1교 교대 수량_암거수량(2)_2련BOX" xfId="427"/>
    <cellStyle name="_도곡1교 교대 수량_암거수량(2)_2련BOX_1.총괄집계및토공" xfId="428"/>
    <cellStyle name="_도곡1교 교대 수량_암거수량(2)_2련BOX_1.총괄집계및토공_1.총괄집계및토공" xfId="429"/>
    <cellStyle name="_도곡1교 교대 수량_암거수량(2)_2련BOX_3~4.옹벽및가시설" xfId="430"/>
    <cellStyle name="_도곡1교 교대 수량_암거수량(2)_2련BOX_3~4.옹벽및가시설_1.총괄집계및토공" xfId="431"/>
    <cellStyle name="_도곡1교 교대 수량_암거수량(2)_2련BOX_고양2교- 수량토공" xfId="432"/>
    <cellStyle name="_도곡1교 교대 수량_암거수량(2)_2련BOX_고양2교- 수량토공_1.총괄집계및토공" xfId="433"/>
    <cellStyle name="_도곡1교 교대 수량_암거수량(2)_2련BOX_고양2교- 수량토공_1.총괄집계및토공_1.총괄집계및토공" xfId="434"/>
    <cellStyle name="_도곡1교 교대 수량_암거수량(2)_2련BOX_고양2교- 수량토공_3~4.옹벽및가시설" xfId="435"/>
    <cellStyle name="_도곡1교 교대 수량_암거수량(2)_2련BOX_고양2교- 수량토공_3~4.옹벽및가시설_1.총괄집계및토공" xfId="436"/>
    <cellStyle name="_도곡1교 교대 수량_암거수량(2)_3~4.옹벽및가시설" xfId="437"/>
    <cellStyle name="_도곡1교 교대 수량_암거수량(2)_3~4.옹벽및가시설_1.총괄집계및토공" xfId="438"/>
    <cellStyle name="_도곡1교 교대 수량_암거수량(2)_고양2교- 수량토공" xfId="439"/>
    <cellStyle name="_도곡1교 교대 수량_암거수량(2)_고양2교- 수량토공_1.총괄집계및토공" xfId="440"/>
    <cellStyle name="_도곡1교 교대 수량_암거수량(2)_고양2교- 수량토공_1.총괄집계및토공_1.총괄집계및토공" xfId="441"/>
    <cellStyle name="_도곡1교 교대 수량_암거수량(2)_고양2교- 수량토공_3~4.옹벽및가시설" xfId="442"/>
    <cellStyle name="_도곡1교 교대 수량_암거수량(2)_고양2교- 수량토공_3~4.옹벽및가시설_1.총괄집계및토공" xfId="443"/>
    <cellStyle name="_도곡1교 교대 수량_암거수량_1.총괄집계및토공" xfId="444"/>
    <cellStyle name="_도곡1교 교대 수량_암거수량_1.총괄집계및토공_1.총괄집계및토공" xfId="445"/>
    <cellStyle name="_도곡1교 교대 수량_암거수량_1련BOX" xfId="446"/>
    <cellStyle name="_도곡1교 교대 수량_암거수량_1련BOX_1.총괄집계및토공" xfId="447"/>
    <cellStyle name="_도곡1교 교대 수량_암거수량_1련BOX_1.총괄집계및토공_1.총괄집계및토공" xfId="448"/>
    <cellStyle name="_도곡1교 교대 수량_암거수량_1련BOX_3~4.옹벽및가시설" xfId="449"/>
    <cellStyle name="_도곡1교 교대 수량_암거수량_1련BOX_3~4.옹벽및가시설_1.총괄집계및토공" xfId="450"/>
    <cellStyle name="_도곡1교 교대 수량_암거수량_1련BOX_고양2교- 수량토공" xfId="451"/>
    <cellStyle name="_도곡1교 교대 수량_암거수량_1련BOX_고양2교- 수량토공_1.총괄집계및토공" xfId="452"/>
    <cellStyle name="_도곡1교 교대 수량_암거수량_1련BOX_고양2교- 수량토공_1.총괄집계및토공_1.총괄집계및토공" xfId="453"/>
    <cellStyle name="_도곡1교 교대 수량_암거수량_1련BOX_고양2교- 수량토공_3~4.옹벽및가시설" xfId="454"/>
    <cellStyle name="_도곡1교 교대 수량_암거수량_1련BOX_고양2교- 수량토공_3~4.옹벽및가시설_1.총괄집계및토공" xfId="455"/>
    <cellStyle name="_도곡1교 교대 수량_암거수량_2련BOX" xfId="456"/>
    <cellStyle name="_도곡1교 교대 수량_암거수량_2련BOX_1.총괄집계및토공" xfId="457"/>
    <cellStyle name="_도곡1교 교대 수량_암거수량_2련BOX_1.총괄집계및토공_1.총괄집계및토공" xfId="458"/>
    <cellStyle name="_도곡1교 교대 수량_암거수량_2련BOX_3~4.옹벽및가시설" xfId="459"/>
    <cellStyle name="_도곡1교 교대 수량_암거수량_2련BOX_3~4.옹벽및가시설_1.총괄집계및토공" xfId="460"/>
    <cellStyle name="_도곡1교 교대 수량_암거수량_2련BOX_고양2교- 수량토공" xfId="461"/>
    <cellStyle name="_도곡1교 교대 수량_암거수량_2련BOX_고양2교- 수량토공_1.총괄집계및토공" xfId="462"/>
    <cellStyle name="_도곡1교 교대 수량_암거수량_2련BOX_고양2교- 수량토공_1.총괄집계및토공_1.총괄집계및토공" xfId="463"/>
    <cellStyle name="_도곡1교 교대 수량_암거수량_2련BOX_고양2교- 수량토공_3~4.옹벽및가시설" xfId="464"/>
    <cellStyle name="_도곡1교 교대 수량_암거수량_2련BOX_고양2교- 수량토공_3~4.옹벽및가시설_1.총괄집계및토공" xfId="465"/>
    <cellStyle name="_도곡1교 교대 수량_암거수량_3~4.옹벽및가시설" xfId="466"/>
    <cellStyle name="_도곡1교 교대 수량_암거수량_3~4.옹벽및가시설_1.총괄집계및토공" xfId="467"/>
    <cellStyle name="_도곡1교 교대 수량_암거수량_고양2교- 수량토공" xfId="468"/>
    <cellStyle name="_도곡1교 교대 수량_암거수량_고양2교- 수량토공_1.총괄집계및토공" xfId="469"/>
    <cellStyle name="_도곡1교 교대 수량_암거수량_고양2교- 수량토공_1.총괄집계및토공_1.총괄집계및토공" xfId="470"/>
    <cellStyle name="_도곡1교 교대 수량_암거수량_고양2교- 수량토공_3~4.옹벽및가시설" xfId="471"/>
    <cellStyle name="_도곡1교 교대 수량_암거수량_고양2교- 수량토공_3~4.옹벽및가시설_1.총괄집계및토공" xfId="472"/>
    <cellStyle name="_도곡1교 교대 수량_하마1교-수량" xfId="473"/>
    <cellStyle name="_도곡1교 교대 수량_하마2교-수량" xfId="474"/>
    <cellStyle name="_도곡1교 교대 수량_하마읍3교대" xfId="475"/>
    <cellStyle name="_도곡1교 교대 수량_하마읍3교토공" xfId="476"/>
    <cellStyle name="_도곡1교 교대(시점) 수량" xfId="477"/>
    <cellStyle name="_도곡1교 교대(시점) 수량_1.총괄집계및토공" xfId="478"/>
    <cellStyle name="_도곡1교 교대(시점) 수량_1.총괄집계및토공_1.총괄집계및토공" xfId="479"/>
    <cellStyle name="_도곡1교 교대(시점) 수량_3~4.옹벽및가시설" xfId="480"/>
    <cellStyle name="_도곡1교 교대(시점) 수량_3~4.옹벽및가시설_1.총괄집계및토공" xfId="481"/>
    <cellStyle name="_도곡1교 교대(시점) 수량_고양2교- 수량토공" xfId="482"/>
    <cellStyle name="_도곡1교 교대(시점) 수량_고양2교- 수량토공_1.총괄집계및토공" xfId="483"/>
    <cellStyle name="_도곡1교 교대(시점) 수량_고양2교- 수량토공_1.총괄집계및토공_1.총괄집계및토공" xfId="484"/>
    <cellStyle name="_도곡1교 교대(시점) 수량_고양2교- 수량토공_3~4.옹벽및가시설" xfId="485"/>
    <cellStyle name="_도곡1교 교대(시점) 수량_고양2교- 수량토공_3~4.옹벽및가시설_1.총괄집계및토공" xfId="486"/>
    <cellStyle name="_도곡1교 교대(시점) 수량_사본 - 하마2교-수량" xfId="487"/>
    <cellStyle name="_도곡1교 교대(시점) 수량_암거수량" xfId="488"/>
    <cellStyle name="_도곡1교 교대(시점) 수량_암거수량(2)" xfId="489"/>
    <cellStyle name="_도곡1교 교대(시점) 수량_암거수량(2)_1.총괄집계및토공" xfId="490"/>
    <cellStyle name="_도곡1교 교대(시점) 수량_암거수량(2)_1.총괄집계및토공_1.총괄집계및토공" xfId="491"/>
    <cellStyle name="_도곡1교 교대(시점) 수량_암거수량(2)_1련BOX" xfId="492"/>
    <cellStyle name="_도곡1교 교대(시점) 수량_암거수량(2)_1련BOX_1.총괄집계및토공" xfId="493"/>
    <cellStyle name="_도곡1교 교대(시점) 수량_암거수량(2)_1련BOX_1.총괄집계및토공_1.총괄집계및토공" xfId="494"/>
    <cellStyle name="_도곡1교 교대(시점) 수량_암거수량(2)_1련BOX_3~4.옹벽및가시설" xfId="495"/>
    <cellStyle name="_도곡1교 교대(시점) 수량_암거수량(2)_1련BOX_3~4.옹벽및가시설_1.총괄집계및토공" xfId="496"/>
    <cellStyle name="_도곡1교 교대(시점) 수량_암거수량(2)_1련BOX_고양2교- 수량토공" xfId="497"/>
    <cellStyle name="_도곡1교 교대(시점) 수량_암거수량(2)_1련BOX_고양2교- 수량토공_1.총괄집계및토공" xfId="498"/>
    <cellStyle name="_도곡1교 교대(시점) 수량_암거수량(2)_1련BOX_고양2교- 수량토공_1.총괄집계및토공_1.총괄집계및토공" xfId="499"/>
    <cellStyle name="_도곡1교 교대(시점) 수량_암거수량(2)_1련BOX_고양2교- 수량토공_3~4.옹벽및가시설" xfId="500"/>
    <cellStyle name="_도곡1교 교대(시점) 수량_암거수량(2)_1련BOX_고양2교- 수량토공_3~4.옹벽및가시설_1.총괄집계및토공" xfId="501"/>
    <cellStyle name="_도곡1교 교대(시점) 수량_암거수량(2)_2련BOX" xfId="502"/>
    <cellStyle name="_도곡1교 교대(시점) 수량_암거수량(2)_2련BOX_1.총괄집계및토공" xfId="503"/>
    <cellStyle name="_도곡1교 교대(시점) 수량_암거수량(2)_2련BOX_1.총괄집계및토공_1.총괄집계및토공" xfId="504"/>
    <cellStyle name="_도곡1교 교대(시점) 수량_암거수량(2)_2련BOX_3~4.옹벽및가시설" xfId="505"/>
    <cellStyle name="_도곡1교 교대(시점) 수량_암거수량(2)_2련BOX_3~4.옹벽및가시설_1.총괄집계및토공" xfId="506"/>
    <cellStyle name="_도곡1교 교대(시점) 수량_암거수량(2)_2련BOX_고양2교- 수량토공" xfId="507"/>
    <cellStyle name="_도곡1교 교대(시점) 수량_암거수량(2)_2련BOX_고양2교- 수량토공_1.총괄집계및토공" xfId="508"/>
    <cellStyle name="_도곡1교 교대(시점) 수량_암거수량(2)_2련BOX_고양2교- 수량토공_1.총괄집계및토공_1.총괄집계및토공" xfId="509"/>
    <cellStyle name="_도곡1교 교대(시점) 수량_암거수량(2)_2련BOX_고양2교- 수량토공_3~4.옹벽및가시설" xfId="510"/>
    <cellStyle name="_도곡1교 교대(시점) 수량_암거수량(2)_2련BOX_고양2교- 수량토공_3~4.옹벽및가시설_1.총괄집계및토공" xfId="511"/>
    <cellStyle name="_도곡1교 교대(시점) 수량_암거수량(2)_3~4.옹벽및가시설" xfId="512"/>
    <cellStyle name="_도곡1교 교대(시점) 수량_암거수량(2)_3~4.옹벽및가시설_1.총괄집계및토공" xfId="513"/>
    <cellStyle name="_도곡1교 교대(시점) 수량_암거수량(2)_고양2교- 수량토공" xfId="514"/>
    <cellStyle name="_도곡1교 교대(시점) 수량_암거수량(2)_고양2교- 수량토공_1.총괄집계및토공" xfId="515"/>
    <cellStyle name="_도곡1교 교대(시점) 수량_암거수량(2)_고양2교- 수량토공_1.총괄집계및토공_1.총괄집계및토공" xfId="516"/>
    <cellStyle name="_도곡1교 교대(시점) 수량_암거수량(2)_고양2교- 수량토공_3~4.옹벽및가시설" xfId="517"/>
    <cellStyle name="_도곡1교 교대(시점) 수량_암거수량(2)_고양2교- 수량토공_3~4.옹벽및가시설_1.총괄집계및토공" xfId="518"/>
    <cellStyle name="_도곡1교 교대(시점) 수량_암거수량_1.총괄집계및토공" xfId="519"/>
    <cellStyle name="_도곡1교 교대(시점) 수량_암거수량_1.총괄집계및토공_1.총괄집계및토공" xfId="520"/>
    <cellStyle name="_도곡1교 교대(시점) 수량_암거수량_1련BOX" xfId="521"/>
    <cellStyle name="_도곡1교 교대(시점) 수량_암거수량_1련BOX_1.총괄집계및토공" xfId="522"/>
    <cellStyle name="_도곡1교 교대(시점) 수량_암거수량_1련BOX_1.총괄집계및토공_1.총괄집계및토공" xfId="523"/>
    <cellStyle name="_도곡1교 교대(시점) 수량_암거수량_1련BOX_3~4.옹벽및가시설" xfId="524"/>
    <cellStyle name="_도곡1교 교대(시점) 수량_암거수량_1련BOX_3~4.옹벽및가시설_1.총괄집계및토공" xfId="525"/>
    <cellStyle name="_도곡1교 교대(시점) 수량_암거수량_1련BOX_고양2교- 수량토공" xfId="526"/>
    <cellStyle name="_도곡1교 교대(시점) 수량_암거수량_1련BOX_고양2교- 수량토공_1.총괄집계및토공" xfId="527"/>
    <cellStyle name="_도곡1교 교대(시점) 수량_암거수량_1련BOX_고양2교- 수량토공_1.총괄집계및토공_1.총괄집계및토공" xfId="528"/>
    <cellStyle name="_도곡1교 교대(시점) 수량_암거수량_1련BOX_고양2교- 수량토공_3~4.옹벽및가시설" xfId="529"/>
    <cellStyle name="_도곡1교 교대(시점) 수량_암거수량_1련BOX_고양2교- 수량토공_3~4.옹벽및가시설_1.총괄집계및토공" xfId="530"/>
    <cellStyle name="_도곡1교 교대(시점) 수량_암거수량_2련BOX" xfId="531"/>
    <cellStyle name="_도곡1교 교대(시점) 수량_암거수량_2련BOX_1.총괄집계및토공" xfId="532"/>
    <cellStyle name="_도곡1교 교대(시점) 수량_암거수량_2련BOX_1.총괄집계및토공_1.총괄집계및토공" xfId="533"/>
    <cellStyle name="_도곡1교 교대(시점) 수량_암거수량_2련BOX_3~4.옹벽및가시설" xfId="534"/>
    <cellStyle name="_도곡1교 교대(시점) 수량_암거수량_2련BOX_3~4.옹벽및가시설_1.총괄집계및토공" xfId="535"/>
    <cellStyle name="_도곡1교 교대(시점) 수량_암거수량_2련BOX_고양2교- 수량토공" xfId="536"/>
    <cellStyle name="_도곡1교 교대(시점) 수량_암거수량_2련BOX_고양2교- 수량토공_1.총괄집계및토공" xfId="537"/>
    <cellStyle name="_도곡1교 교대(시점) 수량_암거수량_2련BOX_고양2교- 수량토공_1.총괄집계및토공_1.총괄집계및토공" xfId="538"/>
    <cellStyle name="_도곡1교 교대(시점) 수량_암거수량_2련BOX_고양2교- 수량토공_3~4.옹벽및가시설" xfId="539"/>
    <cellStyle name="_도곡1교 교대(시점) 수량_암거수량_2련BOX_고양2교- 수량토공_3~4.옹벽및가시설_1.총괄집계및토공" xfId="540"/>
    <cellStyle name="_도곡1교 교대(시점) 수량_암거수량_3~4.옹벽및가시설" xfId="541"/>
    <cellStyle name="_도곡1교 교대(시점) 수량_암거수량_3~4.옹벽및가시설_1.총괄집계및토공" xfId="542"/>
    <cellStyle name="_도곡1교 교대(시점) 수량_암거수량_고양2교- 수량토공" xfId="543"/>
    <cellStyle name="_도곡1교 교대(시점) 수량_암거수량_고양2교- 수량토공_1.총괄집계및토공" xfId="544"/>
    <cellStyle name="_도곡1교 교대(시점) 수량_암거수량_고양2교- 수량토공_1.총괄집계및토공_1.총괄집계및토공" xfId="545"/>
    <cellStyle name="_도곡1교 교대(시점) 수량_암거수량_고양2교- 수량토공_3~4.옹벽및가시설" xfId="546"/>
    <cellStyle name="_도곡1교 교대(시점) 수량_암거수량_고양2교- 수량토공_3~4.옹벽및가시설_1.총괄집계및토공" xfId="547"/>
    <cellStyle name="_도곡1교 교대(시점) 수량_하마1교-수량" xfId="548"/>
    <cellStyle name="_도곡1교 교대(시점) 수량_하마2교-수량" xfId="549"/>
    <cellStyle name="_도곡1교 교대(시점) 수량_하마읍3교대" xfId="550"/>
    <cellStyle name="_도곡1교 교대(시점) 수량_하마읍3교토공" xfId="551"/>
    <cellStyle name="_도곡1교 하부공 수량" xfId="552"/>
    <cellStyle name="_도곡1교 하부공 수량_1.총괄집계및토공" xfId="553"/>
    <cellStyle name="_도곡1교 하부공 수량_1.총괄집계및토공_1.총괄집계및토공" xfId="554"/>
    <cellStyle name="_도곡1교 하부공 수량_3~4.옹벽및가시설" xfId="555"/>
    <cellStyle name="_도곡1교 하부공 수량_3~4.옹벽및가시설_1.총괄집계및토공" xfId="556"/>
    <cellStyle name="_도곡1교 하부공 수량_고양2교- 수량토공" xfId="557"/>
    <cellStyle name="_도곡1교 하부공 수량_고양2교- 수량토공_1.총괄집계및토공" xfId="558"/>
    <cellStyle name="_도곡1교 하부공 수량_고양2교- 수량토공_1.총괄집계및토공_1.총괄집계및토공" xfId="559"/>
    <cellStyle name="_도곡1교 하부공 수량_고양2교- 수량토공_3~4.옹벽및가시설" xfId="560"/>
    <cellStyle name="_도곡1교 하부공 수량_고양2교- 수량토공_3~4.옹벽및가시설_1.총괄집계및토공" xfId="561"/>
    <cellStyle name="_도곡1교 하부공 수량_사본 - 하마2교-수량" xfId="562"/>
    <cellStyle name="_도곡1교 하부공 수량_암거수량" xfId="563"/>
    <cellStyle name="_도곡1교 하부공 수량_암거수량(2)" xfId="564"/>
    <cellStyle name="_도곡1교 하부공 수량_암거수량(2)_1.총괄집계및토공" xfId="565"/>
    <cellStyle name="_도곡1교 하부공 수량_암거수량(2)_1.총괄집계및토공_1.총괄집계및토공" xfId="566"/>
    <cellStyle name="_도곡1교 하부공 수량_암거수량(2)_1련BOX" xfId="567"/>
    <cellStyle name="_도곡1교 하부공 수량_암거수량(2)_1련BOX_1.총괄집계및토공" xfId="568"/>
    <cellStyle name="_도곡1교 하부공 수량_암거수량(2)_1련BOX_1.총괄집계및토공_1.총괄집계및토공" xfId="569"/>
    <cellStyle name="_도곡1교 하부공 수량_암거수량(2)_1련BOX_3~4.옹벽및가시설" xfId="570"/>
    <cellStyle name="_도곡1교 하부공 수량_암거수량(2)_1련BOX_3~4.옹벽및가시설_1.총괄집계및토공" xfId="571"/>
    <cellStyle name="_도곡1교 하부공 수량_암거수량(2)_1련BOX_고양2교- 수량토공" xfId="572"/>
    <cellStyle name="_도곡1교 하부공 수량_암거수량(2)_1련BOX_고양2교- 수량토공_1.총괄집계및토공" xfId="573"/>
    <cellStyle name="_도곡1교 하부공 수량_암거수량(2)_1련BOX_고양2교- 수량토공_1.총괄집계및토공_1.총괄집계및토공" xfId="574"/>
    <cellStyle name="_도곡1교 하부공 수량_암거수량(2)_1련BOX_고양2교- 수량토공_3~4.옹벽및가시설" xfId="575"/>
    <cellStyle name="_도곡1교 하부공 수량_암거수량(2)_1련BOX_고양2교- 수량토공_3~4.옹벽및가시설_1.총괄집계및토공" xfId="576"/>
    <cellStyle name="_도곡1교 하부공 수량_암거수량(2)_2련BOX" xfId="577"/>
    <cellStyle name="_도곡1교 하부공 수량_암거수량(2)_2련BOX_1.총괄집계및토공" xfId="578"/>
    <cellStyle name="_도곡1교 하부공 수량_암거수량(2)_2련BOX_1.총괄집계및토공_1.총괄집계및토공" xfId="579"/>
    <cellStyle name="_도곡1교 하부공 수량_암거수량(2)_2련BOX_3~4.옹벽및가시설" xfId="580"/>
    <cellStyle name="_도곡1교 하부공 수량_암거수량(2)_2련BOX_3~4.옹벽및가시설_1.총괄집계및토공" xfId="581"/>
    <cellStyle name="_도곡1교 하부공 수량_암거수량(2)_2련BOX_고양2교- 수량토공" xfId="582"/>
    <cellStyle name="_도곡1교 하부공 수량_암거수량(2)_2련BOX_고양2교- 수량토공_1.총괄집계및토공" xfId="583"/>
    <cellStyle name="_도곡1교 하부공 수량_암거수량(2)_2련BOX_고양2교- 수량토공_1.총괄집계및토공_1.총괄집계및토공" xfId="584"/>
    <cellStyle name="_도곡1교 하부공 수량_암거수량(2)_2련BOX_고양2교- 수량토공_3~4.옹벽및가시설" xfId="585"/>
    <cellStyle name="_도곡1교 하부공 수량_암거수량(2)_2련BOX_고양2교- 수량토공_3~4.옹벽및가시설_1.총괄집계및토공" xfId="586"/>
    <cellStyle name="_도곡1교 하부공 수량_암거수량(2)_3~4.옹벽및가시설" xfId="587"/>
    <cellStyle name="_도곡1교 하부공 수량_암거수량(2)_3~4.옹벽및가시설_1.총괄집계및토공" xfId="588"/>
    <cellStyle name="_도곡1교 하부공 수량_암거수량(2)_고양2교- 수량토공" xfId="589"/>
    <cellStyle name="_도곡1교 하부공 수량_암거수량(2)_고양2교- 수량토공_1.총괄집계및토공" xfId="590"/>
    <cellStyle name="_도곡1교 하부공 수량_암거수량(2)_고양2교- 수량토공_1.총괄집계및토공_1.총괄집계및토공" xfId="591"/>
    <cellStyle name="_도곡1교 하부공 수량_암거수량(2)_고양2교- 수량토공_3~4.옹벽및가시설" xfId="592"/>
    <cellStyle name="_도곡1교 하부공 수량_암거수량(2)_고양2교- 수량토공_3~4.옹벽및가시설_1.총괄집계및토공" xfId="593"/>
    <cellStyle name="_도곡1교 하부공 수량_암거수량_1.총괄집계및토공" xfId="594"/>
    <cellStyle name="_도곡1교 하부공 수량_암거수량_1.총괄집계및토공_1.총괄집계및토공" xfId="595"/>
    <cellStyle name="_도곡1교 하부공 수량_암거수량_1련BOX" xfId="596"/>
    <cellStyle name="_도곡1교 하부공 수량_암거수량_1련BOX_1.총괄집계및토공" xfId="597"/>
    <cellStyle name="_도곡1교 하부공 수량_암거수량_1련BOX_1.총괄집계및토공_1.총괄집계및토공" xfId="598"/>
    <cellStyle name="_도곡1교 하부공 수량_암거수량_1련BOX_3~4.옹벽및가시설" xfId="599"/>
    <cellStyle name="_도곡1교 하부공 수량_암거수량_1련BOX_3~4.옹벽및가시설_1.총괄집계및토공" xfId="600"/>
    <cellStyle name="_도곡1교 하부공 수량_암거수량_1련BOX_고양2교- 수량토공" xfId="601"/>
    <cellStyle name="_도곡1교 하부공 수량_암거수량_1련BOX_고양2교- 수량토공_1.총괄집계및토공" xfId="602"/>
    <cellStyle name="_도곡1교 하부공 수량_암거수량_1련BOX_고양2교- 수량토공_1.총괄집계및토공_1.총괄집계및토공" xfId="603"/>
    <cellStyle name="_도곡1교 하부공 수량_암거수량_1련BOX_고양2교- 수량토공_3~4.옹벽및가시설" xfId="604"/>
    <cellStyle name="_도곡1교 하부공 수량_암거수량_1련BOX_고양2교- 수량토공_3~4.옹벽및가시설_1.총괄집계및토공" xfId="605"/>
    <cellStyle name="_도곡1교 하부공 수량_암거수량_2련BOX" xfId="606"/>
    <cellStyle name="_도곡1교 하부공 수량_암거수량_2련BOX_1.총괄집계및토공" xfId="607"/>
    <cellStyle name="_도곡1교 하부공 수량_암거수량_2련BOX_1.총괄집계및토공_1.총괄집계및토공" xfId="608"/>
    <cellStyle name="_도곡1교 하부공 수량_암거수량_2련BOX_3~4.옹벽및가시설" xfId="609"/>
    <cellStyle name="_도곡1교 하부공 수량_암거수량_2련BOX_3~4.옹벽및가시설_1.총괄집계및토공" xfId="610"/>
    <cellStyle name="_도곡1교 하부공 수량_암거수량_2련BOX_고양2교- 수량토공" xfId="611"/>
    <cellStyle name="_도곡1교 하부공 수량_암거수량_2련BOX_고양2교- 수량토공_1.총괄집계및토공" xfId="612"/>
    <cellStyle name="_도곡1교 하부공 수량_암거수량_2련BOX_고양2교- 수량토공_1.총괄집계및토공_1.총괄집계및토공" xfId="613"/>
    <cellStyle name="_도곡1교 하부공 수량_암거수량_2련BOX_고양2교- 수량토공_3~4.옹벽및가시설" xfId="614"/>
    <cellStyle name="_도곡1교 하부공 수량_암거수량_2련BOX_고양2교- 수량토공_3~4.옹벽및가시설_1.총괄집계및토공" xfId="615"/>
    <cellStyle name="_도곡1교 하부공 수량_암거수량_3~4.옹벽및가시설" xfId="616"/>
    <cellStyle name="_도곡1교 하부공 수량_암거수량_3~4.옹벽및가시설_1.총괄집계및토공" xfId="617"/>
    <cellStyle name="_도곡1교 하부공 수량_암거수량_고양2교- 수량토공" xfId="618"/>
    <cellStyle name="_도곡1교 하부공 수량_암거수량_고양2교- 수량토공_1.총괄집계및토공" xfId="619"/>
    <cellStyle name="_도곡1교 하부공 수량_암거수량_고양2교- 수량토공_1.총괄집계및토공_1.총괄집계및토공" xfId="620"/>
    <cellStyle name="_도곡1교 하부공 수량_암거수량_고양2교- 수량토공_3~4.옹벽및가시설" xfId="621"/>
    <cellStyle name="_도곡1교 하부공 수량_암거수량_고양2교- 수량토공_3~4.옹벽및가시설_1.총괄집계및토공" xfId="622"/>
    <cellStyle name="_도곡1교 하부공 수량_하마1교-수량" xfId="623"/>
    <cellStyle name="_도곡1교 하부공 수량_하마2교-수량" xfId="624"/>
    <cellStyle name="_도곡1교 하부공 수량_하마읍3교대" xfId="625"/>
    <cellStyle name="_도곡1교 하부공 수량_하마읍3교토공" xfId="626"/>
    <cellStyle name="_도곡2교 교대 수량" xfId="627"/>
    <cellStyle name="_도곡2교 교대 수량_1.총괄집계및토공" xfId="628"/>
    <cellStyle name="_도곡2교 교대 수량_1.총괄집계및토공_1.총괄집계및토공" xfId="629"/>
    <cellStyle name="_도곡2교 교대 수량_3~4.옹벽및가시설" xfId="630"/>
    <cellStyle name="_도곡2교 교대 수량_3~4.옹벽및가시설_1.총괄집계및토공" xfId="631"/>
    <cellStyle name="_도곡2교 교대 수량_고양2교- 수량토공" xfId="632"/>
    <cellStyle name="_도곡2교 교대 수량_고양2교- 수량토공_1.총괄집계및토공" xfId="633"/>
    <cellStyle name="_도곡2교 교대 수량_고양2교- 수량토공_1.총괄집계및토공_1.총괄집계및토공" xfId="634"/>
    <cellStyle name="_도곡2교 교대 수량_고양2교- 수량토공_3~4.옹벽및가시설" xfId="635"/>
    <cellStyle name="_도곡2교 교대 수량_고양2교- 수량토공_3~4.옹벽및가시설_1.총괄집계및토공" xfId="636"/>
    <cellStyle name="_도곡2교 교대 수량_사본 - 하마2교-수량" xfId="637"/>
    <cellStyle name="_도곡2교 교대 수량_암거수량" xfId="638"/>
    <cellStyle name="_도곡2교 교대 수량_암거수량(2)" xfId="639"/>
    <cellStyle name="_도곡2교 교대 수량_암거수량(2)_1.총괄집계및토공" xfId="640"/>
    <cellStyle name="_도곡2교 교대 수량_암거수량(2)_1.총괄집계및토공_1.총괄집계및토공" xfId="641"/>
    <cellStyle name="_도곡2교 교대 수량_암거수량(2)_1련BOX" xfId="642"/>
    <cellStyle name="_도곡2교 교대 수량_암거수량(2)_1련BOX_1.총괄집계및토공" xfId="643"/>
    <cellStyle name="_도곡2교 교대 수량_암거수량(2)_1련BOX_1.총괄집계및토공_1.총괄집계및토공" xfId="644"/>
    <cellStyle name="_도곡2교 교대 수량_암거수량(2)_1련BOX_3~4.옹벽및가시설" xfId="645"/>
    <cellStyle name="_도곡2교 교대 수량_암거수량(2)_1련BOX_3~4.옹벽및가시설_1.총괄집계및토공" xfId="646"/>
    <cellStyle name="_도곡2교 교대 수량_암거수량(2)_1련BOX_고양2교- 수량토공" xfId="647"/>
    <cellStyle name="_도곡2교 교대 수량_암거수량(2)_1련BOX_고양2교- 수량토공_1.총괄집계및토공" xfId="648"/>
    <cellStyle name="_도곡2교 교대 수량_암거수량(2)_1련BOX_고양2교- 수량토공_1.총괄집계및토공_1.총괄집계및토공" xfId="649"/>
    <cellStyle name="_도곡2교 교대 수량_암거수량(2)_1련BOX_고양2교- 수량토공_3~4.옹벽및가시설" xfId="650"/>
    <cellStyle name="_도곡2교 교대 수량_암거수량(2)_1련BOX_고양2교- 수량토공_3~4.옹벽및가시설_1.총괄집계및토공" xfId="651"/>
    <cellStyle name="_도곡2교 교대 수량_암거수량(2)_2련BOX" xfId="652"/>
    <cellStyle name="_도곡2교 교대 수량_암거수량(2)_2련BOX_1.총괄집계및토공" xfId="653"/>
    <cellStyle name="_도곡2교 교대 수량_암거수량(2)_2련BOX_1.총괄집계및토공_1.총괄집계및토공" xfId="654"/>
    <cellStyle name="_도곡2교 교대 수량_암거수량(2)_2련BOX_3~4.옹벽및가시설" xfId="655"/>
    <cellStyle name="_도곡2교 교대 수량_암거수량(2)_2련BOX_3~4.옹벽및가시설_1.총괄집계및토공" xfId="656"/>
    <cellStyle name="_도곡2교 교대 수량_암거수량(2)_2련BOX_고양2교- 수량토공" xfId="657"/>
    <cellStyle name="_도곡2교 교대 수량_암거수량(2)_2련BOX_고양2교- 수량토공_1.총괄집계및토공" xfId="658"/>
    <cellStyle name="_도곡2교 교대 수량_암거수량(2)_2련BOX_고양2교- 수량토공_1.총괄집계및토공_1.총괄집계및토공" xfId="659"/>
    <cellStyle name="_도곡2교 교대 수량_암거수량(2)_2련BOX_고양2교- 수량토공_3~4.옹벽및가시설" xfId="660"/>
    <cellStyle name="_도곡2교 교대 수량_암거수량(2)_2련BOX_고양2교- 수량토공_3~4.옹벽및가시설_1.총괄집계및토공" xfId="661"/>
    <cellStyle name="_도곡2교 교대 수량_암거수량(2)_3~4.옹벽및가시설" xfId="662"/>
    <cellStyle name="_도곡2교 교대 수량_암거수량(2)_3~4.옹벽및가시설_1.총괄집계및토공" xfId="663"/>
    <cellStyle name="_도곡2교 교대 수량_암거수량(2)_고양2교- 수량토공" xfId="664"/>
    <cellStyle name="_도곡2교 교대 수량_암거수량(2)_고양2교- 수량토공_1.총괄집계및토공" xfId="665"/>
    <cellStyle name="_도곡2교 교대 수량_암거수량(2)_고양2교- 수량토공_1.총괄집계및토공_1.총괄집계및토공" xfId="666"/>
    <cellStyle name="_도곡2교 교대 수량_암거수량(2)_고양2교- 수량토공_3~4.옹벽및가시설" xfId="667"/>
    <cellStyle name="_도곡2교 교대 수량_암거수량(2)_고양2교- 수량토공_3~4.옹벽및가시설_1.총괄집계및토공" xfId="668"/>
    <cellStyle name="_도곡2교 교대 수량_암거수량_1.총괄집계및토공" xfId="669"/>
    <cellStyle name="_도곡2교 교대 수량_암거수량_1.총괄집계및토공_1.총괄집계및토공" xfId="670"/>
    <cellStyle name="_도곡2교 교대 수량_암거수량_1련BOX" xfId="671"/>
    <cellStyle name="_도곡2교 교대 수량_암거수량_1련BOX_1.총괄집계및토공" xfId="672"/>
    <cellStyle name="_도곡2교 교대 수량_암거수량_1련BOX_1.총괄집계및토공_1.총괄집계및토공" xfId="673"/>
    <cellStyle name="_도곡2교 교대 수량_암거수량_1련BOX_3~4.옹벽및가시설" xfId="674"/>
    <cellStyle name="_도곡2교 교대 수량_암거수량_1련BOX_3~4.옹벽및가시설_1.총괄집계및토공" xfId="675"/>
    <cellStyle name="_도곡2교 교대 수량_암거수량_1련BOX_고양2교- 수량토공" xfId="676"/>
    <cellStyle name="_도곡2교 교대 수량_암거수량_1련BOX_고양2교- 수량토공_1.총괄집계및토공" xfId="677"/>
    <cellStyle name="_도곡2교 교대 수량_암거수량_1련BOX_고양2교- 수량토공_1.총괄집계및토공_1.총괄집계및토공" xfId="678"/>
    <cellStyle name="_도곡2교 교대 수량_암거수량_1련BOX_고양2교- 수량토공_3~4.옹벽및가시설" xfId="679"/>
    <cellStyle name="_도곡2교 교대 수량_암거수량_1련BOX_고양2교- 수량토공_3~4.옹벽및가시설_1.총괄집계및토공" xfId="680"/>
    <cellStyle name="_도곡2교 교대 수량_암거수량_2련BOX" xfId="681"/>
    <cellStyle name="_도곡2교 교대 수량_암거수량_2련BOX_1.총괄집계및토공" xfId="682"/>
    <cellStyle name="_도곡2교 교대 수량_암거수량_2련BOX_1.총괄집계및토공_1.총괄집계및토공" xfId="683"/>
    <cellStyle name="_도곡2교 교대 수량_암거수량_2련BOX_3~4.옹벽및가시설" xfId="684"/>
    <cellStyle name="_도곡2교 교대 수량_암거수량_2련BOX_3~4.옹벽및가시설_1.총괄집계및토공" xfId="685"/>
    <cellStyle name="_도곡2교 교대 수량_암거수량_2련BOX_고양2교- 수량토공" xfId="686"/>
    <cellStyle name="_도곡2교 교대 수량_암거수량_2련BOX_고양2교- 수량토공_1.총괄집계및토공" xfId="687"/>
    <cellStyle name="_도곡2교 교대 수량_암거수량_2련BOX_고양2교- 수량토공_1.총괄집계및토공_1.총괄집계및토공" xfId="688"/>
    <cellStyle name="_도곡2교 교대 수량_암거수량_2련BOX_고양2교- 수량토공_3~4.옹벽및가시설" xfId="689"/>
    <cellStyle name="_도곡2교 교대 수량_암거수량_2련BOX_고양2교- 수량토공_3~4.옹벽및가시설_1.총괄집계및토공" xfId="690"/>
    <cellStyle name="_도곡2교 교대 수량_암거수량_3~4.옹벽및가시설" xfId="691"/>
    <cellStyle name="_도곡2교 교대 수량_암거수량_3~4.옹벽및가시설_1.총괄집계및토공" xfId="692"/>
    <cellStyle name="_도곡2교 교대 수량_암거수량_고양2교- 수량토공" xfId="693"/>
    <cellStyle name="_도곡2교 교대 수량_암거수량_고양2교- 수량토공_1.총괄집계및토공" xfId="694"/>
    <cellStyle name="_도곡2교 교대 수량_암거수량_고양2교- 수량토공_1.총괄집계및토공_1.총괄집계및토공" xfId="695"/>
    <cellStyle name="_도곡2교 교대 수량_암거수량_고양2교- 수량토공_3~4.옹벽및가시설" xfId="696"/>
    <cellStyle name="_도곡2교 교대 수량_암거수량_고양2교- 수량토공_3~4.옹벽및가시설_1.총괄집계및토공" xfId="697"/>
    <cellStyle name="_도곡2교 교대 수량_하마1교-수량" xfId="698"/>
    <cellStyle name="_도곡2교 교대 수량_하마2교-수량" xfId="699"/>
    <cellStyle name="_도곡2교 교대 수량_하마읍3교대" xfId="700"/>
    <cellStyle name="_도곡2교 교대 수량_하마읍3교토공" xfId="701"/>
    <cellStyle name="_도곡2교 교대(종점) 수량" xfId="702"/>
    <cellStyle name="_도곡2교 교대(종점) 수량_1.총괄집계및토공" xfId="703"/>
    <cellStyle name="_도곡2교 교대(종점) 수량_1.총괄집계및토공_1.총괄집계및토공" xfId="704"/>
    <cellStyle name="_도곡2교 교대(종점) 수량_3~4.옹벽및가시설" xfId="705"/>
    <cellStyle name="_도곡2교 교대(종점) 수량_3~4.옹벽및가시설_1.총괄집계및토공" xfId="706"/>
    <cellStyle name="_도곡2교 교대(종점) 수량_고양2교- 수량토공" xfId="707"/>
    <cellStyle name="_도곡2교 교대(종점) 수량_고양2교- 수량토공_1.총괄집계및토공" xfId="708"/>
    <cellStyle name="_도곡2교 교대(종점) 수량_고양2교- 수량토공_1.총괄집계및토공_1.총괄집계및토공" xfId="709"/>
    <cellStyle name="_도곡2교 교대(종점) 수량_고양2교- 수량토공_3~4.옹벽및가시설" xfId="710"/>
    <cellStyle name="_도곡2교 교대(종점) 수량_고양2교- 수량토공_3~4.옹벽및가시설_1.총괄집계및토공" xfId="711"/>
    <cellStyle name="_도곡2교 교대(종점) 수량_사본 - 하마2교-수량" xfId="712"/>
    <cellStyle name="_도곡2교 교대(종점) 수량_암거수량" xfId="713"/>
    <cellStyle name="_도곡2교 교대(종점) 수량_암거수량(2)" xfId="714"/>
    <cellStyle name="_도곡2교 교대(종점) 수량_암거수량(2)_1.총괄집계및토공" xfId="715"/>
    <cellStyle name="_도곡2교 교대(종점) 수량_암거수량(2)_1.총괄집계및토공_1.총괄집계및토공" xfId="716"/>
    <cellStyle name="_도곡2교 교대(종점) 수량_암거수량(2)_1련BOX" xfId="717"/>
    <cellStyle name="_도곡2교 교대(종점) 수량_암거수량(2)_1련BOX_1.총괄집계및토공" xfId="718"/>
    <cellStyle name="_도곡2교 교대(종점) 수량_암거수량(2)_1련BOX_1.총괄집계및토공_1.총괄집계및토공" xfId="719"/>
    <cellStyle name="_도곡2교 교대(종점) 수량_암거수량(2)_1련BOX_3~4.옹벽및가시설" xfId="720"/>
    <cellStyle name="_도곡2교 교대(종점) 수량_암거수량(2)_1련BOX_3~4.옹벽및가시설_1.총괄집계및토공" xfId="721"/>
    <cellStyle name="_도곡2교 교대(종점) 수량_암거수량(2)_1련BOX_고양2교- 수량토공" xfId="722"/>
    <cellStyle name="_도곡2교 교대(종점) 수량_암거수량(2)_1련BOX_고양2교- 수량토공_1.총괄집계및토공" xfId="723"/>
    <cellStyle name="_도곡2교 교대(종점) 수량_암거수량(2)_1련BOX_고양2교- 수량토공_1.총괄집계및토공_1.총괄집계및토공" xfId="724"/>
    <cellStyle name="_도곡2교 교대(종점) 수량_암거수량(2)_1련BOX_고양2교- 수량토공_3~4.옹벽및가시설" xfId="725"/>
    <cellStyle name="_도곡2교 교대(종점) 수량_암거수량(2)_1련BOX_고양2교- 수량토공_3~4.옹벽및가시설_1.총괄집계및토공" xfId="726"/>
    <cellStyle name="_도곡2교 교대(종점) 수량_암거수량(2)_2련BOX" xfId="727"/>
    <cellStyle name="_도곡2교 교대(종점) 수량_암거수량(2)_2련BOX_1.총괄집계및토공" xfId="728"/>
    <cellStyle name="_도곡2교 교대(종점) 수량_암거수량(2)_2련BOX_1.총괄집계및토공_1.총괄집계및토공" xfId="729"/>
    <cellStyle name="_도곡2교 교대(종점) 수량_암거수량(2)_2련BOX_3~4.옹벽및가시설" xfId="730"/>
    <cellStyle name="_도곡2교 교대(종점) 수량_암거수량(2)_2련BOX_3~4.옹벽및가시설_1.총괄집계및토공" xfId="731"/>
    <cellStyle name="_도곡2교 교대(종점) 수량_암거수량(2)_2련BOX_고양2교- 수량토공" xfId="732"/>
    <cellStyle name="_도곡2교 교대(종점) 수량_암거수량(2)_2련BOX_고양2교- 수량토공_1.총괄집계및토공" xfId="733"/>
    <cellStyle name="_도곡2교 교대(종점) 수량_암거수량(2)_2련BOX_고양2교- 수량토공_1.총괄집계및토공_1.총괄집계및토공" xfId="734"/>
    <cellStyle name="_도곡2교 교대(종점) 수량_암거수량(2)_2련BOX_고양2교- 수량토공_3~4.옹벽및가시설" xfId="735"/>
    <cellStyle name="_도곡2교 교대(종점) 수량_암거수량(2)_2련BOX_고양2교- 수량토공_3~4.옹벽및가시설_1.총괄집계및토공" xfId="736"/>
    <cellStyle name="_도곡2교 교대(종점) 수량_암거수량(2)_3~4.옹벽및가시설" xfId="737"/>
    <cellStyle name="_도곡2교 교대(종점) 수량_암거수량(2)_3~4.옹벽및가시설_1.총괄집계및토공" xfId="738"/>
    <cellStyle name="_도곡2교 교대(종점) 수량_암거수량(2)_고양2교- 수량토공" xfId="739"/>
    <cellStyle name="_도곡2교 교대(종점) 수량_암거수량(2)_고양2교- 수량토공_1.총괄집계및토공" xfId="740"/>
    <cellStyle name="_도곡2교 교대(종점) 수량_암거수량(2)_고양2교- 수량토공_1.총괄집계및토공_1.총괄집계및토공" xfId="741"/>
    <cellStyle name="_도곡2교 교대(종점) 수량_암거수량(2)_고양2교- 수량토공_3~4.옹벽및가시설" xfId="742"/>
    <cellStyle name="_도곡2교 교대(종점) 수량_암거수량(2)_고양2교- 수량토공_3~4.옹벽및가시설_1.총괄집계및토공" xfId="743"/>
    <cellStyle name="_도곡2교 교대(종점) 수량_암거수량_1.총괄집계및토공" xfId="744"/>
    <cellStyle name="_도곡2교 교대(종점) 수량_암거수량_1.총괄집계및토공_1.총괄집계및토공" xfId="745"/>
    <cellStyle name="_도곡2교 교대(종점) 수량_암거수량_1련BOX" xfId="746"/>
    <cellStyle name="_도곡2교 교대(종점) 수량_암거수량_1련BOX_1.총괄집계및토공" xfId="747"/>
    <cellStyle name="_도곡2교 교대(종점) 수량_암거수량_1련BOX_1.총괄집계및토공_1.총괄집계및토공" xfId="748"/>
    <cellStyle name="_도곡2교 교대(종점) 수량_암거수량_1련BOX_3~4.옹벽및가시설" xfId="749"/>
    <cellStyle name="_도곡2교 교대(종점) 수량_암거수량_1련BOX_3~4.옹벽및가시설_1.총괄집계및토공" xfId="750"/>
    <cellStyle name="_도곡2교 교대(종점) 수량_암거수량_1련BOX_고양2교- 수량토공" xfId="751"/>
    <cellStyle name="_도곡2교 교대(종점) 수량_암거수량_1련BOX_고양2교- 수량토공_1.총괄집계및토공" xfId="752"/>
    <cellStyle name="_도곡2교 교대(종점) 수량_암거수량_1련BOX_고양2교- 수량토공_1.총괄집계및토공_1.총괄집계및토공" xfId="753"/>
    <cellStyle name="_도곡2교 교대(종점) 수량_암거수량_1련BOX_고양2교- 수량토공_3~4.옹벽및가시설" xfId="754"/>
    <cellStyle name="_도곡2교 교대(종점) 수량_암거수량_1련BOX_고양2교- 수량토공_3~4.옹벽및가시설_1.총괄집계및토공" xfId="755"/>
    <cellStyle name="_도곡2교 교대(종점) 수량_암거수량_2련BOX" xfId="756"/>
    <cellStyle name="_도곡2교 교대(종점) 수량_암거수량_2련BOX_1.총괄집계및토공" xfId="757"/>
    <cellStyle name="_도곡2교 교대(종점) 수량_암거수량_2련BOX_1.총괄집계및토공_1.총괄집계및토공" xfId="758"/>
    <cellStyle name="_도곡2교 교대(종점) 수량_암거수량_2련BOX_3~4.옹벽및가시설" xfId="759"/>
    <cellStyle name="_도곡2교 교대(종점) 수량_암거수량_2련BOX_3~4.옹벽및가시설_1.총괄집계및토공" xfId="760"/>
    <cellStyle name="_도곡2교 교대(종점) 수량_암거수량_2련BOX_고양2교- 수량토공" xfId="761"/>
    <cellStyle name="_도곡2교 교대(종점) 수량_암거수량_2련BOX_고양2교- 수량토공_1.총괄집계및토공" xfId="762"/>
    <cellStyle name="_도곡2교 교대(종점) 수량_암거수량_2련BOX_고양2교- 수량토공_1.총괄집계및토공_1.총괄집계및토공" xfId="763"/>
    <cellStyle name="_도곡2교 교대(종점) 수량_암거수량_2련BOX_고양2교- 수량토공_3~4.옹벽및가시설" xfId="764"/>
    <cellStyle name="_도곡2교 교대(종점) 수량_암거수량_2련BOX_고양2교- 수량토공_3~4.옹벽및가시설_1.총괄집계및토공" xfId="765"/>
    <cellStyle name="_도곡2교 교대(종점) 수량_암거수량_3~4.옹벽및가시설" xfId="766"/>
    <cellStyle name="_도곡2교 교대(종점) 수량_암거수량_3~4.옹벽및가시설_1.총괄집계및토공" xfId="767"/>
    <cellStyle name="_도곡2교 교대(종점) 수량_암거수량_고양2교- 수량토공" xfId="768"/>
    <cellStyle name="_도곡2교 교대(종점) 수량_암거수량_고양2교- 수량토공_1.총괄집계및토공" xfId="769"/>
    <cellStyle name="_도곡2교 교대(종점) 수량_암거수량_고양2교- 수량토공_1.총괄집계및토공_1.총괄집계및토공" xfId="770"/>
    <cellStyle name="_도곡2교 교대(종점) 수량_암거수량_고양2교- 수량토공_3~4.옹벽및가시설" xfId="771"/>
    <cellStyle name="_도곡2교 교대(종점) 수량_암거수량_고양2교- 수량토공_3~4.옹벽및가시설_1.총괄집계및토공" xfId="772"/>
    <cellStyle name="_도곡2교 교대(종점) 수량_하마1교-수량" xfId="773"/>
    <cellStyle name="_도곡2교 교대(종점) 수량_하마2교-수량" xfId="774"/>
    <cellStyle name="_도곡2교 교대(종점) 수량_하마읍3교대" xfId="775"/>
    <cellStyle name="_도곡2교 교대(종점) 수량_하마읍3교토공" xfId="776"/>
    <cellStyle name="_도곡3교 교대 수량" xfId="777"/>
    <cellStyle name="_도곡3교 교대 수량_1.총괄집계및토공" xfId="778"/>
    <cellStyle name="_도곡3교 교대 수량_1.총괄집계및토공_1.총괄집계및토공" xfId="779"/>
    <cellStyle name="_도곡3교 교대 수량_3~4.옹벽및가시설" xfId="780"/>
    <cellStyle name="_도곡3교 교대 수량_3~4.옹벽및가시설_1.총괄집계및토공" xfId="781"/>
    <cellStyle name="_도곡3교 교대 수량_고양2교- 수량토공" xfId="782"/>
    <cellStyle name="_도곡3교 교대 수량_고양2교- 수량토공_1.총괄집계및토공" xfId="783"/>
    <cellStyle name="_도곡3교 교대 수량_고양2교- 수량토공_1.총괄집계및토공_1.총괄집계및토공" xfId="784"/>
    <cellStyle name="_도곡3교 교대 수량_고양2교- 수량토공_3~4.옹벽및가시설" xfId="785"/>
    <cellStyle name="_도곡3교 교대 수량_고양2교- 수량토공_3~4.옹벽및가시설_1.총괄집계및토공" xfId="786"/>
    <cellStyle name="_도곡3교 교대 수량_사본 - 하마2교-수량" xfId="787"/>
    <cellStyle name="_도곡3교 교대 수량_암거수량" xfId="788"/>
    <cellStyle name="_도곡3교 교대 수량_암거수량(2)" xfId="789"/>
    <cellStyle name="_도곡3교 교대 수량_암거수량(2)_1.총괄집계및토공" xfId="790"/>
    <cellStyle name="_도곡3교 교대 수량_암거수량(2)_1.총괄집계및토공_1.총괄집계및토공" xfId="791"/>
    <cellStyle name="_도곡3교 교대 수량_암거수량(2)_1련BOX" xfId="792"/>
    <cellStyle name="_도곡3교 교대 수량_암거수량(2)_1련BOX_1.총괄집계및토공" xfId="793"/>
    <cellStyle name="_도곡3교 교대 수량_암거수량(2)_1련BOX_1.총괄집계및토공_1.총괄집계및토공" xfId="794"/>
    <cellStyle name="_도곡3교 교대 수량_암거수량(2)_1련BOX_3~4.옹벽및가시설" xfId="795"/>
    <cellStyle name="_도곡3교 교대 수량_암거수량(2)_1련BOX_3~4.옹벽및가시설_1.총괄집계및토공" xfId="796"/>
    <cellStyle name="_도곡3교 교대 수량_암거수량(2)_1련BOX_고양2교- 수량토공" xfId="797"/>
    <cellStyle name="_도곡3교 교대 수량_암거수량(2)_1련BOX_고양2교- 수량토공_1.총괄집계및토공" xfId="798"/>
    <cellStyle name="_도곡3교 교대 수량_암거수량(2)_1련BOX_고양2교- 수량토공_1.총괄집계및토공_1.총괄집계및토공" xfId="799"/>
    <cellStyle name="_도곡3교 교대 수량_암거수량(2)_1련BOX_고양2교- 수량토공_3~4.옹벽및가시설" xfId="800"/>
    <cellStyle name="_도곡3교 교대 수량_암거수량(2)_1련BOX_고양2교- 수량토공_3~4.옹벽및가시설_1.총괄집계및토공" xfId="801"/>
    <cellStyle name="_도곡3교 교대 수량_암거수량(2)_2련BOX" xfId="802"/>
    <cellStyle name="_도곡3교 교대 수량_암거수량(2)_2련BOX_1.총괄집계및토공" xfId="803"/>
    <cellStyle name="_도곡3교 교대 수량_암거수량(2)_2련BOX_1.총괄집계및토공_1.총괄집계및토공" xfId="804"/>
    <cellStyle name="_도곡3교 교대 수량_암거수량(2)_2련BOX_3~4.옹벽및가시설" xfId="805"/>
    <cellStyle name="_도곡3교 교대 수량_암거수량(2)_2련BOX_3~4.옹벽및가시설_1.총괄집계및토공" xfId="806"/>
    <cellStyle name="_도곡3교 교대 수량_암거수량(2)_2련BOX_고양2교- 수량토공" xfId="807"/>
    <cellStyle name="_도곡3교 교대 수량_암거수량(2)_2련BOX_고양2교- 수량토공_1.총괄집계및토공" xfId="808"/>
    <cellStyle name="_도곡3교 교대 수량_암거수량(2)_2련BOX_고양2교- 수량토공_1.총괄집계및토공_1.총괄집계및토공" xfId="809"/>
    <cellStyle name="_도곡3교 교대 수량_암거수량(2)_2련BOX_고양2교- 수량토공_3~4.옹벽및가시설" xfId="810"/>
    <cellStyle name="_도곡3교 교대 수량_암거수량(2)_2련BOX_고양2교- 수량토공_3~4.옹벽및가시설_1.총괄집계및토공" xfId="811"/>
    <cellStyle name="_도곡3교 교대 수량_암거수량(2)_3~4.옹벽및가시설" xfId="812"/>
    <cellStyle name="_도곡3교 교대 수량_암거수량(2)_3~4.옹벽및가시설_1.총괄집계및토공" xfId="813"/>
    <cellStyle name="_도곡3교 교대 수량_암거수량(2)_고양2교- 수량토공" xfId="814"/>
    <cellStyle name="_도곡3교 교대 수량_암거수량(2)_고양2교- 수량토공_1.총괄집계및토공" xfId="815"/>
    <cellStyle name="_도곡3교 교대 수량_암거수량(2)_고양2교- 수량토공_1.총괄집계및토공_1.총괄집계및토공" xfId="816"/>
    <cellStyle name="_도곡3교 교대 수량_암거수량(2)_고양2교- 수량토공_3~4.옹벽및가시설" xfId="817"/>
    <cellStyle name="_도곡3교 교대 수량_암거수량(2)_고양2교- 수량토공_3~4.옹벽및가시설_1.총괄집계및토공" xfId="818"/>
    <cellStyle name="_도곡3교 교대 수량_암거수량_1.총괄집계및토공" xfId="819"/>
    <cellStyle name="_도곡3교 교대 수량_암거수량_1.총괄집계및토공_1.총괄집계및토공" xfId="820"/>
    <cellStyle name="_도곡3교 교대 수량_암거수량_1련BOX" xfId="821"/>
    <cellStyle name="_도곡3교 교대 수량_암거수량_1련BOX_1.총괄집계및토공" xfId="822"/>
    <cellStyle name="_도곡3교 교대 수량_암거수량_1련BOX_1.총괄집계및토공_1.총괄집계및토공" xfId="823"/>
    <cellStyle name="_도곡3교 교대 수량_암거수량_1련BOX_3~4.옹벽및가시설" xfId="824"/>
    <cellStyle name="_도곡3교 교대 수량_암거수량_1련BOX_3~4.옹벽및가시설_1.총괄집계및토공" xfId="825"/>
    <cellStyle name="_도곡3교 교대 수량_암거수량_1련BOX_고양2교- 수량토공" xfId="826"/>
    <cellStyle name="_도곡3교 교대 수량_암거수량_1련BOX_고양2교- 수량토공_1.총괄집계및토공" xfId="827"/>
    <cellStyle name="_도곡3교 교대 수량_암거수량_1련BOX_고양2교- 수량토공_1.총괄집계및토공_1.총괄집계및토공" xfId="828"/>
    <cellStyle name="_도곡3교 교대 수량_암거수량_1련BOX_고양2교- 수량토공_3~4.옹벽및가시설" xfId="829"/>
    <cellStyle name="_도곡3교 교대 수량_암거수량_1련BOX_고양2교- 수량토공_3~4.옹벽및가시설_1.총괄집계및토공" xfId="830"/>
    <cellStyle name="_도곡3교 교대 수량_암거수량_2련BOX" xfId="831"/>
    <cellStyle name="_도곡3교 교대 수량_암거수량_2련BOX_1.총괄집계및토공" xfId="832"/>
    <cellStyle name="_도곡3교 교대 수량_암거수량_2련BOX_1.총괄집계및토공_1.총괄집계및토공" xfId="833"/>
    <cellStyle name="_도곡3교 교대 수량_암거수량_2련BOX_3~4.옹벽및가시설" xfId="834"/>
    <cellStyle name="_도곡3교 교대 수량_암거수량_2련BOX_3~4.옹벽및가시설_1.총괄집계및토공" xfId="835"/>
    <cellStyle name="_도곡3교 교대 수량_암거수량_2련BOX_고양2교- 수량토공" xfId="836"/>
    <cellStyle name="_도곡3교 교대 수량_암거수량_2련BOX_고양2교- 수량토공_1.총괄집계및토공" xfId="837"/>
    <cellStyle name="_도곡3교 교대 수량_암거수량_2련BOX_고양2교- 수량토공_1.총괄집계및토공_1.총괄집계및토공" xfId="838"/>
    <cellStyle name="_도곡3교 교대 수량_암거수량_2련BOX_고양2교- 수량토공_3~4.옹벽및가시설" xfId="839"/>
    <cellStyle name="_도곡3교 교대 수량_암거수량_2련BOX_고양2교- 수량토공_3~4.옹벽및가시설_1.총괄집계및토공" xfId="840"/>
    <cellStyle name="_도곡3교 교대 수량_암거수량_3~4.옹벽및가시설" xfId="841"/>
    <cellStyle name="_도곡3교 교대 수량_암거수량_3~4.옹벽및가시설_1.총괄집계및토공" xfId="842"/>
    <cellStyle name="_도곡3교 교대 수량_암거수량_고양2교- 수량토공" xfId="843"/>
    <cellStyle name="_도곡3교 교대 수량_암거수량_고양2교- 수량토공_1.총괄집계및토공" xfId="844"/>
    <cellStyle name="_도곡3교 교대 수량_암거수량_고양2교- 수량토공_1.총괄집계및토공_1.총괄집계및토공" xfId="845"/>
    <cellStyle name="_도곡3교 교대 수량_암거수량_고양2교- 수량토공_3~4.옹벽및가시설" xfId="846"/>
    <cellStyle name="_도곡3교 교대 수량_암거수량_고양2교- 수량토공_3~4.옹벽및가시설_1.총괄집계및토공" xfId="847"/>
    <cellStyle name="_도곡3교 교대 수량_하마1교-수량" xfId="848"/>
    <cellStyle name="_도곡3교 교대 수량_하마2교-수량" xfId="849"/>
    <cellStyle name="_도곡3교 교대 수량_하마읍3교대" xfId="850"/>
    <cellStyle name="_도곡3교 교대 수량_하마읍3교토공" xfId="851"/>
    <cellStyle name="_도곡4교 하부공 수량" xfId="852"/>
    <cellStyle name="_도곡4교 하부공 수량_1.총괄집계및토공" xfId="853"/>
    <cellStyle name="_도곡4교 하부공 수량_1.총괄집계및토공_1.총괄집계및토공" xfId="854"/>
    <cellStyle name="_도곡4교 하부공 수량_3~4.옹벽및가시설" xfId="855"/>
    <cellStyle name="_도곡4교 하부공 수량_3~4.옹벽및가시설_1.총괄집계및토공" xfId="856"/>
    <cellStyle name="_도곡4교 하부공 수량_고양2교- 수량토공" xfId="857"/>
    <cellStyle name="_도곡4교 하부공 수량_고양2교- 수량토공_1.총괄집계및토공" xfId="858"/>
    <cellStyle name="_도곡4교 하부공 수량_고양2교- 수량토공_1.총괄집계및토공_1.총괄집계및토공" xfId="859"/>
    <cellStyle name="_도곡4교 하부공 수량_고양2교- 수량토공_3~4.옹벽및가시설" xfId="860"/>
    <cellStyle name="_도곡4교 하부공 수량_고양2교- 수량토공_3~4.옹벽및가시설_1.총괄집계및토공" xfId="861"/>
    <cellStyle name="_도곡4교 하부공 수량_사본 - 하마2교-수량" xfId="862"/>
    <cellStyle name="_도곡4교 하부공 수량_암거수량" xfId="863"/>
    <cellStyle name="_도곡4교 하부공 수량_암거수량(2)" xfId="864"/>
    <cellStyle name="_도곡4교 하부공 수량_암거수량(2)_1.총괄집계및토공" xfId="865"/>
    <cellStyle name="_도곡4교 하부공 수량_암거수량(2)_1.총괄집계및토공_1.총괄집계및토공" xfId="866"/>
    <cellStyle name="_도곡4교 하부공 수량_암거수량(2)_1련BOX" xfId="867"/>
    <cellStyle name="_도곡4교 하부공 수량_암거수량(2)_1련BOX_1.총괄집계및토공" xfId="868"/>
    <cellStyle name="_도곡4교 하부공 수량_암거수량(2)_1련BOX_1.총괄집계및토공_1.총괄집계및토공" xfId="869"/>
    <cellStyle name="_도곡4교 하부공 수량_암거수량(2)_1련BOX_3~4.옹벽및가시설" xfId="870"/>
    <cellStyle name="_도곡4교 하부공 수량_암거수량(2)_1련BOX_3~4.옹벽및가시설_1.총괄집계및토공" xfId="871"/>
    <cellStyle name="_도곡4교 하부공 수량_암거수량(2)_1련BOX_고양2교- 수량토공" xfId="872"/>
    <cellStyle name="_도곡4교 하부공 수량_암거수량(2)_1련BOX_고양2교- 수량토공_1.총괄집계및토공" xfId="873"/>
    <cellStyle name="_도곡4교 하부공 수량_암거수량(2)_1련BOX_고양2교- 수량토공_1.총괄집계및토공_1.총괄집계및토공" xfId="874"/>
    <cellStyle name="_도곡4교 하부공 수량_암거수량(2)_1련BOX_고양2교- 수량토공_3~4.옹벽및가시설" xfId="875"/>
    <cellStyle name="_도곡4교 하부공 수량_암거수량(2)_1련BOX_고양2교- 수량토공_3~4.옹벽및가시설_1.총괄집계및토공" xfId="876"/>
    <cellStyle name="_도곡4교 하부공 수량_암거수량(2)_2련BOX" xfId="877"/>
    <cellStyle name="_도곡4교 하부공 수량_암거수량(2)_2련BOX_1.총괄집계및토공" xfId="878"/>
    <cellStyle name="_도곡4교 하부공 수량_암거수량(2)_2련BOX_1.총괄집계및토공_1.총괄집계및토공" xfId="879"/>
    <cellStyle name="_도곡4교 하부공 수량_암거수량(2)_2련BOX_3~4.옹벽및가시설" xfId="880"/>
    <cellStyle name="_도곡4교 하부공 수량_암거수량(2)_2련BOX_3~4.옹벽및가시설_1.총괄집계및토공" xfId="881"/>
    <cellStyle name="_도곡4교 하부공 수량_암거수량(2)_2련BOX_고양2교- 수량토공" xfId="882"/>
    <cellStyle name="_도곡4교 하부공 수량_암거수량(2)_2련BOX_고양2교- 수량토공_1.총괄집계및토공" xfId="883"/>
    <cellStyle name="_도곡4교 하부공 수량_암거수량(2)_2련BOX_고양2교- 수량토공_1.총괄집계및토공_1.총괄집계및토공" xfId="884"/>
    <cellStyle name="_도곡4교 하부공 수량_암거수량(2)_2련BOX_고양2교- 수량토공_3~4.옹벽및가시설" xfId="885"/>
    <cellStyle name="_도곡4교 하부공 수량_암거수량(2)_2련BOX_고양2교- 수량토공_3~4.옹벽및가시설_1.총괄집계및토공" xfId="886"/>
    <cellStyle name="_도곡4교 하부공 수량_암거수량(2)_3~4.옹벽및가시설" xfId="887"/>
    <cellStyle name="_도곡4교 하부공 수량_암거수량(2)_3~4.옹벽및가시설_1.총괄집계및토공" xfId="888"/>
    <cellStyle name="_도곡4교 하부공 수량_암거수량(2)_고양2교- 수량토공" xfId="889"/>
    <cellStyle name="_도곡4교 하부공 수량_암거수량(2)_고양2교- 수량토공_1.총괄집계및토공" xfId="890"/>
    <cellStyle name="_도곡4교 하부공 수량_암거수량(2)_고양2교- 수량토공_1.총괄집계및토공_1.총괄집계및토공" xfId="891"/>
    <cellStyle name="_도곡4교 하부공 수량_암거수량(2)_고양2교- 수량토공_3~4.옹벽및가시설" xfId="892"/>
    <cellStyle name="_도곡4교 하부공 수량_암거수량(2)_고양2교- 수량토공_3~4.옹벽및가시설_1.총괄집계및토공" xfId="893"/>
    <cellStyle name="_도곡4교 하부공 수량_암거수량_1.총괄집계및토공" xfId="894"/>
    <cellStyle name="_도곡4교 하부공 수량_암거수량_1.총괄집계및토공_1.총괄집계및토공" xfId="895"/>
    <cellStyle name="_도곡4교 하부공 수량_암거수량_1련BOX" xfId="896"/>
    <cellStyle name="_도곡4교 하부공 수량_암거수량_1련BOX_1.총괄집계및토공" xfId="897"/>
    <cellStyle name="_도곡4교 하부공 수량_암거수량_1련BOX_1.총괄집계및토공_1.총괄집계및토공" xfId="898"/>
    <cellStyle name="_도곡4교 하부공 수량_암거수량_1련BOX_3~4.옹벽및가시설" xfId="899"/>
    <cellStyle name="_도곡4교 하부공 수량_암거수량_1련BOX_3~4.옹벽및가시설_1.총괄집계및토공" xfId="900"/>
    <cellStyle name="_도곡4교 하부공 수량_암거수량_1련BOX_고양2교- 수량토공" xfId="901"/>
    <cellStyle name="_도곡4교 하부공 수량_암거수량_1련BOX_고양2교- 수량토공_1.총괄집계및토공" xfId="902"/>
    <cellStyle name="_도곡4교 하부공 수량_암거수량_1련BOX_고양2교- 수량토공_1.총괄집계및토공_1.총괄집계및토공" xfId="903"/>
    <cellStyle name="_도곡4교 하부공 수량_암거수량_1련BOX_고양2교- 수량토공_3~4.옹벽및가시설" xfId="904"/>
    <cellStyle name="_도곡4교 하부공 수량_암거수량_1련BOX_고양2교- 수량토공_3~4.옹벽및가시설_1.총괄집계및토공" xfId="905"/>
    <cellStyle name="_도곡4교 하부공 수량_암거수량_2련BOX" xfId="906"/>
    <cellStyle name="_도곡4교 하부공 수량_암거수량_2련BOX_1.총괄집계및토공" xfId="907"/>
    <cellStyle name="_도곡4교 하부공 수량_암거수량_2련BOX_1.총괄집계및토공_1.총괄집계및토공" xfId="908"/>
    <cellStyle name="_도곡4교 하부공 수량_암거수량_2련BOX_3~4.옹벽및가시설" xfId="909"/>
    <cellStyle name="_도곡4교 하부공 수량_암거수량_2련BOX_3~4.옹벽및가시설_1.총괄집계및토공" xfId="910"/>
    <cellStyle name="_도곡4교 하부공 수량_암거수량_2련BOX_고양2교- 수량토공" xfId="911"/>
    <cellStyle name="_도곡4교 하부공 수량_암거수량_2련BOX_고양2교- 수량토공_1.총괄집계및토공" xfId="912"/>
    <cellStyle name="_도곡4교 하부공 수량_암거수량_2련BOX_고양2교- 수량토공_1.총괄집계및토공_1.총괄집계및토공" xfId="913"/>
    <cellStyle name="_도곡4교 하부공 수량_암거수량_2련BOX_고양2교- 수량토공_3~4.옹벽및가시설" xfId="914"/>
    <cellStyle name="_도곡4교 하부공 수량_암거수량_2련BOX_고양2교- 수량토공_3~4.옹벽및가시설_1.총괄집계및토공" xfId="915"/>
    <cellStyle name="_도곡4교 하부공 수량_암거수량_3~4.옹벽및가시설" xfId="916"/>
    <cellStyle name="_도곡4교 하부공 수량_암거수량_3~4.옹벽및가시설_1.총괄집계및토공" xfId="917"/>
    <cellStyle name="_도곡4교 하부공 수량_암거수량_고양2교- 수량토공" xfId="918"/>
    <cellStyle name="_도곡4교 하부공 수량_암거수량_고양2교- 수량토공_1.총괄집계및토공" xfId="919"/>
    <cellStyle name="_도곡4교 하부공 수량_암거수량_고양2교- 수량토공_1.총괄집계및토공_1.총괄집계및토공" xfId="920"/>
    <cellStyle name="_도곡4교 하부공 수량_암거수량_고양2교- 수량토공_3~4.옹벽및가시설" xfId="921"/>
    <cellStyle name="_도곡4교 하부공 수량_암거수량_고양2교- 수량토공_3~4.옹벽및가시설_1.총괄집계및토공" xfId="922"/>
    <cellStyle name="_도곡4교 하부공 수량_하마1교-수량" xfId="923"/>
    <cellStyle name="_도곡4교 하부공 수량_하마2교-수량" xfId="924"/>
    <cellStyle name="_도곡4교 하부공 수량_하마읍3교대" xfId="925"/>
    <cellStyle name="_도곡4교 하부공 수량_하마읍3교토공" xfId="926"/>
    <cellStyle name="_도곡교 교대 수량" xfId="927"/>
    <cellStyle name="_도곡교 교대 수량_1.총괄집계및토공" xfId="928"/>
    <cellStyle name="_도곡교 교대 수량_1.총괄집계및토공_1.총괄집계및토공" xfId="929"/>
    <cellStyle name="_도곡교 교대 수량_3~4.옹벽및가시설" xfId="930"/>
    <cellStyle name="_도곡교 교대 수량_3~4.옹벽및가시설_1.총괄집계및토공" xfId="931"/>
    <cellStyle name="_도곡교 교대 수량_고양2교- 수량토공" xfId="932"/>
    <cellStyle name="_도곡교 교대 수량_고양2교- 수량토공_1.총괄집계및토공" xfId="933"/>
    <cellStyle name="_도곡교 교대 수량_고양2교- 수량토공_1.총괄집계및토공_1.총괄집계및토공" xfId="934"/>
    <cellStyle name="_도곡교 교대 수량_고양2교- 수량토공_3~4.옹벽및가시설" xfId="935"/>
    <cellStyle name="_도곡교 교대 수량_고양2교- 수량토공_3~4.옹벽및가시설_1.총괄집계및토공" xfId="936"/>
    <cellStyle name="_도곡교 교대 수량_사본 - 하마2교-수량" xfId="937"/>
    <cellStyle name="_도곡교 교대 수량_암거수량" xfId="938"/>
    <cellStyle name="_도곡교 교대 수량_암거수량(2)" xfId="939"/>
    <cellStyle name="_도곡교 교대 수량_암거수량(2)_1.총괄집계및토공" xfId="940"/>
    <cellStyle name="_도곡교 교대 수량_암거수량(2)_1.총괄집계및토공_1.총괄집계및토공" xfId="941"/>
    <cellStyle name="_도곡교 교대 수량_암거수량(2)_1련BOX" xfId="942"/>
    <cellStyle name="_도곡교 교대 수량_암거수량(2)_1련BOX_1.총괄집계및토공" xfId="943"/>
    <cellStyle name="_도곡교 교대 수량_암거수량(2)_1련BOX_1.총괄집계및토공_1.총괄집계및토공" xfId="944"/>
    <cellStyle name="_도곡교 교대 수량_암거수량(2)_1련BOX_3~4.옹벽및가시설" xfId="945"/>
    <cellStyle name="_도곡교 교대 수량_암거수량(2)_1련BOX_3~4.옹벽및가시설_1.총괄집계및토공" xfId="946"/>
    <cellStyle name="_도곡교 교대 수량_암거수량(2)_1련BOX_고양2교- 수량토공" xfId="947"/>
    <cellStyle name="_도곡교 교대 수량_암거수량(2)_1련BOX_고양2교- 수량토공_1.총괄집계및토공" xfId="948"/>
    <cellStyle name="_도곡교 교대 수량_암거수량(2)_1련BOX_고양2교- 수량토공_1.총괄집계및토공_1.총괄집계및토공" xfId="949"/>
    <cellStyle name="_도곡교 교대 수량_암거수량(2)_1련BOX_고양2교- 수량토공_3~4.옹벽및가시설" xfId="950"/>
    <cellStyle name="_도곡교 교대 수량_암거수량(2)_1련BOX_고양2교- 수량토공_3~4.옹벽및가시설_1.총괄집계및토공" xfId="951"/>
    <cellStyle name="_도곡교 교대 수량_암거수량(2)_2련BOX" xfId="952"/>
    <cellStyle name="_도곡교 교대 수량_암거수량(2)_2련BOX_1.총괄집계및토공" xfId="953"/>
    <cellStyle name="_도곡교 교대 수량_암거수량(2)_2련BOX_1.총괄집계및토공_1.총괄집계및토공" xfId="954"/>
    <cellStyle name="_도곡교 교대 수량_암거수량(2)_2련BOX_3~4.옹벽및가시설" xfId="955"/>
    <cellStyle name="_도곡교 교대 수량_암거수량(2)_2련BOX_3~4.옹벽및가시설_1.총괄집계및토공" xfId="956"/>
    <cellStyle name="_도곡교 교대 수량_암거수량(2)_2련BOX_고양2교- 수량토공" xfId="957"/>
    <cellStyle name="_도곡교 교대 수량_암거수량(2)_2련BOX_고양2교- 수량토공_1.총괄집계및토공" xfId="958"/>
    <cellStyle name="_도곡교 교대 수량_암거수량(2)_2련BOX_고양2교- 수량토공_1.총괄집계및토공_1.총괄집계및토공" xfId="959"/>
    <cellStyle name="_도곡교 교대 수량_암거수량(2)_2련BOX_고양2교- 수량토공_3~4.옹벽및가시설" xfId="960"/>
    <cellStyle name="_도곡교 교대 수량_암거수량(2)_2련BOX_고양2교- 수량토공_3~4.옹벽및가시설_1.총괄집계및토공" xfId="961"/>
    <cellStyle name="_도곡교 교대 수량_암거수량(2)_3~4.옹벽및가시설" xfId="962"/>
    <cellStyle name="_도곡교 교대 수량_암거수량(2)_3~4.옹벽및가시설_1.총괄집계및토공" xfId="963"/>
    <cellStyle name="_도곡교 교대 수량_암거수량(2)_고양2교- 수량토공" xfId="964"/>
    <cellStyle name="_도곡교 교대 수량_암거수량(2)_고양2교- 수량토공_1.총괄집계및토공" xfId="965"/>
    <cellStyle name="_도곡교 교대 수량_암거수량(2)_고양2교- 수량토공_1.총괄집계및토공_1.총괄집계및토공" xfId="966"/>
    <cellStyle name="_도곡교 교대 수량_암거수량(2)_고양2교- 수량토공_3~4.옹벽및가시설" xfId="967"/>
    <cellStyle name="_도곡교 교대 수량_암거수량(2)_고양2교- 수량토공_3~4.옹벽및가시설_1.총괄집계및토공" xfId="968"/>
    <cellStyle name="_도곡교 교대 수량_암거수량_1.총괄집계및토공" xfId="969"/>
    <cellStyle name="_도곡교 교대 수량_암거수량_1.총괄집계및토공_1.총괄집계및토공" xfId="970"/>
    <cellStyle name="_도곡교 교대 수량_암거수량_1련BOX" xfId="971"/>
    <cellStyle name="_도곡교 교대 수량_암거수량_1련BOX_1.총괄집계및토공" xfId="972"/>
    <cellStyle name="_도곡교 교대 수량_암거수량_1련BOX_1.총괄집계및토공_1.총괄집계및토공" xfId="973"/>
    <cellStyle name="_도곡교 교대 수량_암거수량_1련BOX_3~4.옹벽및가시설" xfId="974"/>
    <cellStyle name="_도곡교 교대 수량_암거수량_1련BOX_3~4.옹벽및가시설_1.총괄집계및토공" xfId="975"/>
    <cellStyle name="_도곡교 교대 수량_암거수량_1련BOX_고양2교- 수량토공" xfId="976"/>
    <cellStyle name="_도곡교 교대 수량_암거수량_1련BOX_고양2교- 수량토공_1.총괄집계및토공" xfId="977"/>
    <cellStyle name="_도곡교 교대 수량_암거수량_1련BOX_고양2교- 수량토공_1.총괄집계및토공_1.총괄집계및토공" xfId="978"/>
    <cellStyle name="_도곡교 교대 수량_암거수량_1련BOX_고양2교- 수량토공_3~4.옹벽및가시설" xfId="979"/>
    <cellStyle name="_도곡교 교대 수량_암거수량_1련BOX_고양2교- 수량토공_3~4.옹벽및가시설_1.총괄집계및토공" xfId="980"/>
    <cellStyle name="_도곡교 교대 수량_암거수량_2련BOX" xfId="981"/>
    <cellStyle name="_도곡교 교대 수량_암거수량_2련BOX_1.총괄집계및토공" xfId="982"/>
    <cellStyle name="_도곡교 교대 수량_암거수량_2련BOX_1.총괄집계및토공_1.총괄집계및토공" xfId="983"/>
    <cellStyle name="_도곡교 교대 수량_암거수량_2련BOX_3~4.옹벽및가시설" xfId="984"/>
    <cellStyle name="_도곡교 교대 수량_암거수량_2련BOX_3~4.옹벽및가시설_1.총괄집계및토공" xfId="985"/>
    <cellStyle name="_도곡교 교대 수량_암거수량_2련BOX_고양2교- 수량토공" xfId="986"/>
    <cellStyle name="_도곡교 교대 수량_암거수량_2련BOX_고양2교- 수량토공_1.총괄집계및토공" xfId="987"/>
    <cellStyle name="_도곡교 교대 수량_암거수량_2련BOX_고양2교- 수량토공_1.총괄집계및토공_1.총괄집계및토공" xfId="988"/>
    <cellStyle name="_도곡교 교대 수량_암거수량_2련BOX_고양2교- 수량토공_3~4.옹벽및가시설" xfId="989"/>
    <cellStyle name="_도곡교 교대 수량_암거수량_2련BOX_고양2교- 수량토공_3~4.옹벽및가시설_1.총괄집계및토공" xfId="990"/>
    <cellStyle name="_도곡교 교대 수량_암거수량_3~4.옹벽및가시설" xfId="991"/>
    <cellStyle name="_도곡교 교대 수량_암거수량_3~4.옹벽및가시설_1.총괄집계및토공" xfId="992"/>
    <cellStyle name="_도곡교 교대 수량_암거수량_고양2교- 수량토공" xfId="993"/>
    <cellStyle name="_도곡교 교대 수량_암거수량_고양2교- 수량토공_1.총괄집계및토공" xfId="994"/>
    <cellStyle name="_도곡교 교대 수량_암거수량_고양2교- 수량토공_1.총괄집계및토공_1.총괄집계및토공" xfId="995"/>
    <cellStyle name="_도곡교 교대 수량_암거수량_고양2교- 수량토공_3~4.옹벽및가시설" xfId="996"/>
    <cellStyle name="_도곡교 교대 수량_암거수량_고양2교- 수량토공_3~4.옹벽및가시설_1.총괄집계및토공" xfId="997"/>
    <cellStyle name="_도곡교 교대 수량_하마1교-수량" xfId="998"/>
    <cellStyle name="_도곡교 교대 수량_하마2교-수량" xfId="999"/>
    <cellStyle name="_도곡교 교대 수량_하마읍3교대" xfId="1000"/>
    <cellStyle name="_도곡교 교대 수량_하마읍3교토공" xfId="1001"/>
    <cellStyle name="_동탄수원공통공수량집계표" xfId="1002"/>
    <cellStyle name="_동탄수원공통공수량집계표_01기산교총괄집계표" xfId="1003"/>
    <cellStyle name="_동탄수원공통공수량집계표_01기산교총괄집계표_03반정1육교총괄집계표" xfId="1004"/>
    <cellStyle name="_동탄수원공통공수량집계표_01기산교총괄집계표_03반정1육교총괄집계표_0923-지하차도총괄수량집계" xfId="1005"/>
    <cellStyle name="_동탄수원공통공수량집계표_01기산교총괄집계표_03반정1육교총괄집계표_경사로1-상하부총괄수량" xfId="1006"/>
    <cellStyle name="_동탄수원공통공수량집계표_01기산교총괄집계표_03반정1육교총괄집계표_보도육교2-경사로1-교각일반수량" xfId="1007"/>
    <cellStyle name="_동탄수원공통공수량집계표_01기산교총괄집계표_03반정1육교총괄집계표_보도육교2-경사로-교각일반수량" xfId="1008"/>
    <cellStyle name="_동탄수원공통공수량집계표_01기산교총괄집계표_03반정1육교총괄집계표_보도육교2-교각일반수량" xfId="1009"/>
    <cellStyle name="_동탄수원공통공수량집계표_01기산교총괄집계표_03반정1육교총괄집계표_보도육교2-본체-교각일반수량" xfId="1010"/>
    <cellStyle name="_동탄수원공통공수량집계표_01기산교총괄집계표_03반정1육교총괄집계표_보도육교2상부수량" xfId="1011"/>
    <cellStyle name="_동탄수원공통공수량집계표_01기산교총괄집계표_03반정1육교총괄집계표_보도육교2-상하부총괄수량" xfId="1012"/>
    <cellStyle name="_동탄수원공통공수량집계표_01기산교총괄집계표_03반정1육교총괄집계표_보도육교2-하부총괄수량" xfId="1013"/>
    <cellStyle name="_동탄수원공통공수량집계표_01기산교총괄집계표_03반정1육교총괄집계표_장재1-교대-교각 총괄토공" xfId="1014"/>
    <cellStyle name="_동탄수원공통공수량집계표_01기산교총괄집계표_07_01곡반정육교총괄집계표" xfId="1015"/>
    <cellStyle name="_동탄수원공통공수량집계표_01기산교총괄집계표_07_01곡반정육교총괄집계표_0923-지하차도총괄수량집계" xfId="1016"/>
    <cellStyle name="_동탄수원공통공수량집계표_01기산교총괄집계표_07_01곡반정육교총괄집계표_경사로1-상하부총괄수량" xfId="1017"/>
    <cellStyle name="_동탄수원공통공수량집계표_01기산교총괄집계표_07_01곡반정육교총괄집계표_보도육교2-경사로1-교각일반수량" xfId="1018"/>
    <cellStyle name="_동탄수원공통공수량집계표_01기산교총괄집계표_07_01곡반정육교총괄집계표_보도육교2-경사로-교각일반수량" xfId="1019"/>
    <cellStyle name="_동탄수원공통공수량집계표_01기산교총괄집계표_07_01곡반정육교총괄집계표_보도육교2-교각일반수량" xfId="1020"/>
    <cellStyle name="_동탄수원공통공수량집계표_01기산교총괄집계표_07_01곡반정육교총괄집계표_보도육교2-본체-교각일반수량" xfId="1021"/>
    <cellStyle name="_동탄수원공통공수량집계표_01기산교총괄집계표_07_01곡반정육교총괄집계표_보도육교2상부수량" xfId="1022"/>
    <cellStyle name="_동탄수원공통공수량집계표_01기산교총괄집계표_07_01곡반정육교총괄집계표_보도육교2-상하부총괄수량" xfId="1023"/>
    <cellStyle name="_동탄수원공통공수량집계표_01기산교총괄집계표_07_01곡반정육교총괄집계표_보도육교2-하부총괄수량" xfId="1024"/>
    <cellStyle name="_동탄수원공통공수량집계표_01기산교총괄집계표_07_01곡반정육교총괄집계표_장재1-교대-교각 총괄토공" xfId="1025"/>
    <cellStyle name="_동탄수원공통공수량집계표_01기산교총괄집계표_0923-지하차도총괄수량집계" xfId="1026"/>
    <cellStyle name="_동탄수원공통공수량집계표_01기산교총괄집계표_경사로1-상하부총괄수량" xfId="1027"/>
    <cellStyle name="_동탄수원공통공수량집계표_01기산교총괄집계표_보도육교2-경사로1-교각일반수량" xfId="1028"/>
    <cellStyle name="_동탄수원공통공수량집계표_01기산교총괄집계표_보도육교2-경사로-교각일반수량" xfId="1029"/>
    <cellStyle name="_동탄수원공통공수량집계표_01기산교총괄집계표_보도육교2-교각일반수량" xfId="1030"/>
    <cellStyle name="_동탄수원공통공수량집계표_01기산교총괄집계표_보도육교2-본체-교각일반수량" xfId="1031"/>
    <cellStyle name="_동탄수원공통공수량집계표_01기산교총괄집계표_보도육교2상부수량" xfId="1032"/>
    <cellStyle name="_동탄수원공통공수량집계표_01기산교총괄집계표_보도육교2-상하부총괄수량" xfId="1033"/>
    <cellStyle name="_동탄수원공통공수량집계표_01기산교총괄집계표_보도육교2-하부총괄수량" xfId="1034"/>
    <cellStyle name="_동탄수원공통공수량집계표_01기산교총괄집계표_장재1-교대-교각 총괄토공" xfId="1035"/>
    <cellStyle name="_동탄수원공통공수량집계표_02한반천교총괄집계표" xfId="1036"/>
    <cellStyle name="_동탄수원공통공수량집계표_02한반천교총괄집계표_03반정1육교총괄집계표" xfId="1037"/>
    <cellStyle name="_동탄수원공통공수량집계표_02한반천교총괄집계표_03반정1육교총괄집계표_0923-지하차도총괄수량집계" xfId="1038"/>
    <cellStyle name="_동탄수원공통공수량집계표_02한반천교총괄집계표_03반정1육교총괄집계표_경사로1-상하부총괄수량" xfId="1039"/>
    <cellStyle name="_동탄수원공통공수량집계표_02한반천교총괄집계표_03반정1육교총괄집계표_보도육교2-경사로1-교각일반수량" xfId="1040"/>
    <cellStyle name="_동탄수원공통공수량집계표_02한반천교총괄집계표_03반정1육교총괄집계표_보도육교2-경사로-교각일반수량" xfId="1041"/>
    <cellStyle name="_동탄수원공통공수량집계표_02한반천교총괄집계표_03반정1육교총괄집계표_보도육교2-교각일반수량" xfId="1042"/>
    <cellStyle name="_동탄수원공통공수량집계표_02한반천교총괄집계표_03반정1육교총괄집계표_보도육교2-본체-교각일반수량" xfId="1043"/>
    <cellStyle name="_동탄수원공통공수량집계표_02한반천교총괄집계표_03반정1육교총괄집계표_보도육교2상부수량" xfId="1044"/>
    <cellStyle name="_동탄수원공통공수량집계표_02한반천교총괄집계표_03반정1육교총괄집계표_보도육교2-상하부총괄수량" xfId="1045"/>
    <cellStyle name="_동탄수원공통공수량집계표_02한반천교총괄집계표_03반정1육교총괄집계표_보도육교2-하부총괄수량" xfId="1046"/>
    <cellStyle name="_동탄수원공통공수량집계표_02한반천교총괄집계표_03반정1육교총괄집계표_장재1-교대-교각 총괄토공" xfId="1047"/>
    <cellStyle name="_동탄수원공통공수량집계표_02한반천교총괄집계표_07_01곡반정육교총괄집계표" xfId="1048"/>
    <cellStyle name="_동탄수원공통공수량집계표_02한반천교총괄집계표_07_01곡반정육교총괄집계표_0923-지하차도총괄수량집계" xfId="1049"/>
    <cellStyle name="_동탄수원공통공수량집계표_02한반천교총괄집계표_07_01곡반정육교총괄집계표_경사로1-상하부총괄수량" xfId="1050"/>
    <cellStyle name="_동탄수원공통공수량집계표_02한반천교총괄집계표_07_01곡반정육교총괄집계표_보도육교2-경사로1-교각일반수량" xfId="1051"/>
    <cellStyle name="_동탄수원공통공수량집계표_02한반천교총괄집계표_07_01곡반정육교총괄집계표_보도육교2-경사로-교각일반수량" xfId="1052"/>
    <cellStyle name="_동탄수원공통공수량집계표_02한반천교총괄집계표_07_01곡반정육교총괄집계표_보도육교2-교각일반수량" xfId="1053"/>
    <cellStyle name="_동탄수원공통공수량집계표_02한반천교총괄집계표_07_01곡반정육교총괄집계표_보도육교2-본체-교각일반수량" xfId="1054"/>
    <cellStyle name="_동탄수원공통공수량집계표_02한반천교총괄집계표_07_01곡반정육교총괄집계표_보도육교2상부수량" xfId="1055"/>
    <cellStyle name="_동탄수원공통공수량집계표_02한반천교총괄집계표_07_01곡반정육교총괄집계표_보도육교2-상하부총괄수량" xfId="1056"/>
    <cellStyle name="_동탄수원공통공수량집계표_02한반천교총괄집계표_07_01곡반정육교총괄집계표_보도육교2-하부총괄수량" xfId="1057"/>
    <cellStyle name="_동탄수원공통공수량집계표_02한반천교총괄집계표_07_01곡반정육교총괄집계표_장재1-교대-교각 총괄토공" xfId="1058"/>
    <cellStyle name="_동탄수원공통공수량집계표_02한반천교총괄집계표_0923-지하차도총괄수량집계" xfId="1059"/>
    <cellStyle name="_동탄수원공통공수량집계표_02한반천교총괄집계표_경사로1-상하부총괄수량" xfId="1060"/>
    <cellStyle name="_동탄수원공통공수량집계표_02한반천교총괄집계표_보도육교2-경사로1-교각일반수량" xfId="1061"/>
    <cellStyle name="_동탄수원공통공수량집계표_02한반천교총괄집계표_보도육교2-경사로-교각일반수량" xfId="1062"/>
    <cellStyle name="_동탄수원공통공수량집계표_02한반천교총괄집계표_보도육교2-교각일반수량" xfId="1063"/>
    <cellStyle name="_동탄수원공통공수량집계표_02한반천교총괄집계표_보도육교2-본체-교각일반수량" xfId="1064"/>
    <cellStyle name="_동탄수원공통공수량집계표_02한반천교총괄집계표_보도육교2상부수량" xfId="1065"/>
    <cellStyle name="_동탄수원공통공수량집계표_02한반천교총괄집계표_보도육교2-상하부총괄수량" xfId="1066"/>
    <cellStyle name="_동탄수원공통공수량집계표_02한반천교총괄집계표_보도육교2-하부총괄수량" xfId="1067"/>
    <cellStyle name="_동탄수원공통공수량집계표_02한반천교총괄집계표_장재1-교대-교각 총괄토공" xfId="1068"/>
    <cellStyle name="_동탄수원공통공수량집계표_03반정1육교총괄집계표" xfId="1069"/>
    <cellStyle name="_동탄수원공통공수량집계표_03반정1육교총괄집계표_07_01곡반정육교총괄집계표" xfId="1070"/>
    <cellStyle name="_동탄수원공통공수량집계표_03반정1육교총괄집계표_07_01곡반정육교총괄집계표_0923-지하차도총괄수량집계" xfId="1071"/>
    <cellStyle name="_동탄수원공통공수량집계표_03반정1육교총괄집계표_07_01곡반정육교총괄집계표_경사로1-상하부총괄수량" xfId="1072"/>
    <cellStyle name="_동탄수원공통공수량집계표_03반정1육교총괄집계표_07_01곡반정육교총괄집계표_보도육교2-경사로1-교각일반수량" xfId="1073"/>
    <cellStyle name="_동탄수원공통공수량집계표_03반정1육교총괄집계표_07_01곡반정육교총괄집계표_보도육교2-경사로-교각일반수량" xfId="1074"/>
    <cellStyle name="_동탄수원공통공수량집계표_03반정1육교총괄집계표_07_01곡반정육교총괄집계표_보도육교2-교각일반수량" xfId="1075"/>
    <cellStyle name="_동탄수원공통공수량집계표_03반정1육교총괄집계표_07_01곡반정육교총괄집계표_보도육교2-본체-교각일반수량" xfId="1076"/>
    <cellStyle name="_동탄수원공통공수량집계표_03반정1육교총괄집계표_07_01곡반정육교총괄집계표_보도육교2상부수량" xfId="1077"/>
    <cellStyle name="_동탄수원공통공수량집계표_03반정1육교총괄집계표_07_01곡반정육교총괄집계표_보도육교2-상하부총괄수량" xfId="1078"/>
    <cellStyle name="_동탄수원공통공수량집계표_03반정1육교총괄집계표_07_01곡반정육교총괄집계표_보도육교2-하부총괄수량" xfId="1079"/>
    <cellStyle name="_동탄수원공통공수량집계표_03반정1육교총괄집계표_07_01곡반정육교총괄집계표_장재1-교대-교각 총괄토공" xfId="1080"/>
    <cellStyle name="_동탄수원공통공수량집계표_03반정1육교총괄집계표_0923-지하차도총괄수량집계" xfId="1081"/>
    <cellStyle name="_동탄수원공통공수량집계표_03반정1육교총괄집계표_경사로1-상하부총괄수량" xfId="1082"/>
    <cellStyle name="_동탄수원공통공수량집계표_03반정1육교총괄집계표_보도육교2-경사로1-교각일반수량" xfId="1083"/>
    <cellStyle name="_동탄수원공통공수량집계표_03반정1육교총괄집계표_보도육교2-경사로-교각일반수량" xfId="1084"/>
    <cellStyle name="_동탄수원공통공수량집계표_03반정1육교총괄집계표_보도육교2-교각일반수량" xfId="1085"/>
    <cellStyle name="_동탄수원공통공수량집계표_03반정1육교총괄집계표_보도육교2-본체-교각일반수량" xfId="1086"/>
    <cellStyle name="_동탄수원공통공수량집계표_03반정1육교총괄집계표_보도육교2상부수량" xfId="1087"/>
    <cellStyle name="_동탄수원공통공수량집계표_03반정1육교총괄집계표_보도육교2-상하부총괄수량" xfId="1088"/>
    <cellStyle name="_동탄수원공통공수량집계표_03반정1육교총괄집계표_보도육교2-하부총괄수량" xfId="1089"/>
    <cellStyle name="_동탄수원공통공수량집계표_03반정1육교총괄집계표_장재1-교대-교각 총괄토공" xfId="1090"/>
    <cellStyle name="_동탄수원공통공수량집계표_05반정3육교총괄집계표" xfId="1091"/>
    <cellStyle name="_동탄수원공통공수량집계표_05반정3육교총괄집계표_07_01곡반정육교총괄집계표" xfId="1092"/>
    <cellStyle name="_동탄수원공통공수량집계표_05반정3육교총괄집계표_07_01곡반정육교총괄집계표_0923-지하차도총괄수량집계" xfId="1093"/>
    <cellStyle name="_동탄수원공통공수량집계표_05반정3육교총괄집계표_07_01곡반정육교총괄집계표_경사로1-상하부총괄수량" xfId="1094"/>
    <cellStyle name="_동탄수원공통공수량집계표_05반정3육교총괄집계표_07_01곡반정육교총괄집계표_보도육교2-경사로1-교각일반수량" xfId="1095"/>
    <cellStyle name="_동탄수원공통공수량집계표_05반정3육교총괄집계표_07_01곡반정육교총괄집계표_보도육교2-경사로-교각일반수량" xfId="1096"/>
    <cellStyle name="_동탄수원공통공수량집계표_05반정3육교총괄집계표_07_01곡반정육교총괄집계표_보도육교2-교각일반수량" xfId="1097"/>
    <cellStyle name="_동탄수원공통공수량집계표_05반정3육교총괄집계표_07_01곡반정육교총괄집계표_보도육교2-본체-교각일반수량" xfId="1098"/>
    <cellStyle name="_동탄수원공통공수량집계표_05반정3육교총괄집계표_07_01곡반정육교총괄집계표_보도육교2상부수량" xfId="1099"/>
    <cellStyle name="_동탄수원공통공수량집계표_05반정3육교총괄집계표_07_01곡반정육교총괄집계표_보도육교2-상하부총괄수량" xfId="1100"/>
    <cellStyle name="_동탄수원공통공수량집계표_05반정3육교총괄집계표_07_01곡반정육교총괄집계표_보도육교2-하부총괄수량" xfId="1101"/>
    <cellStyle name="_동탄수원공통공수량집계표_05반정3육교총괄집계표_07_01곡반정육교총괄집계표_장재1-교대-교각 총괄토공" xfId="1102"/>
    <cellStyle name="_동탄수원공통공수량집계표_05반정3육교총괄집계표_0923-지하차도총괄수량집계" xfId="1103"/>
    <cellStyle name="_동탄수원공통공수량집계표_05반정3육교총괄집계표_경사로1-상하부총괄수량" xfId="1104"/>
    <cellStyle name="_동탄수원공통공수량집계표_05반정3육교총괄집계표_보도육교2-경사로1-교각일반수량" xfId="1105"/>
    <cellStyle name="_동탄수원공통공수량집계표_05반정3육교총괄집계표_보도육교2-경사로-교각일반수량" xfId="1106"/>
    <cellStyle name="_동탄수원공통공수량집계표_05반정3육교총괄집계표_보도육교2-교각일반수량" xfId="1107"/>
    <cellStyle name="_동탄수원공통공수량집계표_05반정3육교총괄집계표_보도육교2-본체-교각일반수량" xfId="1108"/>
    <cellStyle name="_동탄수원공통공수량집계표_05반정3육교총괄집계표_보도육교2상부수량" xfId="1109"/>
    <cellStyle name="_동탄수원공통공수량집계표_05반정3육교총괄집계표_보도육교2-상하부총괄수량" xfId="1110"/>
    <cellStyle name="_동탄수원공통공수량집계표_05반정3육교총괄집계표_보도육교2-하부총괄수량" xfId="1111"/>
    <cellStyle name="_동탄수원공통공수량집계표_05반정3육교총괄집계표_장재1-교대-교각 총괄토공" xfId="1112"/>
    <cellStyle name="_동탄수원공통공수량집계표_06원천리천교총괄집계표" xfId="1113"/>
    <cellStyle name="_동탄수원공통공수량집계표_06원천리천교총괄집계표_07_01곡반정육교총괄집계표" xfId="1114"/>
    <cellStyle name="_동탄수원공통공수량집계표_06원천리천교총괄집계표_07_01곡반정육교총괄집계표_0923-지하차도총괄수량집계" xfId="1115"/>
    <cellStyle name="_동탄수원공통공수량집계표_06원천리천교총괄집계표_07_01곡반정육교총괄집계표_경사로1-상하부총괄수량" xfId="1116"/>
    <cellStyle name="_동탄수원공통공수량집계표_06원천리천교총괄집계표_07_01곡반정육교총괄집계표_보도육교2-경사로1-교각일반수량" xfId="1117"/>
    <cellStyle name="_동탄수원공통공수량집계표_06원천리천교총괄집계표_07_01곡반정육교총괄집계표_보도육교2-경사로-교각일반수량" xfId="1118"/>
    <cellStyle name="_동탄수원공통공수량집계표_06원천리천교총괄집계표_07_01곡반정육교총괄집계표_보도육교2-교각일반수량" xfId="1119"/>
    <cellStyle name="_동탄수원공통공수량집계표_06원천리천교총괄집계표_07_01곡반정육교총괄집계표_보도육교2-본체-교각일반수량" xfId="1120"/>
    <cellStyle name="_동탄수원공통공수량집계표_06원천리천교총괄집계표_07_01곡반정육교총괄집계표_보도육교2상부수량" xfId="1121"/>
    <cellStyle name="_동탄수원공통공수량집계표_06원천리천교총괄집계표_07_01곡반정육교총괄집계표_보도육교2-상하부총괄수량" xfId="1122"/>
    <cellStyle name="_동탄수원공통공수량집계표_06원천리천교총괄집계표_07_01곡반정육교총괄집계표_보도육교2-하부총괄수량" xfId="1123"/>
    <cellStyle name="_동탄수원공통공수량집계표_06원천리천교총괄집계표_07_01곡반정육교총괄집계표_장재1-교대-교각 총괄토공" xfId="1124"/>
    <cellStyle name="_동탄수원공통공수량집계표_06원천리천교총괄집계표_0923-지하차도총괄수량집계" xfId="1125"/>
    <cellStyle name="_동탄수원공통공수량집계표_06원천리천교총괄집계표_경사로1-상하부총괄수량" xfId="1126"/>
    <cellStyle name="_동탄수원공통공수량집계표_06원천리천교총괄집계표_보도육교2-경사로1-교각일반수량" xfId="1127"/>
    <cellStyle name="_동탄수원공통공수량집계표_06원천리천교총괄집계표_보도육교2-경사로-교각일반수량" xfId="1128"/>
    <cellStyle name="_동탄수원공통공수량집계표_06원천리천교총괄집계표_보도육교2-교각일반수량" xfId="1129"/>
    <cellStyle name="_동탄수원공통공수량집계표_06원천리천교총괄집계표_보도육교2-본체-교각일반수량" xfId="1130"/>
    <cellStyle name="_동탄수원공통공수량집계표_06원천리천교총괄집계표_보도육교2상부수량" xfId="1131"/>
    <cellStyle name="_동탄수원공통공수량집계표_06원천리천교총괄집계표_보도육교2-상하부총괄수량" xfId="1132"/>
    <cellStyle name="_동탄수원공통공수량집계표_06원천리천교총괄집계표_보도육교2-하부총괄수량" xfId="1133"/>
    <cellStyle name="_동탄수원공통공수량집계표_06원천리천교총괄집계표_장재1-교대-교각 총괄토공" xfId="1134"/>
    <cellStyle name="_동탄수원공통공수량집계표_07_01곡반정육교총괄집계표" xfId="1135"/>
    <cellStyle name="_동탄수원공통공수량집계표_07_01곡반정육교총괄집계표_0923-지하차도총괄수량집계" xfId="1136"/>
    <cellStyle name="_동탄수원공통공수량집계표_07_01곡반정육교총괄집계표_경사로1-상하부총괄수량" xfId="1137"/>
    <cellStyle name="_동탄수원공통공수량집계표_07_01곡반정육교총괄집계표_보도육교2-경사로1-교각일반수량" xfId="1138"/>
    <cellStyle name="_동탄수원공통공수량집계표_07_01곡반정육교총괄집계표_보도육교2-경사로-교각일반수량" xfId="1139"/>
    <cellStyle name="_동탄수원공통공수량집계표_07_01곡반정육교총괄집계표_보도육교2-교각일반수량" xfId="1140"/>
    <cellStyle name="_동탄수원공통공수량집계표_07_01곡반정육교총괄집계표_보도육교2-본체-교각일반수량" xfId="1141"/>
    <cellStyle name="_동탄수원공통공수량집계표_07_01곡반정육교총괄집계표_보도육교2상부수량" xfId="1142"/>
    <cellStyle name="_동탄수원공통공수량집계표_07_01곡반정육교총괄집계표_보도육교2-상하부총괄수량" xfId="1143"/>
    <cellStyle name="_동탄수원공통공수량집계표_07_01곡반정육교총괄집계표_보도육교2-하부총괄수량" xfId="1144"/>
    <cellStyle name="_동탄수원공통공수량집계표_07_01곡반정육교총괄집계표_장재1-교대-교각 총괄토공" xfId="1145"/>
    <cellStyle name="_동탄수원공통공수량집계표_07곡반정육교총괄집계표" xfId="1146"/>
    <cellStyle name="_동탄수원공통공수량집계표_07곡반정육교총괄집계표_0923-지하차도총괄수량집계" xfId="1147"/>
    <cellStyle name="_동탄수원공통공수량집계표_07곡반정육교총괄집계표_경사로1-상하부총괄수량" xfId="1148"/>
    <cellStyle name="_동탄수원공통공수량집계표_07곡반정육교총괄집계표_보도육교2-경사로1-교각일반수량" xfId="1149"/>
    <cellStyle name="_동탄수원공통공수량집계표_07곡반정육교총괄집계표_보도육교2-경사로-교각일반수량" xfId="1150"/>
    <cellStyle name="_동탄수원공통공수량집계표_07곡반정육교총괄집계표_보도육교2-교각일반수량" xfId="1151"/>
    <cellStyle name="_동탄수원공통공수량집계표_07곡반정육교총괄집계표_보도육교2-본체-교각일반수량" xfId="1152"/>
    <cellStyle name="_동탄수원공통공수량집계표_07곡반정육교총괄집계표_보도육교2상부수량" xfId="1153"/>
    <cellStyle name="_동탄수원공통공수량집계표_07곡반정육교총괄집계표_보도육교2-상하부총괄수량" xfId="1154"/>
    <cellStyle name="_동탄수원공통공수량집계표_07곡반정육교총괄집계표_보도육교2-하부총괄수량" xfId="1155"/>
    <cellStyle name="_동탄수원공통공수량집계표_07곡반정육교총괄집계표_장재1-교대-교각 총괄토공" xfId="1156"/>
    <cellStyle name="_동탄수원공통공수량집계표_0923-지하차도총괄수량집계" xfId="1157"/>
    <cellStyle name="_동탄수원공통공수량집계표_11청계1교(B교)총괄집계표" xfId="1158"/>
    <cellStyle name="_동탄수원공통공수량집계표_11청계1교(B교)총괄집계표_0923-지하차도총괄수량집계" xfId="1159"/>
    <cellStyle name="_동탄수원공통공수량집계표_11청계1교(B교)총괄집계표_경사로1-상하부총괄수량" xfId="1160"/>
    <cellStyle name="_동탄수원공통공수량집계표_11청계1교(B교)총괄집계표_보도육교2-경사로1-교각일반수량" xfId="1161"/>
    <cellStyle name="_동탄수원공통공수량집계표_11청계1교(B교)총괄집계표_보도육교2-경사로-교각일반수량" xfId="1162"/>
    <cellStyle name="_동탄수원공통공수량집계표_11청계1교(B교)총괄집계표_보도육교2-교각일반수량" xfId="1163"/>
    <cellStyle name="_동탄수원공통공수량집계표_11청계1교(B교)총괄집계표_보도육교2-본체-교각일반수량" xfId="1164"/>
    <cellStyle name="_동탄수원공통공수량집계표_11청계1교(B교)총괄집계표_보도육교2상부수량" xfId="1165"/>
    <cellStyle name="_동탄수원공통공수량집계표_11청계1교(B교)총괄집계표_보도육교2-상하부총괄수량" xfId="1166"/>
    <cellStyle name="_동탄수원공통공수량집계표_11청계1교(B교)총괄집계표_보도육교2-하부총괄수량" xfId="1167"/>
    <cellStyle name="_동탄수원공통공수량집계표_11청계1교(B교)총괄집계표_장재1-교대-교각 총괄토공" xfId="1168"/>
    <cellStyle name="_동탄수원공통공수량집계표_경사로1-상하부총괄수량" xfId="1169"/>
    <cellStyle name="_동탄수원공통공수량집계표_보도육교2-경사로1-교각일반수량" xfId="1170"/>
    <cellStyle name="_동탄수원공통공수량집계표_보도육교2-경사로-교각일반수량" xfId="1171"/>
    <cellStyle name="_동탄수원공통공수량집계표_보도육교2-교각일반수량" xfId="1172"/>
    <cellStyle name="_동탄수원공통공수량집계표_보도육교2-본체-교각일반수량" xfId="1173"/>
    <cellStyle name="_동탄수원공통공수량집계표_보도육교2상부수량" xfId="1174"/>
    <cellStyle name="_동탄수원공통공수량집계표_보도육교2-상하부총괄수량" xfId="1175"/>
    <cellStyle name="_동탄수원공통공수량집계표_보도육교2-하부총괄수량" xfId="1176"/>
    <cellStyle name="_동탄수원공통공수량집계표_장재1-교대-교각 총괄토공" xfId="1177"/>
    <cellStyle name="_라멘" xfId="1178"/>
    <cellStyle name="_미곡육교_상부" xfId="1179"/>
    <cellStyle name="_미곡육교_상부_일식단가공" xfId="1180"/>
    <cellStyle name="_미곡육교_상부_자재(지하도로)" xfId="1181"/>
    <cellStyle name="_미곡육교_상부_자재집계표" xfId="1182"/>
    <cellStyle name="_미곡육교_상부_주요자재집계표" xfId="1183"/>
    <cellStyle name="_방호벽" xfId="1184"/>
    <cellStyle name="_배수BOX일반" xfId="1185"/>
    <cellStyle name="_별첨(계획서및실적서양식)" xfId="1186"/>
    <cellStyle name="_별첨(계획서및실적서양식)_1" xfId="1187"/>
    <cellStyle name="_복죽1교옹벽토공" xfId="1188"/>
    <cellStyle name="_복죽1교토공" xfId="1189"/>
    <cellStyle name="_봉강1교" xfId="1190"/>
    <cellStyle name="_부창교상부" xfId="1191"/>
    <cellStyle name="_비옥토_벌개제근_연약지반(최종)" xfId="1192"/>
    <cellStyle name="_사본 - 하마2교-수량" xfId="1193"/>
    <cellStyle name="_산출근거(광양)" xfId="1194"/>
    <cellStyle name="_산출근거(광양)_01-소탄교-총괄수량집계표" xfId="1195"/>
    <cellStyle name="_산출근거(광양)_01-소탄교-총괄수량집계표1" xfId="1196"/>
    <cellStyle name="_산출근거(광양)_01-여곡2교-총괄수량집계표" xfId="1197"/>
    <cellStyle name="_산출근거(광양)_1.광하1교-주요자재집계표" xfId="1198"/>
    <cellStyle name="_산출근거(광양)_1.광하1교-주요자재집계표_01-소탄교-총괄수량집계표" xfId="1199"/>
    <cellStyle name="_산출근거(광양)_1.광하1교-주요자재집계표_01-소탄교-총괄수량집계표1" xfId="1200"/>
    <cellStyle name="_산출근거(광양)_1.광하1교-주요자재집계표_01-여곡2교-총괄수량집계표" xfId="1201"/>
    <cellStyle name="_산출근거(광양)_4.광석교-상부수량집계" xfId="1202"/>
    <cellStyle name="_산출근거(광양)_4.광석교-상부수량집계_01-소탄교-총괄수량집계표" xfId="1203"/>
    <cellStyle name="_산출근거(광양)_4.광석교-상부수량집계_01-소탄교-총괄수량집계표1" xfId="1204"/>
    <cellStyle name="_산출근거(광양)_4.광석교-상부수량집계_01-여곡2교-총괄수량집계표" xfId="1205"/>
    <cellStyle name="_산출근거(광양)_x주요자재집계표" xfId="1206"/>
    <cellStyle name="_산출근거(광양)_x주요자재집계표_01-소탄교-총괄수량집계표" xfId="1207"/>
    <cellStyle name="_산출근거(광양)_x주요자재집계표_01-소탄교-총괄수량집계표1" xfId="1208"/>
    <cellStyle name="_산출근거(광양)_x주요자재집계표_01-여곡2교-총괄수량집계표" xfId="1209"/>
    <cellStyle name="_산출근거(광양)_교량별총괄집계(신리5교)" xfId="1210"/>
    <cellStyle name="_산출근거(광양)_교량별총괄집계(신리5교)_01-소탄교-총괄수량집계표" xfId="1211"/>
    <cellStyle name="_산출근거(광양)_교량별총괄집계(신리5교)_01-소탄교-총괄수량집계표1" xfId="1212"/>
    <cellStyle name="_산출근거(광양)_교량별총괄집계(신리5교)_01-여곡2교-총괄수량집계표" xfId="1213"/>
    <cellStyle name="_산출근거(광양)_구조물주요자재(3공구)" xfId="1214"/>
    <cellStyle name="_산출근거(광양)_구조물주요자재(3공구)_01-소탄교-총괄수량집계표" xfId="1215"/>
    <cellStyle name="_산출근거(광양)_구조물주요자재(3공구)_01-소탄교-총괄수량집계표1" xfId="1216"/>
    <cellStyle name="_산출근거(광양)_구조물주요자재(3공구)_01-여곡2교-총괄수량집계표" xfId="1217"/>
    <cellStyle name="_산출근거(광양)_구조물주요자재(3공구)_1.광하1교-주요자재집계표" xfId="1218"/>
    <cellStyle name="_산출근거(광양)_구조물주요자재(3공구)_1.광하1교-주요자재집계표_01-소탄교-총괄수량집계표" xfId="1219"/>
    <cellStyle name="_산출근거(광양)_구조물주요자재(3공구)_1.광하1교-주요자재집계표_01-소탄교-총괄수량집계표1" xfId="1220"/>
    <cellStyle name="_산출근거(광양)_구조물주요자재(3공구)_1.광하1교-주요자재집계표_01-여곡2교-총괄수량집계표" xfId="1221"/>
    <cellStyle name="_산출근거(광양)_구조물주요자재(3공구)_4.광석교-상부수량집계" xfId="1222"/>
    <cellStyle name="_산출근거(광양)_구조물주요자재(3공구)_4.광석교-상부수량집계_01-소탄교-총괄수량집계표" xfId="1223"/>
    <cellStyle name="_산출근거(광양)_구조물주요자재(3공구)_4.광석교-상부수량집계_01-소탄교-총괄수량집계표1" xfId="1224"/>
    <cellStyle name="_산출근거(광양)_구조물주요자재(3공구)_4.광석교-상부수량집계_01-여곡2교-총괄수량집계표" xfId="1225"/>
    <cellStyle name="_산출근거(광양)_구조물주요자재(3공구)_x주요자재집계표" xfId="1226"/>
    <cellStyle name="_산출근거(광양)_구조물주요자재(3공구)_x주요자재집계표_01-소탄교-총괄수량집계표" xfId="1227"/>
    <cellStyle name="_산출근거(광양)_구조물주요자재(3공구)_x주요자재집계표_01-소탄교-총괄수량집계표1" xfId="1228"/>
    <cellStyle name="_산출근거(광양)_구조물주요자재(3공구)_x주요자재집계표_01-여곡2교-총괄수량집계표" xfId="1229"/>
    <cellStyle name="_산출근거(광양)_구조물주요자재(3공구)_주요자재집계표" xfId="1230"/>
    <cellStyle name="_산출근거(광양)_구조물주요자재(3공구)_주요자재집계표_01-소탄교-총괄수량집계표" xfId="1231"/>
    <cellStyle name="_산출근거(광양)_구조물주요자재(3공구)_주요자재집계표_01-소탄교-총괄수량집계표1" xfId="1232"/>
    <cellStyle name="_산출근거(광양)_구조물주요자재(3공구)_주요자재집계표_01-여곡2교-총괄수량집계표" xfId="1233"/>
    <cellStyle name="_산출근거(광양)_신리5교 상부" xfId="1234"/>
    <cellStyle name="_산출근거(광양)_신리5교 상부_01-소탄교-총괄수량집계표" xfId="1235"/>
    <cellStyle name="_산출근거(광양)_신리5교 상부_01-소탄교-총괄수량집계표1" xfId="1236"/>
    <cellStyle name="_산출근거(광양)_신리5교 상부_01-여곡2교-총괄수량집계표" xfId="1237"/>
    <cellStyle name="_산출근거(광양)_신리6교 상부" xfId="1238"/>
    <cellStyle name="_산출근거(광양)_신리6교 상부_01-소탄교-총괄수량집계표" xfId="1239"/>
    <cellStyle name="_산출근거(광양)_신리6교 상부_01-소탄교-총괄수량집계표1" xfId="1240"/>
    <cellStyle name="_산출근거(광양)_신리6교 상부_01-여곡2교-총괄수량집계표" xfId="1241"/>
    <cellStyle name="_산출근거(광양)_주요자재집계표" xfId="1242"/>
    <cellStyle name="_산출근거(광양)_주요자재집계표_01-소탄교-총괄수량집계표" xfId="1243"/>
    <cellStyle name="_산출근거(광양)_주요자재집계표_01-소탄교-총괄수량집계표1" xfId="1244"/>
    <cellStyle name="_산출근거(광양)_주요자재집계표_01-여곡2교-총괄수량집계표" xfId="1245"/>
    <cellStyle name="_산출근거(광양)_죽림1교-상부" xfId="1246"/>
    <cellStyle name="_산출근거(광양)_죽림1교-상부_01-소탄교-총괄수량집계표" xfId="1247"/>
    <cellStyle name="_산출근거(광양)_죽림1교-상부_01-소탄교-총괄수량집계표1" xfId="1248"/>
    <cellStyle name="_산출근거(광양)_죽림1교-상부_01-여곡2교-총괄수량집계표" xfId="1249"/>
    <cellStyle name="_산출근거(광양)_죽림1교-상부_1.광하1교-주요자재집계표" xfId="1250"/>
    <cellStyle name="_산출근거(광양)_죽림1교-상부_1.광하1교-주요자재집계표_01-소탄교-총괄수량집계표" xfId="1251"/>
    <cellStyle name="_산출근거(광양)_죽림1교-상부_1.광하1교-주요자재집계표_01-소탄교-총괄수량집계표1" xfId="1252"/>
    <cellStyle name="_산출근거(광양)_죽림1교-상부_1.광하1교-주요자재집계표_01-여곡2교-총괄수량집계표" xfId="1253"/>
    <cellStyle name="_산출근거(광양)_죽림1교-상부_4.광석교-상부수량집계" xfId="1254"/>
    <cellStyle name="_산출근거(광양)_죽림1교-상부_4.광석교-상부수량집계_01-소탄교-총괄수량집계표" xfId="1255"/>
    <cellStyle name="_산출근거(광양)_죽림1교-상부_4.광석교-상부수량집계_01-소탄교-총괄수량집계표1" xfId="1256"/>
    <cellStyle name="_산출근거(광양)_죽림1교-상부_4.광석교-상부수량집계_01-여곡2교-총괄수량집계표" xfId="1257"/>
    <cellStyle name="_산출근거(광양)_죽림1교-상부_x주요자재집계표" xfId="1258"/>
    <cellStyle name="_산출근거(광양)_죽림1교-상부_x주요자재집계표_01-소탄교-총괄수량집계표" xfId="1259"/>
    <cellStyle name="_산출근거(광양)_죽림1교-상부_x주요자재집계표_01-소탄교-총괄수량집계표1" xfId="1260"/>
    <cellStyle name="_산출근거(광양)_죽림1교-상부_x주요자재집계표_01-여곡2교-총괄수량집계표" xfId="1261"/>
    <cellStyle name="_산출근거(광양)_죽림1교-상부_구조물주요자재(3공구)" xfId="1262"/>
    <cellStyle name="_산출근거(광양)_죽림1교-상부_구조물주요자재(3공구)_01-소탄교-총괄수량집계표" xfId="1263"/>
    <cellStyle name="_산출근거(광양)_죽림1교-상부_구조물주요자재(3공구)_01-소탄교-총괄수량집계표1" xfId="1264"/>
    <cellStyle name="_산출근거(광양)_죽림1교-상부_구조물주요자재(3공구)_01-여곡2교-총괄수량집계표" xfId="1265"/>
    <cellStyle name="_산출근거(광양)_죽림1교-상부_구조물주요자재(3공구)_1.광하1교-주요자재집계표" xfId="1266"/>
    <cellStyle name="_산출근거(광양)_죽림1교-상부_구조물주요자재(3공구)_1.광하1교-주요자재집계표_01-소탄교-총괄수량집계표" xfId="1267"/>
    <cellStyle name="_산출근거(광양)_죽림1교-상부_구조물주요자재(3공구)_1.광하1교-주요자재집계표_01-소탄교-총괄수량집계표1" xfId="1268"/>
    <cellStyle name="_산출근거(광양)_죽림1교-상부_구조물주요자재(3공구)_1.광하1교-주요자재집계표_01-여곡2교-총괄수량집계표" xfId="1269"/>
    <cellStyle name="_산출근거(광양)_죽림1교-상부_구조물주요자재(3공구)_4.광석교-상부수량집계" xfId="1270"/>
    <cellStyle name="_산출근거(광양)_죽림1교-상부_구조물주요자재(3공구)_4.광석교-상부수량집계_01-소탄교-총괄수량집계표" xfId="1271"/>
    <cellStyle name="_산출근거(광양)_죽림1교-상부_구조물주요자재(3공구)_4.광석교-상부수량집계_01-소탄교-총괄수량집계표1" xfId="1272"/>
    <cellStyle name="_산출근거(광양)_죽림1교-상부_구조물주요자재(3공구)_4.광석교-상부수량집계_01-여곡2교-총괄수량집계표" xfId="1273"/>
    <cellStyle name="_산출근거(광양)_죽림1교-상부_구조물주요자재(3공구)_x주요자재집계표" xfId="1274"/>
    <cellStyle name="_산출근거(광양)_죽림1교-상부_구조물주요자재(3공구)_x주요자재집계표_01-소탄교-총괄수량집계표" xfId="1275"/>
    <cellStyle name="_산출근거(광양)_죽림1교-상부_구조물주요자재(3공구)_x주요자재집계표_01-소탄교-총괄수량집계표1" xfId="1276"/>
    <cellStyle name="_산출근거(광양)_죽림1교-상부_구조물주요자재(3공구)_x주요자재집계표_01-여곡2교-총괄수량집계표" xfId="1277"/>
    <cellStyle name="_산출근거(광양)_죽림1교-상부_구조물주요자재(3공구)_주요자재집계표" xfId="1278"/>
    <cellStyle name="_산출근거(광양)_죽림1교-상부_구조물주요자재(3공구)_주요자재집계표_01-소탄교-총괄수량집계표" xfId="1279"/>
    <cellStyle name="_산출근거(광양)_죽림1교-상부_구조물주요자재(3공구)_주요자재집계표_01-소탄교-총괄수량집계표1" xfId="1280"/>
    <cellStyle name="_산출근거(광양)_죽림1교-상부_구조물주요자재(3공구)_주요자재집계표_01-여곡2교-총괄수량집계표" xfId="1281"/>
    <cellStyle name="_산출근거(광양)_죽림1교-상부_주요자재집계표" xfId="1282"/>
    <cellStyle name="_산출근거(광양)_죽림1교-상부_주요자재집계표_01-소탄교-총괄수량집계표" xfId="1283"/>
    <cellStyle name="_산출근거(광양)_죽림1교-상부_주요자재집계표_01-소탄교-총괄수량집계표1" xfId="1284"/>
    <cellStyle name="_산출근거(광양)_죽림1교-상부_주요자재집계표_01-여곡2교-총괄수량집계표" xfId="1285"/>
    <cellStyle name="_산출근거(광양)_죽림2교-상부" xfId="1286"/>
    <cellStyle name="_산출근거(광양)_죽림2교-상부_01-소탄교-총괄수량집계표" xfId="1287"/>
    <cellStyle name="_산출근거(광양)_죽림2교-상부_01-소탄교-총괄수량집계표1" xfId="1288"/>
    <cellStyle name="_산출근거(광양)_죽림2교-상부_01-여곡2교-총괄수량집계표" xfId="1289"/>
    <cellStyle name="_산출근거(광양)_죽림2교-상부_1.광하1교-주요자재집계표" xfId="1290"/>
    <cellStyle name="_산출근거(광양)_죽림2교-상부_1.광하1교-주요자재집계표_01-소탄교-총괄수량집계표" xfId="1291"/>
    <cellStyle name="_산출근거(광양)_죽림2교-상부_1.광하1교-주요자재집계표_01-소탄교-총괄수량집계표1" xfId="1292"/>
    <cellStyle name="_산출근거(광양)_죽림2교-상부_1.광하1교-주요자재집계표_01-여곡2교-총괄수량집계표" xfId="1293"/>
    <cellStyle name="_산출근거(광양)_죽림2교-상부_4.광석교-상부수량집계" xfId="1294"/>
    <cellStyle name="_산출근거(광양)_죽림2교-상부_4.광석교-상부수량집계_01-소탄교-총괄수량집계표" xfId="1295"/>
    <cellStyle name="_산출근거(광양)_죽림2교-상부_4.광석교-상부수량집계_01-소탄교-총괄수량집계표1" xfId="1296"/>
    <cellStyle name="_산출근거(광양)_죽림2교-상부_4.광석교-상부수량집계_01-여곡2교-총괄수량집계표" xfId="1297"/>
    <cellStyle name="_산출근거(광양)_죽림2교-상부_x주요자재집계표" xfId="1298"/>
    <cellStyle name="_산출근거(광양)_죽림2교-상부_x주요자재집계표_01-소탄교-총괄수량집계표" xfId="1299"/>
    <cellStyle name="_산출근거(광양)_죽림2교-상부_x주요자재집계표_01-소탄교-총괄수량집계표1" xfId="1300"/>
    <cellStyle name="_산출근거(광양)_죽림2교-상부_x주요자재집계표_01-여곡2교-총괄수량집계표" xfId="1301"/>
    <cellStyle name="_산출근거(광양)_죽림2교-상부_구조물주요자재(3공구)" xfId="1302"/>
    <cellStyle name="_산출근거(광양)_죽림2교-상부_구조물주요자재(3공구)_01-소탄교-총괄수량집계표" xfId="1303"/>
    <cellStyle name="_산출근거(광양)_죽림2교-상부_구조물주요자재(3공구)_01-소탄교-총괄수량집계표1" xfId="1304"/>
    <cellStyle name="_산출근거(광양)_죽림2교-상부_구조물주요자재(3공구)_01-여곡2교-총괄수량집계표" xfId="1305"/>
    <cellStyle name="_산출근거(광양)_죽림2교-상부_구조물주요자재(3공구)_1.광하1교-주요자재집계표" xfId="1306"/>
    <cellStyle name="_산출근거(광양)_죽림2교-상부_구조물주요자재(3공구)_1.광하1교-주요자재집계표_01-소탄교-총괄수량집계표" xfId="1307"/>
    <cellStyle name="_산출근거(광양)_죽림2교-상부_구조물주요자재(3공구)_1.광하1교-주요자재집계표_01-소탄교-총괄수량집계표1" xfId="1308"/>
    <cellStyle name="_산출근거(광양)_죽림2교-상부_구조물주요자재(3공구)_1.광하1교-주요자재집계표_01-여곡2교-총괄수량집계표" xfId="1309"/>
    <cellStyle name="_산출근거(광양)_죽림2교-상부_구조물주요자재(3공구)_4.광석교-상부수량집계" xfId="1310"/>
    <cellStyle name="_산출근거(광양)_죽림2교-상부_구조물주요자재(3공구)_4.광석교-상부수량집계_01-소탄교-총괄수량집계표" xfId="1311"/>
    <cellStyle name="_산출근거(광양)_죽림2교-상부_구조물주요자재(3공구)_4.광석교-상부수량집계_01-소탄교-총괄수량집계표1" xfId="1312"/>
    <cellStyle name="_산출근거(광양)_죽림2교-상부_구조물주요자재(3공구)_4.광석교-상부수량집계_01-여곡2교-총괄수량집계표" xfId="1313"/>
    <cellStyle name="_산출근거(광양)_죽림2교-상부_구조물주요자재(3공구)_x주요자재집계표" xfId="1314"/>
    <cellStyle name="_산출근거(광양)_죽림2교-상부_구조물주요자재(3공구)_x주요자재집계표_01-소탄교-총괄수량집계표" xfId="1315"/>
    <cellStyle name="_산출근거(광양)_죽림2교-상부_구조물주요자재(3공구)_x주요자재집계표_01-소탄교-총괄수량집계표1" xfId="1316"/>
    <cellStyle name="_산출근거(광양)_죽림2교-상부_구조물주요자재(3공구)_x주요자재집계표_01-여곡2교-총괄수량집계표" xfId="1317"/>
    <cellStyle name="_산출근거(광양)_죽림2교-상부_구조물주요자재(3공구)_주요자재집계표" xfId="1318"/>
    <cellStyle name="_산출근거(광양)_죽림2교-상부_구조물주요자재(3공구)_주요자재집계표_01-소탄교-총괄수량집계표" xfId="1319"/>
    <cellStyle name="_산출근거(광양)_죽림2교-상부_구조물주요자재(3공구)_주요자재집계표_01-소탄교-총괄수량집계표1" xfId="1320"/>
    <cellStyle name="_산출근거(광양)_죽림2교-상부_구조물주요자재(3공구)_주요자재집계표_01-여곡2교-총괄수량집계표" xfId="1321"/>
    <cellStyle name="_산출근거(광양)_죽림2교-상부_주요자재집계표" xfId="1322"/>
    <cellStyle name="_산출근거(광양)_죽림2교-상부_주요자재집계표_01-소탄교-총괄수량집계표" xfId="1323"/>
    <cellStyle name="_산출근거(광양)_죽림2교-상부_주요자재집계표_01-소탄교-총괄수량집계표1" xfId="1324"/>
    <cellStyle name="_산출근거(광양)_죽림2교-상부_주요자재집계표_01-여곡2교-총괄수량집계표" xfId="1325"/>
    <cellStyle name="_산출근거(광양)_죽림2교-상부_죽림1교-상부" xfId="1326"/>
    <cellStyle name="_산출근거(광양)_죽림2교-상부_죽림1교-상부_01-소탄교-총괄수량집계표" xfId="1327"/>
    <cellStyle name="_산출근거(광양)_죽림2교-상부_죽림1교-상부_01-소탄교-총괄수량집계표1" xfId="1328"/>
    <cellStyle name="_산출근거(광양)_죽림2교-상부_죽림1교-상부_01-여곡2교-총괄수량집계표" xfId="1329"/>
    <cellStyle name="_산출근거(광양)_죽림2교-상부_죽림1교-상부_1.광하1교-주요자재집계표" xfId="1330"/>
    <cellStyle name="_산출근거(광양)_죽림2교-상부_죽림1교-상부_1.광하1교-주요자재집계표_01-소탄교-총괄수량집계표" xfId="1331"/>
    <cellStyle name="_산출근거(광양)_죽림2교-상부_죽림1교-상부_1.광하1교-주요자재집계표_01-소탄교-총괄수량집계표1" xfId="1332"/>
    <cellStyle name="_산출근거(광양)_죽림2교-상부_죽림1교-상부_1.광하1교-주요자재집계표_01-여곡2교-총괄수량집계표" xfId="1333"/>
    <cellStyle name="_산출근거(광양)_죽림2교-상부_죽림1교-상부_4.광석교-상부수량집계" xfId="1334"/>
    <cellStyle name="_산출근거(광양)_죽림2교-상부_죽림1교-상부_4.광석교-상부수량집계_01-소탄교-총괄수량집계표" xfId="1335"/>
    <cellStyle name="_산출근거(광양)_죽림2교-상부_죽림1교-상부_4.광석교-상부수량집계_01-소탄교-총괄수량집계표1" xfId="1336"/>
    <cellStyle name="_산출근거(광양)_죽림2교-상부_죽림1교-상부_4.광석교-상부수량집계_01-여곡2교-총괄수량집계표" xfId="1337"/>
    <cellStyle name="_산출근거(광양)_죽림2교-상부_죽림1교-상부_x주요자재집계표" xfId="1338"/>
    <cellStyle name="_산출근거(광양)_죽림2교-상부_죽림1교-상부_x주요자재집계표_01-소탄교-총괄수량집계표" xfId="1339"/>
    <cellStyle name="_산출근거(광양)_죽림2교-상부_죽림1교-상부_x주요자재집계표_01-소탄교-총괄수량집계표1" xfId="1340"/>
    <cellStyle name="_산출근거(광양)_죽림2교-상부_죽림1교-상부_x주요자재집계표_01-여곡2교-총괄수량집계표" xfId="1341"/>
    <cellStyle name="_산출근거(광양)_죽림2교-상부_죽림1교-상부_구조물주요자재(3공구)" xfId="1342"/>
    <cellStyle name="_산출근거(광양)_죽림2교-상부_죽림1교-상부_구조물주요자재(3공구)_01-소탄교-총괄수량집계표" xfId="1343"/>
    <cellStyle name="_산출근거(광양)_죽림2교-상부_죽림1교-상부_구조물주요자재(3공구)_01-소탄교-총괄수량집계표1" xfId="1344"/>
    <cellStyle name="_산출근거(광양)_죽림2교-상부_죽림1교-상부_구조물주요자재(3공구)_01-여곡2교-총괄수량집계표" xfId="1345"/>
    <cellStyle name="_산출근거(광양)_죽림2교-상부_죽림1교-상부_구조물주요자재(3공구)_1.광하1교-주요자재집계표" xfId="1346"/>
    <cellStyle name="_산출근거(광양)_죽림2교-상부_죽림1교-상부_구조물주요자재(3공구)_1.광하1교-주요자재집계표_01-소탄교-총괄수량집계표" xfId="1347"/>
    <cellStyle name="_산출근거(광양)_죽림2교-상부_죽림1교-상부_구조물주요자재(3공구)_1.광하1교-주요자재집계표_01-소탄교-총괄수량집계표1" xfId="1348"/>
    <cellStyle name="_산출근거(광양)_죽림2교-상부_죽림1교-상부_구조물주요자재(3공구)_1.광하1교-주요자재집계표_01-여곡2교-총괄수량집계표" xfId="1349"/>
    <cellStyle name="_산출근거(광양)_죽림2교-상부_죽림1교-상부_구조물주요자재(3공구)_4.광석교-상부수량집계" xfId="1350"/>
    <cellStyle name="_산출근거(광양)_죽림2교-상부_죽림1교-상부_구조물주요자재(3공구)_4.광석교-상부수량집계_01-소탄교-총괄수량집계표" xfId="1351"/>
    <cellStyle name="_산출근거(광양)_죽림2교-상부_죽림1교-상부_구조물주요자재(3공구)_4.광석교-상부수량집계_01-소탄교-총괄수량집계표1" xfId="1352"/>
    <cellStyle name="_산출근거(광양)_죽림2교-상부_죽림1교-상부_구조물주요자재(3공구)_4.광석교-상부수량집계_01-여곡2교-총괄수량집계표" xfId="1353"/>
    <cellStyle name="_산출근거(광양)_죽림2교-상부_죽림1교-상부_구조물주요자재(3공구)_x주요자재집계표" xfId="1354"/>
    <cellStyle name="_산출근거(광양)_죽림2교-상부_죽림1교-상부_구조물주요자재(3공구)_x주요자재집계표_01-소탄교-총괄수량집계표" xfId="1355"/>
    <cellStyle name="_산출근거(광양)_죽림2교-상부_죽림1교-상부_구조물주요자재(3공구)_x주요자재집계표_01-소탄교-총괄수량집계표1" xfId="1356"/>
    <cellStyle name="_산출근거(광양)_죽림2교-상부_죽림1교-상부_구조물주요자재(3공구)_x주요자재집계표_01-여곡2교-총괄수량집계표" xfId="1357"/>
    <cellStyle name="_산출근거(광양)_죽림2교-상부_죽림1교-상부_구조물주요자재(3공구)_주요자재집계표" xfId="1358"/>
    <cellStyle name="_산출근거(광양)_죽림2교-상부_죽림1교-상부_구조물주요자재(3공구)_주요자재집계표_01-소탄교-총괄수량집계표" xfId="1359"/>
    <cellStyle name="_산출근거(광양)_죽림2교-상부_죽림1교-상부_구조물주요자재(3공구)_주요자재집계표_01-소탄교-총괄수량집계표1" xfId="1360"/>
    <cellStyle name="_산출근거(광양)_죽림2교-상부_죽림1교-상부_구조물주요자재(3공구)_주요자재집계표_01-여곡2교-총괄수량집계표" xfId="1361"/>
    <cellStyle name="_산출근거(광양)_죽림2교-상부_죽림1교-상부_주요자재집계표" xfId="1362"/>
    <cellStyle name="_산출근거(광양)_죽림2교-상부_죽림1교-상부_주요자재집계표_01-소탄교-총괄수량집계표" xfId="1363"/>
    <cellStyle name="_산출근거(광양)_죽림2교-상부_죽림1교-상부_주요자재집계표_01-소탄교-총괄수량집계표1" xfId="1364"/>
    <cellStyle name="_산출근거(광양)_죽림2교-상부_죽림1교-상부_주요자재집계표_01-여곡2교-총괄수량집계표" xfId="1365"/>
    <cellStyle name="_산출근거(광양)_죽림2교-상부-1" xfId="1366"/>
    <cellStyle name="_산출근거(광양)_죽림2교-상부-1_01-소탄교-총괄수량집계표" xfId="1367"/>
    <cellStyle name="_산출근거(광양)_죽림2교-상부-1_01-소탄교-총괄수량집계표1" xfId="1368"/>
    <cellStyle name="_산출근거(광양)_죽림2교-상부-1_01-여곡2교-총괄수량집계표" xfId="1369"/>
    <cellStyle name="_산출근거(광양)_죽림2교-상부-1_1.광하1교-주요자재집계표" xfId="1370"/>
    <cellStyle name="_산출근거(광양)_죽림2교-상부-1_1.광하1교-주요자재집계표_01-소탄교-총괄수량집계표" xfId="1371"/>
    <cellStyle name="_산출근거(광양)_죽림2교-상부-1_1.광하1교-주요자재집계표_01-소탄교-총괄수량집계표1" xfId="1372"/>
    <cellStyle name="_산출근거(광양)_죽림2교-상부-1_1.광하1교-주요자재집계표_01-여곡2교-총괄수량집계표" xfId="1373"/>
    <cellStyle name="_산출근거(광양)_죽림2교-상부-1_4.광석교-상부수량집계" xfId="1374"/>
    <cellStyle name="_산출근거(광양)_죽림2교-상부-1_4.광석교-상부수량집계_01-소탄교-총괄수량집계표" xfId="1375"/>
    <cellStyle name="_산출근거(광양)_죽림2교-상부-1_4.광석교-상부수량집계_01-소탄교-총괄수량집계표1" xfId="1376"/>
    <cellStyle name="_산출근거(광양)_죽림2교-상부-1_4.광석교-상부수량집계_01-여곡2교-총괄수량집계표" xfId="1377"/>
    <cellStyle name="_산출근거(광양)_죽림2교-상부-1_x주요자재집계표" xfId="1378"/>
    <cellStyle name="_산출근거(광양)_죽림2교-상부-1_x주요자재집계표_01-소탄교-총괄수량집계표" xfId="1379"/>
    <cellStyle name="_산출근거(광양)_죽림2교-상부-1_x주요자재집계표_01-소탄교-총괄수량집계표1" xfId="1380"/>
    <cellStyle name="_산출근거(광양)_죽림2교-상부-1_x주요자재집계표_01-여곡2교-총괄수량집계표" xfId="1381"/>
    <cellStyle name="_산출근거(광양)_죽림2교-상부-1_구조물주요자재(3공구)" xfId="1382"/>
    <cellStyle name="_산출근거(광양)_죽림2교-상부-1_구조물주요자재(3공구)_01-소탄교-총괄수량집계표" xfId="1383"/>
    <cellStyle name="_산출근거(광양)_죽림2교-상부-1_구조물주요자재(3공구)_01-소탄교-총괄수량집계표1" xfId="1384"/>
    <cellStyle name="_산출근거(광양)_죽림2교-상부-1_구조물주요자재(3공구)_01-여곡2교-총괄수량집계표" xfId="1385"/>
    <cellStyle name="_산출근거(광양)_죽림2교-상부-1_구조물주요자재(3공구)_1.광하1교-주요자재집계표" xfId="1386"/>
    <cellStyle name="_산출근거(광양)_죽림2교-상부-1_구조물주요자재(3공구)_1.광하1교-주요자재집계표_01-소탄교-총괄수량집계표" xfId="1387"/>
    <cellStyle name="_산출근거(광양)_죽림2교-상부-1_구조물주요자재(3공구)_1.광하1교-주요자재집계표_01-소탄교-총괄수량집계표1" xfId="1388"/>
    <cellStyle name="_산출근거(광양)_죽림2교-상부-1_구조물주요자재(3공구)_1.광하1교-주요자재집계표_01-여곡2교-총괄수량집계표" xfId="1389"/>
    <cellStyle name="_산출근거(광양)_죽림2교-상부-1_구조물주요자재(3공구)_4.광석교-상부수량집계" xfId="1390"/>
    <cellStyle name="_산출근거(광양)_죽림2교-상부-1_구조물주요자재(3공구)_4.광석교-상부수량집계_01-소탄교-총괄수량집계표" xfId="1391"/>
    <cellStyle name="_산출근거(광양)_죽림2교-상부-1_구조물주요자재(3공구)_4.광석교-상부수량집계_01-소탄교-총괄수량집계표1" xfId="1392"/>
    <cellStyle name="_산출근거(광양)_죽림2교-상부-1_구조물주요자재(3공구)_4.광석교-상부수량집계_01-여곡2교-총괄수량집계표" xfId="1393"/>
    <cellStyle name="_산출근거(광양)_죽림2교-상부-1_구조물주요자재(3공구)_x주요자재집계표" xfId="1394"/>
    <cellStyle name="_산출근거(광양)_죽림2교-상부-1_구조물주요자재(3공구)_x주요자재집계표_01-소탄교-총괄수량집계표" xfId="1395"/>
    <cellStyle name="_산출근거(광양)_죽림2교-상부-1_구조물주요자재(3공구)_x주요자재집계표_01-소탄교-총괄수량집계표1" xfId="1396"/>
    <cellStyle name="_산출근거(광양)_죽림2교-상부-1_구조물주요자재(3공구)_x주요자재집계표_01-여곡2교-총괄수량집계표" xfId="1397"/>
    <cellStyle name="_산출근거(광양)_죽림2교-상부-1_구조물주요자재(3공구)_주요자재집계표" xfId="1398"/>
    <cellStyle name="_산출근거(광양)_죽림2교-상부-1_구조물주요자재(3공구)_주요자재집계표_01-소탄교-총괄수량집계표" xfId="1399"/>
    <cellStyle name="_산출근거(광양)_죽림2교-상부-1_구조물주요자재(3공구)_주요자재집계표_01-소탄교-총괄수량집계표1" xfId="1400"/>
    <cellStyle name="_산출근거(광양)_죽림2교-상부-1_구조물주요자재(3공구)_주요자재집계표_01-여곡2교-총괄수량집계표" xfId="1401"/>
    <cellStyle name="_산출근거(광양)_죽림2교-상부-1_주요자재집계표" xfId="1402"/>
    <cellStyle name="_산출근거(광양)_죽림2교-상부-1_주요자재집계표_01-소탄교-총괄수량집계표" xfId="1403"/>
    <cellStyle name="_산출근거(광양)_죽림2교-상부-1_주요자재집계표_01-소탄교-총괄수량집계표1" xfId="1404"/>
    <cellStyle name="_산출근거(광양)_죽림2교-상부-1_주요자재집계표_01-여곡2교-총괄수량집계표" xfId="1405"/>
    <cellStyle name="_산출근거(광양)_죽림2교-상부-1_죽림1교-상부" xfId="1406"/>
    <cellStyle name="_산출근거(광양)_죽림2교-상부-1_죽림1교-상부_01-소탄교-총괄수량집계표" xfId="1407"/>
    <cellStyle name="_산출근거(광양)_죽림2교-상부-1_죽림1교-상부_01-소탄교-총괄수량집계표1" xfId="1408"/>
    <cellStyle name="_산출근거(광양)_죽림2교-상부-1_죽림1교-상부_01-여곡2교-총괄수량집계표" xfId="1409"/>
    <cellStyle name="_산출근거(광양)_죽림2교-상부-1_죽림1교-상부_1.광하1교-주요자재집계표" xfId="1410"/>
    <cellStyle name="_산출근거(광양)_죽림2교-상부-1_죽림1교-상부_1.광하1교-주요자재집계표_01-소탄교-총괄수량집계표" xfId="1411"/>
    <cellStyle name="_산출근거(광양)_죽림2교-상부-1_죽림1교-상부_1.광하1교-주요자재집계표_01-소탄교-총괄수량집계표1" xfId="1412"/>
    <cellStyle name="_산출근거(광양)_죽림2교-상부-1_죽림1교-상부_1.광하1교-주요자재집계표_01-여곡2교-총괄수량집계표" xfId="1413"/>
    <cellStyle name="_산출근거(광양)_죽림2교-상부-1_죽림1교-상부_4.광석교-상부수량집계" xfId="1414"/>
    <cellStyle name="_산출근거(광양)_죽림2교-상부-1_죽림1교-상부_4.광석교-상부수량집계_01-소탄교-총괄수량집계표" xfId="1415"/>
    <cellStyle name="_산출근거(광양)_죽림2교-상부-1_죽림1교-상부_4.광석교-상부수량집계_01-소탄교-총괄수량집계표1" xfId="1416"/>
    <cellStyle name="_산출근거(광양)_죽림2교-상부-1_죽림1교-상부_4.광석교-상부수량집계_01-여곡2교-총괄수량집계표" xfId="1417"/>
    <cellStyle name="_산출근거(광양)_죽림2교-상부-1_죽림1교-상부_x주요자재집계표" xfId="1418"/>
    <cellStyle name="_산출근거(광양)_죽림2교-상부-1_죽림1교-상부_x주요자재집계표_01-소탄교-총괄수량집계표" xfId="1419"/>
    <cellStyle name="_산출근거(광양)_죽림2교-상부-1_죽림1교-상부_x주요자재집계표_01-소탄교-총괄수량집계표1" xfId="1420"/>
    <cellStyle name="_산출근거(광양)_죽림2교-상부-1_죽림1교-상부_x주요자재집계표_01-여곡2교-총괄수량집계표" xfId="1421"/>
    <cellStyle name="_산출근거(광양)_죽림2교-상부-1_죽림1교-상부_구조물주요자재(3공구)" xfId="1422"/>
    <cellStyle name="_산출근거(광양)_죽림2교-상부-1_죽림1교-상부_구조물주요자재(3공구)_01-소탄교-총괄수량집계표" xfId="1423"/>
    <cellStyle name="_산출근거(광양)_죽림2교-상부-1_죽림1교-상부_구조물주요자재(3공구)_01-소탄교-총괄수량집계표1" xfId="1424"/>
    <cellStyle name="_산출근거(광양)_죽림2교-상부-1_죽림1교-상부_구조물주요자재(3공구)_01-여곡2교-총괄수량집계표" xfId="1425"/>
    <cellStyle name="_산출근거(광양)_죽림2교-상부-1_죽림1교-상부_구조물주요자재(3공구)_1.광하1교-주요자재집계표" xfId="1426"/>
    <cellStyle name="_산출근거(광양)_죽림2교-상부-1_죽림1교-상부_구조물주요자재(3공구)_1.광하1교-주요자재집계표_01-소탄교-총괄수량집계표" xfId="1427"/>
    <cellStyle name="_산출근거(광양)_죽림2교-상부-1_죽림1교-상부_구조물주요자재(3공구)_1.광하1교-주요자재집계표_01-소탄교-총괄수량집계표1" xfId="1428"/>
    <cellStyle name="_산출근거(광양)_죽림2교-상부-1_죽림1교-상부_구조물주요자재(3공구)_1.광하1교-주요자재집계표_01-여곡2교-총괄수량집계표" xfId="1429"/>
    <cellStyle name="_산출근거(광양)_죽림2교-상부-1_죽림1교-상부_구조물주요자재(3공구)_4.광석교-상부수량집계" xfId="1430"/>
    <cellStyle name="_산출근거(광양)_죽림2교-상부-1_죽림1교-상부_구조물주요자재(3공구)_4.광석교-상부수량집계_01-소탄교-총괄수량집계표" xfId="1431"/>
    <cellStyle name="_산출근거(광양)_죽림2교-상부-1_죽림1교-상부_구조물주요자재(3공구)_4.광석교-상부수량집계_01-소탄교-총괄수량집계표1" xfId="1432"/>
    <cellStyle name="_산출근거(광양)_죽림2교-상부-1_죽림1교-상부_구조물주요자재(3공구)_4.광석교-상부수량집계_01-여곡2교-총괄수량집계표" xfId="1433"/>
    <cellStyle name="_산출근거(광양)_죽림2교-상부-1_죽림1교-상부_구조물주요자재(3공구)_x주요자재집계표" xfId="1434"/>
    <cellStyle name="_산출근거(광양)_죽림2교-상부-1_죽림1교-상부_구조물주요자재(3공구)_x주요자재집계표_01-소탄교-총괄수량집계표" xfId="1435"/>
    <cellStyle name="_산출근거(광양)_죽림2교-상부-1_죽림1교-상부_구조물주요자재(3공구)_x주요자재집계표_01-소탄교-총괄수량집계표1" xfId="1436"/>
    <cellStyle name="_산출근거(광양)_죽림2교-상부-1_죽림1교-상부_구조물주요자재(3공구)_x주요자재집계표_01-여곡2교-총괄수량집계표" xfId="1437"/>
    <cellStyle name="_산출근거(광양)_죽림2교-상부-1_죽림1교-상부_구조물주요자재(3공구)_주요자재집계표" xfId="1438"/>
    <cellStyle name="_산출근거(광양)_죽림2교-상부-1_죽림1교-상부_구조물주요자재(3공구)_주요자재집계표_01-소탄교-총괄수량집계표" xfId="1439"/>
    <cellStyle name="_산출근거(광양)_죽림2교-상부-1_죽림1교-상부_구조물주요자재(3공구)_주요자재집계표_01-소탄교-총괄수량집계표1" xfId="1440"/>
    <cellStyle name="_산출근거(광양)_죽림2교-상부-1_죽림1교-상부_구조물주요자재(3공구)_주요자재집계표_01-여곡2교-총괄수량집계표" xfId="1441"/>
    <cellStyle name="_산출근거(광양)_죽림2교-상부-1_죽림1교-상부_주요자재집계표" xfId="1442"/>
    <cellStyle name="_산출근거(광양)_죽림2교-상부-1_죽림1교-상부_주요자재집계표_01-소탄교-총괄수량집계표" xfId="1443"/>
    <cellStyle name="_산출근거(광양)_죽림2교-상부-1_죽림1교-상부_주요자재집계표_01-소탄교-총괄수량집계표1" xfId="1444"/>
    <cellStyle name="_산출근거(광양)_죽림2교-상부-1_죽림1교-상부_주요자재집계표_01-여곡2교-총괄수량집계표" xfId="1445"/>
    <cellStyle name="_산출근거(목포)" xfId="1446"/>
    <cellStyle name="_산출근거(목포)_01-소탄교-총괄수량집계표" xfId="1447"/>
    <cellStyle name="_산출근거(목포)_01-소탄교-총괄수량집계표1" xfId="1448"/>
    <cellStyle name="_산출근거(목포)_01-여곡2교-총괄수량집계표" xfId="1449"/>
    <cellStyle name="_산출근거(목포)_1.광하1교-주요자재집계표" xfId="1450"/>
    <cellStyle name="_산출근거(목포)_1.광하1교-주요자재집계표_01-소탄교-총괄수량집계표" xfId="1451"/>
    <cellStyle name="_산출근거(목포)_1.광하1교-주요자재집계표_01-소탄교-총괄수량집계표1" xfId="1452"/>
    <cellStyle name="_산출근거(목포)_1.광하1교-주요자재집계표_01-여곡2교-총괄수량집계표" xfId="1453"/>
    <cellStyle name="_산출근거(목포)_4.광석교-상부수량집계" xfId="1454"/>
    <cellStyle name="_산출근거(목포)_4.광석교-상부수량집계_01-소탄교-총괄수량집계표" xfId="1455"/>
    <cellStyle name="_산출근거(목포)_4.광석교-상부수량집계_01-소탄교-총괄수량집계표1" xfId="1456"/>
    <cellStyle name="_산출근거(목포)_4.광석교-상부수량집계_01-여곡2교-총괄수량집계표" xfId="1457"/>
    <cellStyle name="_산출근거(목포)_x주요자재집계표" xfId="1458"/>
    <cellStyle name="_산출근거(목포)_x주요자재집계표_01-소탄교-총괄수량집계표" xfId="1459"/>
    <cellStyle name="_산출근거(목포)_x주요자재집계표_01-소탄교-총괄수량집계표1" xfId="1460"/>
    <cellStyle name="_산출근거(목포)_x주요자재집계표_01-여곡2교-총괄수량집계표" xfId="1461"/>
    <cellStyle name="_산출근거(목포)_교량별총괄집계(신리5교)" xfId="1462"/>
    <cellStyle name="_산출근거(목포)_교량별총괄집계(신리5교)_01-소탄교-총괄수량집계표" xfId="1463"/>
    <cellStyle name="_산출근거(목포)_교량별총괄집계(신리5교)_01-소탄교-총괄수량집계표1" xfId="1464"/>
    <cellStyle name="_산출근거(목포)_교량별총괄집계(신리5교)_01-여곡2교-총괄수량집계표" xfId="1465"/>
    <cellStyle name="_산출근거(목포)_구조물주요자재(3공구)" xfId="1466"/>
    <cellStyle name="_산출근거(목포)_구조물주요자재(3공구)_01-소탄교-총괄수량집계표" xfId="1467"/>
    <cellStyle name="_산출근거(목포)_구조물주요자재(3공구)_01-소탄교-총괄수량집계표1" xfId="1468"/>
    <cellStyle name="_산출근거(목포)_구조물주요자재(3공구)_01-여곡2교-총괄수량집계표" xfId="1469"/>
    <cellStyle name="_산출근거(목포)_구조물주요자재(3공구)_1.광하1교-주요자재집계표" xfId="1470"/>
    <cellStyle name="_산출근거(목포)_구조물주요자재(3공구)_1.광하1교-주요자재집계표_01-소탄교-총괄수량집계표" xfId="1471"/>
    <cellStyle name="_산출근거(목포)_구조물주요자재(3공구)_1.광하1교-주요자재집계표_01-소탄교-총괄수량집계표1" xfId="1472"/>
    <cellStyle name="_산출근거(목포)_구조물주요자재(3공구)_1.광하1교-주요자재집계표_01-여곡2교-총괄수량집계표" xfId="1473"/>
    <cellStyle name="_산출근거(목포)_구조물주요자재(3공구)_4.광석교-상부수량집계" xfId="1474"/>
    <cellStyle name="_산출근거(목포)_구조물주요자재(3공구)_4.광석교-상부수량집계_01-소탄교-총괄수량집계표" xfId="1475"/>
    <cellStyle name="_산출근거(목포)_구조물주요자재(3공구)_4.광석교-상부수량집계_01-소탄교-총괄수량집계표1" xfId="1476"/>
    <cellStyle name="_산출근거(목포)_구조물주요자재(3공구)_4.광석교-상부수량집계_01-여곡2교-총괄수량집계표" xfId="1477"/>
    <cellStyle name="_산출근거(목포)_구조물주요자재(3공구)_x주요자재집계표" xfId="1478"/>
    <cellStyle name="_산출근거(목포)_구조물주요자재(3공구)_x주요자재집계표_01-소탄교-총괄수량집계표" xfId="1479"/>
    <cellStyle name="_산출근거(목포)_구조물주요자재(3공구)_x주요자재집계표_01-소탄교-총괄수량집계표1" xfId="1480"/>
    <cellStyle name="_산출근거(목포)_구조물주요자재(3공구)_x주요자재집계표_01-여곡2교-총괄수량집계표" xfId="1481"/>
    <cellStyle name="_산출근거(목포)_구조물주요자재(3공구)_주요자재집계표" xfId="1482"/>
    <cellStyle name="_산출근거(목포)_구조물주요자재(3공구)_주요자재집계표_01-소탄교-총괄수량집계표" xfId="1483"/>
    <cellStyle name="_산출근거(목포)_구조물주요자재(3공구)_주요자재집계표_01-소탄교-총괄수량집계표1" xfId="1484"/>
    <cellStyle name="_산출근거(목포)_구조물주요자재(3공구)_주요자재집계표_01-여곡2교-총괄수량집계표" xfId="1485"/>
    <cellStyle name="_산출근거(목포)_신리5교 상부" xfId="1486"/>
    <cellStyle name="_산출근거(목포)_신리5교 상부_01-소탄교-총괄수량집계표" xfId="1487"/>
    <cellStyle name="_산출근거(목포)_신리5교 상부_01-소탄교-총괄수량집계표1" xfId="1488"/>
    <cellStyle name="_산출근거(목포)_신리5교 상부_01-여곡2교-총괄수량집계표" xfId="1489"/>
    <cellStyle name="_산출근거(목포)_신리6교 상부" xfId="1490"/>
    <cellStyle name="_산출근거(목포)_신리6교 상부_01-소탄교-총괄수량집계표" xfId="1491"/>
    <cellStyle name="_산출근거(목포)_신리6교 상부_01-소탄교-총괄수량집계표1" xfId="1492"/>
    <cellStyle name="_산출근거(목포)_신리6교 상부_01-여곡2교-총괄수량집계표" xfId="1493"/>
    <cellStyle name="_산출근거(목포)_주요자재집계표" xfId="1494"/>
    <cellStyle name="_산출근거(목포)_주요자재집계표_01-소탄교-총괄수량집계표" xfId="1495"/>
    <cellStyle name="_산출근거(목포)_주요자재집계표_01-소탄교-총괄수량집계표1" xfId="1496"/>
    <cellStyle name="_산출근거(목포)_주요자재집계표_01-여곡2교-총괄수량집계표" xfId="1497"/>
    <cellStyle name="_산출근거(목포)_죽림1교-상부" xfId="1498"/>
    <cellStyle name="_산출근거(목포)_죽림1교-상부_01-소탄교-총괄수량집계표" xfId="1499"/>
    <cellStyle name="_산출근거(목포)_죽림1교-상부_01-소탄교-총괄수량집계표1" xfId="1500"/>
    <cellStyle name="_산출근거(목포)_죽림1교-상부_01-여곡2교-총괄수량집계표" xfId="1501"/>
    <cellStyle name="_산출근거(목포)_죽림1교-상부_1.광하1교-주요자재집계표" xfId="1502"/>
    <cellStyle name="_산출근거(목포)_죽림1교-상부_1.광하1교-주요자재집계표_01-소탄교-총괄수량집계표" xfId="1503"/>
    <cellStyle name="_산출근거(목포)_죽림1교-상부_1.광하1교-주요자재집계표_01-소탄교-총괄수량집계표1" xfId="1504"/>
    <cellStyle name="_산출근거(목포)_죽림1교-상부_1.광하1교-주요자재집계표_01-여곡2교-총괄수량집계표" xfId="1505"/>
    <cellStyle name="_산출근거(목포)_죽림1교-상부_4.광석교-상부수량집계" xfId="1506"/>
    <cellStyle name="_산출근거(목포)_죽림1교-상부_4.광석교-상부수량집계_01-소탄교-총괄수량집계표" xfId="1507"/>
    <cellStyle name="_산출근거(목포)_죽림1교-상부_4.광석교-상부수량집계_01-소탄교-총괄수량집계표1" xfId="1508"/>
    <cellStyle name="_산출근거(목포)_죽림1교-상부_4.광석교-상부수량집계_01-여곡2교-총괄수량집계표" xfId="1509"/>
    <cellStyle name="_산출근거(목포)_죽림1교-상부_x주요자재집계표" xfId="1510"/>
    <cellStyle name="_산출근거(목포)_죽림1교-상부_x주요자재집계표_01-소탄교-총괄수량집계표" xfId="1511"/>
    <cellStyle name="_산출근거(목포)_죽림1교-상부_x주요자재집계표_01-소탄교-총괄수량집계표1" xfId="1512"/>
    <cellStyle name="_산출근거(목포)_죽림1교-상부_x주요자재집계표_01-여곡2교-총괄수량집계표" xfId="1513"/>
    <cellStyle name="_산출근거(목포)_죽림1교-상부_구조물주요자재(3공구)" xfId="1514"/>
    <cellStyle name="_산출근거(목포)_죽림1교-상부_구조물주요자재(3공구)_01-소탄교-총괄수량집계표" xfId="1515"/>
    <cellStyle name="_산출근거(목포)_죽림1교-상부_구조물주요자재(3공구)_01-소탄교-총괄수량집계표1" xfId="1516"/>
    <cellStyle name="_산출근거(목포)_죽림1교-상부_구조물주요자재(3공구)_01-여곡2교-총괄수량집계표" xfId="1517"/>
    <cellStyle name="_산출근거(목포)_죽림1교-상부_구조물주요자재(3공구)_1.광하1교-주요자재집계표" xfId="1518"/>
    <cellStyle name="_산출근거(목포)_죽림1교-상부_구조물주요자재(3공구)_1.광하1교-주요자재집계표_01-소탄교-총괄수량집계표" xfId="1519"/>
    <cellStyle name="_산출근거(목포)_죽림1교-상부_구조물주요자재(3공구)_1.광하1교-주요자재집계표_01-소탄교-총괄수량집계표1" xfId="1520"/>
    <cellStyle name="_산출근거(목포)_죽림1교-상부_구조물주요자재(3공구)_1.광하1교-주요자재집계표_01-여곡2교-총괄수량집계표" xfId="1521"/>
    <cellStyle name="_산출근거(목포)_죽림1교-상부_구조물주요자재(3공구)_4.광석교-상부수량집계" xfId="1522"/>
    <cellStyle name="_산출근거(목포)_죽림1교-상부_구조물주요자재(3공구)_4.광석교-상부수량집계_01-소탄교-총괄수량집계표" xfId="1523"/>
    <cellStyle name="_산출근거(목포)_죽림1교-상부_구조물주요자재(3공구)_4.광석교-상부수량집계_01-소탄교-총괄수량집계표1" xfId="1524"/>
    <cellStyle name="_산출근거(목포)_죽림1교-상부_구조물주요자재(3공구)_4.광석교-상부수량집계_01-여곡2교-총괄수량집계표" xfId="1525"/>
    <cellStyle name="_산출근거(목포)_죽림1교-상부_구조물주요자재(3공구)_x주요자재집계표" xfId="1526"/>
    <cellStyle name="_산출근거(목포)_죽림1교-상부_구조물주요자재(3공구)_x주요자재집계표_01-소탄교-총괄수량집계표" xfId="1527"/>
    <cellStyle name="_산출근거(목포)_죽림1교-상부_구조물주요자재(3공구)_x주요자재집계표_01-소탄교-총괄수량집계표1" xfId="1528"/>
    <cellStyle name="_산출근거(목포)_죽림1교-상부_구조물주요자재(3공구)_x주요자재집계표_01-여곡2교-총괄수량집계표" xfId="1529"/>
    <cellStyle name="_산출근거(목포)_죽림1교-상부_구조물주요자재(3공구)_주요자재집계표" xfId="1530"/>
    <cellStyle name="_산출근거(목포)_죽림1교-상부_구조물주요자재(3공구)_주요자재집계표_01-소탄교-총괄수량집계표" xfId="1531"/>
    <cellStyle name="_산출근거(목포)_죽림1교-상부_구조물주요자재(3공구)_주요자재집계표_01-소탄교-총괄수량집계표1" xfId="1532"/>
    <cellStyle name="_산출근거(목포)_죽림1교-상부_구조물주요자재(3공구)_주요자재집계표_01-여곡2교-총괄수량집계표" xfId="1533"/>
    <cellStyle name="_산출근거(목포)_죽림1교-상부_주요자재집계표" xfId="1534"/>
    <cellStyle name="_산출근거(목포)_죽림1교-상부_주요자재집계표_01-소탄교-총괄수량집계표" xfId="1535"/>
    <cellStyle name="_산출근거(목포)_죽림1교-상부_주요자재집계표_01-소탄교-총괄수량집계표1" xfId="1536"/>
    <cellStyle name="_산출근거(목포)_죽림1교-상부_주요자재집계표_01-여곡2교-총괄수량집계표" xfId="1537"/>
    <cellStyle name="_산출근거(목포)_죽림2교-상부" xfId="1538"/>
    <cellStyle name="_산출근거(목포)_죽림2교-상부_01-소탄교-총괄수량집계표" xfId="1539"/>
    <cellStyle name="_산출근거(목포)_죽림2교-상부_01-소탄교-총괄수량집계표1" xfId="1540"/>
    <cellStyle name="_산출근거(목포)_죽림2교-상부_01-여곡2교-총괄수량집계표" xfId="1541"/>
    <cellStyle name="_산출근거(목포)_죽림2교-상부_1.광하1교-주요자재집계표" xfId="1542"/>
    <cellStyle name="_산출근거(목포)_죽림2교-상부_1.광하1교-주요자재집계표_01-소탄교-총괄수량집계표" xfId="1543"/>
    <cellStyle name="_산출근거(목포)_죽림2교-상부_1.광하1교-주요자재집계표_01-소탄교-총괄수량집계표1" xfId="1544"/>
    <cellStyle name="_산출근거(목포)_죽림2교-상부_1.광하1교-주요자재집계표_01-여곡2교-총괄수량집계표" xfId="1545"/>
    <cellStyle name="_산출근거(목포)_죽림2교-상부_4.광석교-상부수량집계" xfId="1546"/>
    <cellStyle name="_산출근거(목포)_죽림2교-상부_4.광석교-상부수량집계_01-소탄교-총괄수량집계표" xfId="1547"/>
    <cellStyle name="_산출근거(목포)_죽림2교-상부_4.광석교-상부수량집계_01-소탄교-총괄수량집계표1" xfId="1548"/>
    <cellStyle name="_산출근거(목포)_죽림2교-상부_4.광석교-상부수량집계_01-여곡2교-총괄수량집계표" xfId="1549"/>
    <cellStyle name="_산출근거(목포)_죽림2교-상부_x주요자재집계표" xfId="1550"/>
    <cellStyle name="_산출근거(목포)_죽림2교-상부_x주요자재집계표_01-소탄교-총괄수량집계표" xfId="1551"/>
    <cellStyle name="_산출근거(목포)_죽림2교-상부_x주요자재집계표_01-소탄교-총괄수량집계표1" xfId="1552"/>
    <cellStyle name="_산출근거(목포)_죽림2교-상부_x주요자재집계표_01-여곡2교-총괄수량집계표" xfId="1553"/>
    <cellStyle name="_산출근거(목포)_죽림2교-상부_구조물주요자재(3공구)" xfId="1554"/>
    <cellStyle name="_산출근거(목포)_죽림2교-상부_구조물주요자재(3공구)_01-소탄교-총괄수량집계표" xfId="1555"/>
    <cellStyle name="_산출근거(목포)_죽림2교-상부_구조물주요자재(3공구)_01-소탄교-총괄수량집계표1" xfId="1556"/>
    <cellStyle name="_산출근거(목포)_죽림2교-상부_구조물주요자재(3공구)_01-여곡2교-총괄수량집계표" xfId="1557"/>
    <cellStyle name="_산출근거(목포)_죽림2교-상부_구조물주요자재(3공구)_1.광하1교-주요자재집계표" xfId="1558"/>
    <cellStyle name="_산출근거(목포)_죽림2교-상부_구조물주요자재(3공구)_1.광하1교-주요자재집계표_01-소탄교-총괄수량집계표" xfId="1559"/>
    <cellStyle name="_산출근거(목포)_죽림2교-상부_구조물주요자재(3공구)_1.광하1교-주요자재집계표_01-소탄교-총괄수량집계표1" xfId="1560"/>
    <cellStyle name="_산출근거(목포)_죽림2교-상부_구조물주요자재(3공구)_1.광하1교-주요자재집계표_01-여곡2교-총괄수량집계표" xfId="1561"/>
    <cellStyle name="_산출근거(목포)_죽림2교-상부_구조물주요자재(3공구)_4.광석교-상부수량집계" xfId="1562"/>
    <cellStyle name="_산출근거(목포)_죽림2교-상부_구조물주요자재(3공구)_4.광석교-상부수량집계_01-소탄교-총괄수량집계표" xfId="1563"/>
    <cellStyle name="_산출근거(목포)_죽림2교-상부_구조물주요자재(3공구)_4.광석교-상부수량집계_01-소탄교-총괄수량집계표1" xfId="1564"/>
    <cellStyle name="_산출근거(목포)_죽림2교-상부_구조물주요자재(3공구)_4.광석교-상부수량집계_01-여곡2교-총괄수량집계표" xfId="1565"/>
    <cellStyle name="_산출근거(목포)_죽림2교-상부_구조물주요자재(3공구)_x주요자재집계표" xfId="1566"/>
    <cellStyle name="_산출근거(목포)_죽림2교-상부_구조물주요자재(3공구)_x주요자재집계표_01-소탄교-총괄수량집계표" xfId="1567"/>
    <cellStyle name="_산출근거(목포)_죽림2교-상부_구조물주요자재(3공구)_x주요자재집계표_01-소탄교-총괄수량집계표1" xfId="1568"/>
    <cellStyle name="_산출근거(목포)_죽림2교-상부_구조물주요자재(3공구)_x주요자재집계표_01-여곡2교-총괄수량집계표" xfId="1569"/>
    <cellStyle name="_산출근거(목포)_죽림2교-상부_구조물주요자재(3공구)_주요자재집계표" xfId="1570"/>
    <cellStyle name="_산출근거(목포)_죽림2교-상부_구조물주요자재(3공구)_주요자재집계표_01-소탄교-총괄수량집계표" xfId="1571"/>
    <cellStyle name="_산출근거(목포)_죽림2교-상부_구조물주요자재(3공구)_주요자재집계표_01-소탄교-총괄수량집계표1" xfId="1572"/>
    <cellStyle name="_산출근거(목포)_죽림2교-상부_구조물주요자재(3공구)_주요자재집계표_01-여곡2교-총괄수량집계표" xfId="1573"/>
    <cellStyle name="_산출근거(목포)_죽림2교-상부_주요자재집계표" xfId="1574"/>
    <cellStyle name="_산출근거(목포)_죽림2교-상부_주요자재집계표_01-소탄교-총괄수량집계표" xfId="1575"/>
    <cellStyle name="_산출근거(목포)_죽림2교-상부_주요자재집계표_01-소탄교-총괄수량집계표1" xfId="1576"/>
    <cellStyle name="_산출근거(목포)_죽림2교-상부_주요자재집계표_01-여곡2교-총괄수량집계표" xfId="1577"/>
    <cellStyle name="_산출근거(목포)_죽림2교-상부_죽림1교-상부" xfId="1578"/>
    <cellStyle name="_산출근거(목포)_죽림2교-상부_죽림1교-상부_01-소탄교-총괄수량집계표" xfId="1579"/>
    <cellStyle name="_산출근거(목포)_죽림2교-상부_죽림1교-상부_01-소탄교-총괄수량집계표1" xfId="1580"/>
    <cellStyle name="_산출근거(목포)_죽림2교-상부_죽림1교-상부_01-여곡2교-총괄수량집계표" xfId="1581"/>
    <cellStyle name="_산출근거(목포)_죽림2교-상부_죽림1교-상부_1.광하1교-주요자재집계표" xfId="1582"/>
    <cellStyle name="_산출근거(목포)_죽림2교-상부_죽림1교-상부_1.광하1교-주요자재집계표_01-소탄교-총괄수량집계표" xfId="1583"/>
    <cellStyle name="_산출근거(목포)_죽림2교-상부_죽림1교-상부_1.광하1교-주요자재집계표_01-소탄교-총괄수량집계표1" xfId="1584"/>
    <cellStyle name="_산출근거(목포)_죽림2교-상부_죽림1교-상부_1.광하1교-주요자재집계표_01-여곡2교-총괄수량집계표" xfId="1585"/>
    <cellStyle name="_산출근거(목포)_죽림2교-상부_죽림1교-상부_4.광석교-상부수량집계" xfId="1586"/>
    <cellStyle name="_산출근거(목포)_죽림2교-상부_죽림1교-상부_4.광석교-상부수량집계_01-소탄교-총괄수량집계표" xfId="1587"/>
    <cellStyle name="_산출근거(목포)_죽림2교-상부_죽림1교-상부_4.광석교-상부수량집계_01-소탄교-총괄수량집계표1" xfId="1588"/>
    <cellStyle name="_산출근거(목포)_죽림2교-상부_죽림1교-상부_4.광석교-상부수량집계_01-여곡2교-총괄수량집계표" xfId="1589"/>
    <cellStyle name="_산출근거(목포)_죽림2교-상부_죽림1교-상부_x주요자재집계표" xfId="1590"/>
    <cellStyle name="_산출근거(목포)_죽림2교-상부_죽림1교-상부_x주요자재집계표_01-소탄교-총괄수량집계표" xfId="1591"/>
    <cellStyle name="_산출근거(목포)_죽림2교-상부_죽림1교-상부_x주요자재집계표_01-소탄교-총괄수량집계표1" xfId="1592"/>
    <cellStyle name="_산출근거(목포)_죽림2교-상부_죽림1교-상부_x주요자재집계표_01-여곡2교-총괄수량집계표" xfId="1593"/>
    <cellStyle name="_산출근거(목포)_죽림2교-상부_죽림1교-상부_구조물주요자재(3공구)" xfId="1594"/>
    <cellStyle name="_산출근거(목포)_죽림2교-상부_죽림1교-상부_구조물주요자재(3공구)_01-소탄교-총괄수량집계표" xfId="1595"/>
    <cellStyle name="_산출근거(목포)_죽림2교-상부_죽림1교-상부_구조물주요자재(3공구)_01-소탄교-총괄수량집계표1" xfId="1596"/>
    <cellStyle name="_산출근거(목포)_죽림2교-상부_죽림1교-상부_구조물주요자재(3공구)_01-여곡2교-총괄수량집계표" xfId="1597"/>
    <cellStyle name="_산출근거(목포)_죽림2교-상부_죽림1교-상부_구조물주요자재(3공구)_1.광하1교-주요자재집계표" xfId="1598"/>
    <cellStyle name="_산출근거(목포)_죽림2교-상부_죽림1교-상부_구조물주요자재(3공구)_1.광하1교-주요자재집계표_01-소탄교-총괄수량집계표" xfId="1599"/>
    <cellStyle name="_산출근거(목포)_죽림2교-상부_죽림1교-상부_구조물주요자재(3공구)_1.광하1교-주요자재집계표_01-소탄교-총괄수량집계표1" xfId="1600"/>
    <cellStyle name="_산출근거(목포)_죽림2교-상부_죽림1교-상부_구조물주요자재(3공구)_1.광하1교-주요자재집계표_01-여곡2교-총괄수량집계표" xfId="1601"/>
    <cellStyle name="_산출근거(목포)_죽림2교-상부_죽림1교-상부_구조물주요자재(3공구)_4.광석교-상부수량집계" xfId="1602"/>
    <cellStyle name="_산출근거(목포)_죽림2교-상부_죽림1교-상부_구조물주요자재(3공구)_4.광석교-상부수량집계_01-소탄교-총괄수량집계표" xfId="1603"/>
    <cellStyle name="_산출근거(목포)_죽림2교-상부_죽림1교-상부_구조물주요자재(3공구)_4.광석교-상부수량집계_01-소탄교-총괄수량집계표1" xfId="1604"/>
    <cellStyle name="_산출근거(목포)_죽림2교-상부_죽림1교-상부_구조물주요자재(3공구)_4.광석교-상부수량집계_01-여곡2교-총괄수량집계표" xfId="1605"/>
    <cellStyle name="_산출근거(목포)_죽림2교-상부_죽림1교-상부_구조물주요자재(3공구)_x주요자재집계표" xfId="1606"/>
    <cellStyle name="_산출근거(목포)_죽림2교-상부_죽림1교-상부_구조물주요자재(3공구)_x주요자재집계표_01-소탄교-총괄수량집계표" xfId="1607"/>
    <cellStyle name="_산출근거(목포)_죽림2교-상부_죽림1교-상부_구조물주요자재(3공구)_x주요자재집계표_01-소탄교-총괄수량집계표1" xfId="1608"/>
    <cellStyle name="_산출근거(목포)_죽림2교-상부_죽림1교-상부_구조물주요자재(3공구)_x주요자재집계표_01-여곡2교-총괄수량집계표" xfId="1609"/>
    <cellStyle name="_산출근거(목포)_죽림2교-상부_죽림1교-상부_구조물주요자재(3공구)_주요자재집계표" xfId="1610"/>
    <cellStyle name="_산출근거(목포)_죽림2교-상부_죽림1교-상부_구조물주요자재(3공구)_주요자재집계표_01-소탄교-총괄수량집계표" xfId="1611"/>
    <cellStyle name="_산출근거(목포)_죽림2교-상부_죽림1교-상부_구조물주요자재(3공구)_주요자재집계표_01-소탄교-총괄수량집계표1" xfId="1612"/>
    <cellStyle name="_산출근거(목포)_죽림2교-상부_죽림1교-상부_구조물주요자재(3공구)_주요자재집계표_01-여곡2교-총괄수량집계표" xfId="1613"/>
    <cellStyle name="_산출근거(목포)_죽림2교-상부_죽림1교-상부_주요자재집계표" xfId="1614"/>
    <cellStyle name="_산출근거(목포)_죽림2교-상부_죽림1교-상부_주요자재집계표_01-소탄교-총괄수량집계표" xfId="1615"/>
    <cellStyle name="_산출근거(목포)_죽림2교-상부_죽림1교-상부_주요자재집계표_01-소탄교-총괄수량집계표1" xfId="1616"/>
    <cellStyle name="_산출근거(목포)_죽림2교-상부_죽림1교-상부_주요자재집계표_01-여곡2교-총괄수량집계표" xfId="1617"/>
    <cellStyle name="_산출근거(목포)_죽림2교-상부-1" xfId="1618"/>
    <cellStyle name="_산출근거(목포)_죽림2교-상부-1_01-소탄교-총괄수량집계표" xfId="1619"/>
    <cellStyle name="_산출근거(목포)_죽림2교-상부-1_01-소탄교-총괄수량집계표1" xfId="1620"/>
    <cellStyle name="_산출근거(목포)_죽림2교-상부-1_01-여곡2교-총괄수량집계표" xfId="1621"/>
    <cellStyle name="_산출근거(목포)_죽림2교-상부-1_1.광하1교-주요자재집계표" xfId="1622"/>
    <cellStyle name="_산출근거(목포)_죽림2교-상부-1_1.광하1교-주요자재집계표_01-소탄교-총괄수량집계표" xfId="1623"/>
    <cellStyle name="_산출근거(목포)_죽림2교-상부-1_1.광하1교-주요자재집계표_01-소탄교-총괄수량집계표1" xfId="1624"/>
    <cellStyle name="_산출근거(목포)_죽림2교-상부-1_1.광하1교-주요자재집계표_01-여곡2교-총괄수량집계표" xfId="1625"/>
    <cellStyle name="_산출근거(목포)_죽림2교-상부-1_4.광석교-상부수량집계" xfId="1626"/>
    <cellStyle name="_산출근거(목포)_죽림2교-상부-1_4.광석교-상부수량집계_01-소탄교-총괄수량집계표" xfId="1627"/>
    <cellStyle name="_산출근거(목포)_죽림2교-상부-1_4.광석교-상부수량집계_01-소탄교-총괄수량집계표1" xfId="1628"/>
    <cellStyle name="_산출근거(목포)_죽림2교-상부-1_4.광석교-상부수량집계_01-여곡2교-총괄수량집계표" xfId="1629"/>
    <cellStyle name="_산출근거(목포)_죽림2교-상부-1_x주요자재집계표" xfId="1630"/>
    <cellStyle name="_산출근거(목포)_죽림2교-상부-1_x주요자재집계표_01-소탄교-총괄수량집계표" xfId="1631"/>
    <cellStyle name="_산출근거(목포)_죽림2교-상부-1_x주요자재집계표_01-소탄교-총괄수량집계표1" xfId="1632"/>
    <cellStyle name="_산출근거(목포)_죽림2교-상부-1_x주요자재집계표_01-여곡2교-총괄수량집계표" xfId="1633"/>
    <cellStyle name="_산출근거(목포)_죽림2교-상부-1_구조물주요자재(3공구)" xfId="1634"/>
    <cellStyle name="_산출근거(목포)_죽림2교-상부-1_구조물주요자재(3공구)_01-소탄교-총괄수량집계표" xfId="1635"/>
    <cellStyle name="_산출근거(목포)_죽림2교-상부-1_구조물주요자재(3공구)_01-소탄교-총괄수량집계표1" xfId="1636"/>
    <cellStyle name="_산출근거(목포)_죽림2교-상부-1_구조물주요자재(3공구)_01-여곡2교-총괄수량집계표" xfId="1637"/>
    <cellStyle name="_산출근거(목포)_죽림2교-상부-1_구조물주요자재(3공구)_1.광하1교-주요자재집계표" xfId="1638"/>
    <cellStyle name="_산출근거(목포)_죽림2교-상부-1_구조물주요자재(3공구)_1.광하1교-주요자재집계표_01-소탄교-총괄수량집계표" xfId="1639"/>
    <cellStyle name="_산출근거(목포)_죽림2교-상부-1_구조물주요자재(3공구)_1.광하1교-주요자재집계표_01-소탄교-총괄수량집계표1" xfId="1640"/>
    <cellStyle name="_산출근거(목포)_죽림2교-상부-1_구조물주요자재(3공구)_1.광하1교-주요자재집계표_01-여곡2교-총괄수량집계표" xfId="1641"/>
    <cellStyle name="_산출근거(목포)_죽림2교-상부-1_구조물주요자재(3공구)_4.광석교-상부수량집계" xfId="1642"/>
    <cellStyle name="_산출근거(목포)_죽림2교-상부-1_구조물주요자재(3공구)_4.광석교-상부수량집계_01-소탄교-총괄수량집계표" xfId="1643"/>
    <cellStyle name="_산출근거(목포)_죽림2교-상부-1_구조물주요자재(3공구)_4.광석교-상부수량집계_01-소탄교-총괄수량집계표1" xfId="1644"/>
    <cellStyle name="_산출근거(목포)_죽림2교-상부-1_구조물주요자재(3공구)_4.광석교-상부수량집계_01-여곡2교-총괄수량집계표" xfId="1645"/>
    <cellStyle name="_산출근거(목포)_죽림2교-상부-1_구조물주요자재(3공구)_x주요자재집계표" xfId="1646"/>
    <cellStyle name="_산출근거(목포)_죽림2교-상부-1_구조물주요자재(3공구)_x주요자재집계표_01-소탄교-총괄수량집계표" xfId="1647"/>
    <cellStyle name="_산출근거(목포)_죽림2교-상부-1_구조물주요자재(3공구)_x주요자재집계표_01-소탄교-총괄수량집계표1" xfId="1648"/>
    <cellStyle name="_산출근거(목포)_죽림2교-상부-1_구조물주요자재(3공구)_x주요자재집계표_01-여곡2교-총괄수량집계표" xfId="1649"/>
    <cellStyle name="_산출근거(목포)_죽림2교-상부-1_구조물주요자재(3공구)_주요자재집계표" xfId="1650"/>
    <cellStyle name="_산출근거(목포)_죽림2교-상부-1_구조물주요자재(3공구)_주요자재집계표_01-소탄교-총괄수량집계표" xfId="1651"/>
    <cellStyle name="_산출근거(목포)_죽림2교-상부-1_구조물주요자재(3공구)_주요자재집계표_01-소탄교-총괄수량집계표1" xfId="1652"/>
    <cellStyle name="_산출근거(목포)_죽림2교-상부-1_구조물주요자재(3공구)_주요자재집계표_01-여곡2교-총괄수량집계표" xfId="1653"/>
    <cellStyle name="_산출근거(목포)_죽림2교-상부-1_주요자재집계표" xfId="1654"/>
    <cellStyle name="_산출근거(목포)_죽림2교-상부-1_주요자재집계표_01-소탄교-총괄수량집계표" xfId="1655"/>
    <cellStyle name="_산출근거(목포)_죽림2교-상부-1_주요자재집계표_01-소탄교-총괄수량집계표1" xfId="1656"/>
    <cellStyle name="_산출근거(목포)_죽림2교-상부-1_주요자재집계표_01-여곡2교-총괄수량집계표" xfId="1657"/>
    <cellStyle name="_산출근거(목포)_죽림2교-상부-1_죽림1교-상부" xfId="1658"/>
    <cellStyle name="_산출근거(목포)_죽림2교-상부-1_죽림1교-상부_01-소탄교-총괄수량집계표" xfId="1659"/>
    <cellStyle name="_산출근거(목포)_죽림2교-상부-1_죽림1교-상부_01-소탄교-총괄수량집계표1" xfId="1660"/>
    <cellStyle name="_산출근거(목포)_죽림2교-상부-1_죽림1교-상부_01-여곡2교-총괄수량집계표" xfId="1661"/>
    <cellStyle name="_산출근거(목포)_죽림2교-상부-1_죽림1교-상부_1.광하1교-주요자재집계표" xfId="1662"/>
    <cellStyle name="_산출근거(목포)_죽림2교-상부-1_죽림1교-상부_1.광하1교-주요자재집계표_01-소탄교-총괄수량집계표" xfId="1663"/>
    <cellStyle name="_산출근거(목포)_죽림2교-상부-1_죽림1교-상부_1.광하1교-주요자재집계표_01-소탄교-총괄수량집계표1" xfId="1664"/>
    <cellStyle name="_산출근거(목포)_죽림2교-상부-1_죽림1교-상부_1.광하1교-주요자재집계표_01-여곡2교-총괄수량집계표" xfId="1665"/>
    <cellStyle name="_산출근거(목포)_죽림2교-상부-1_죽림1교-상부_4.광석교-상부수량집계" xfId="1666"/>
    <cellStyle name="_산출근거(목포)_죽림2교-상부-1_죽림1교-상부_4.광석교-상부수량집계_01-소탄교-총괄수량집계표" xfId="1667"/>
    <cellStyle name="_산출근거(목포)_죽림2교-상부-1_죽림1교-상부_4.광석교-상부수량집계_01-소탄교-총괄수량집계표1" xfId="1668"/>
    <cellStyle name="_산출근거(목포)_죽림2교-상부-1_죽림1교-상부_4.광석교-상부수량집계_01-여곡2교-총괄수량집계표" xfId="1669"/>
    <cellStyle name="_산출근거(목포)_죽림2교-상부-1_죽림1교-상부_x주요자재집계표" xfId="1670"/>
    <cellStyle name="_산출근거(목포)_죽림2교-상부-1_죽림1교-상부_x주요자재집계표_01-소탄교-총괄수량집계표" xfId="1671"/>
    <cellStyle name="_산출근거(목포)_죽림2교-상부-1_죽림1교-상부_x주요자재집계표_01-소탄교-총괄수량집계표1" xfId="1672"/>
    <cellStyle name="_산출근거(목포)_죽림2교-상부-1_죽림1교-상부_x주요자재집계표_01-여곡2교-총괄수량집계표" xfId="1673"/>
    <cellStyle name="_산출근거(목포)_죽림2교-상부-1_죽림1교-상부_구조물주요자재(3공구)" xfId="1674"/>
    <cellStyle name="_산출근거(목포)_죽림2교-상부-1_죽림1교-상부_구조물주요자재(3공구)_01-소탄교-총괄수량집계표" xfId="1675"/>
    <cellStyle name="_산출근거(목포)_죽림2교-상부-1_죽림1교-상부_구조물주요자재(3공구)_01-소탄교-총괄수량집계표1" xfId="1676"/>
    <cellStyle name="_산출근거(목포)_죽림2교-상부-1_죽림1교-상부_구조물주요자재(3공구)_01-여곡2교-총괄수량집계표" xfId="1677"/>
    <cellStyle name="_산출근거(목포)_죽림2교-상부-1_죽림1교-상부_구조물주요자재(3공구)_1.광하1교-주요자재집계표" xfId="1678"/>
    <cellStyle name="_산출근거(목포)_죽림2교-상부-1_죽림1교-상부_구조물주요자재(3공구)_1.광하1교-주요자재집계표_01-소탄교-총괄수량집계표" xfId="1679"/>
    <cellStyle name="_산출근거(목포)_죽림2교-상부-1_죽림1교-상부_구조물주요자재(3공구)_1.광하1교-주요자재집계표_01-소탄교-총괄수량집계표1" xfId="1680"/>
    <cellStyle name="_산출근거(목포)_죽림2교-상부-1_죽림1교-상부_구조물주요자재(3공구)_1.광하1교-주요자재집계표_01-여곡2교-총괄수량집계표" xfId="1681"/>
    <cellStyle name="_산출근거(목포)_죽림2교-상부-1_죽림1교-상부_구조물주요자재(3공구)_4.광석교-상부수량집계" xfId="1682"/>
    <cellStyle name="_산출근거(목포)_죽림2교-상부-1_죽림1교-상부_구조물주요자재(3공구)_4.광석교-상부수량집계_01-소탄교-총괄수량집계표" xfId="1683"/>
    <cellStyle name="_산출근거(목포)_죽림2교-상부-1_죽림1교-상부_구조물주요자재(3공구)_4.광석교-상부수량집계_01-소탄교-총괄수량집계표1" xfId="1684"/>
    <cellStyle name="_산출근거(목포)_죽림2교-상부-1_죽림1교-상부_구조물주요자재(3공구)_4.광석교-상부수량집계_01-여곡2교-총괄수량집계표" xfId="1685"/>
    <cellStyle name="_산출근거(목포)_죽림2교-상부-1_죽림1교-상부_구조물주요자재(3공구)_x주요자재집계표" xfId="1686"/>
    <cellStyle name="_산출근거(목포)_죽림2교-상부-1_죽림1교-상부_구조물주요자재(3공구)_x주요자재집계표_01-소탄교-총괄수량집계표" xfId="1687"/>
    <cellStyle name="_산출근거(목포)_죽림2교-상부-1_죽림1교-상부_구조물주요자재(3공구)_x주요자재집계표_01-소탄교-총괄수량집계표1" xfId="1688"/>
    <cellStyle name="_산출근거(목포)_죽림2교-상부-1_죽림1교-상부_구조물주요자재(3공구)_x주요자재집계표_01-여곡2교-총괄수량집계표" xfId="1689"/>
    <cellStyle name="_산출근거(목포)_죽림2교-상부-1_죽림1교-상부_구조물주요자재(3공구)_주요자재집계표" xfId="1690"/>
    <cellStyle name="_산출근거(목포)_죽림2교-상부-1_죽림1교-상부_구조물주요자재(3공구)_주요자재집계표_01-소탄교-총괄수량집계표" xfId="1691"/>
    <cellStyle name="_산출근거(목포)_죽림2교-상부-1_죽림1교-상부_구조물주요자재(3공구)_주요자재집계표_01-소탄교-총괄수량집계표1" xfId="1692"/>
    <cellStyle name="_산출근거(목포)_죽림2교-상부-1_죽림1교-상부_구조물주요자재(3공구)_주요자재집계표_01-여곡2교-총괄수량집계표" xfId="1693"/>
    <cellStyle name="_산출근거(목포)_죽림2교-상부-1_죽림1교-상부_주요자재집계표" xfId="1694"/>
    <cellStyle name="_산출근거(목포)_죽림2교-상부-1_죽림1교-상부_주요자재집계표_01-소탄교-총괄수량집계표" xfId="1695"/>
    <cellStyle name="_산출근거(목포)_죽림2교-상부-1_죽림1교-상부_주요자재집계표_01-소탄교-총괄수량집계표1" xfId="1696"/>
    <cellStyle name="_산출근거(목포)_죽림2교-상부-1_죽림1교-상부_주요자재집계표_01-여곡2교-총괄수량집계표" xfId="1697"/>
    <cellStyle name="_삼성(구조물공)" xfId="1698"/>
    <cellStyle name="_삼성(구조물공)_04-선릉(구조물공)" xfId="1699"/>
    <cellStyle name="_삼성(구조물공)_온직교(구조물공)-1" xfId="1700"/>
    <cellStyle name="_삼성(구조물공)_외부ES#8 " xfId="1701"/>
    <cellStyle name="_삼성(구조물공)_용두교(구조물공)" xfId="1702"/>
    <cellStyle name="_상방부력" xfId="1703"/>
    <cellStyle name="_상방부력_05U(5823)" xfId="1704"/>
    <cellStyle name="_상방부력_U-12" xfId="1705"/>
    <cellStyle name="_상방부력_U-13" xfId="1706"/>
    <cellStyle name="_상방부력_U-14" xfId="1707"/>
    <cellStyle name="_상방부력_U-14-1" xfId="1708"/>
    <cellStyle name="_상부철근집계" xfId="1709"/>
    <cellStyle name="_상월1교상부" xfId="1710"/>
    <cellStyle name="_상월1교상부_상월1교상부" xfId="1711"/>
    <cellStyle name="_상월1교상부_상월1교상부_일식단가공" xfId="1712"/>
    <cellStyle name="_상월1교상부_상월1교상부_자재(지하도로)" xfId="1713"/>
    <cellStyle name="_상월1교상부_상월1교상부_자재집계표" xfId="1714"/>
    <cellStyle name="_상월1교상부_상월1교상부_주요자재집계표" xfId="1715"/>
    <cellStyle name="_상월1교상부_상월2교상부" xfId="1716"/>
    <cellStyle name="_상월1교상부_상월2교상부_일식단가공" xfId="1717"/>
    <cellStyle name="_상월1교상부_상월2교상부_자재(지하도로)" xfId="1718"/>
    <cellStyle name="_상월1교상부_상월2교상부_자재집계표" xfId="1719"/>
    <cellStyle name="_상월1교상부_상월2교상부_주요자재집계표" xfId="1720"/>
    <cellStyle name="_상월1교상부_상월천교상부" xfId="1721"/>
    <cellStyle name="_상월1교상부_상월천교상부_일식단가공" xfId="1722"/>
    <cellStyle name="_상월1교상부_상월천교상부_자재(지하도로)" xfId="1723"/>
    <cellStyle name="_상월1교상부_상월천교상부_자재집계표" xfId="1724"/>
    <cellStyle name="_상월1교상부_상월천교상부_주요자재집계표" xfId="1725"/>
    <cellStyle name="_상월1교상부_일식단가공" xfId="1726"/>
    <cellStyle name="_상월1교상부_자재(지하도로)" xfId="1727"/>
    <cellStyle name="_상월1교상부_자재집계표" xfId="1728"/>
    <cellStyle name="_상월1교상부_주요자재집계표" xfId="1729"/>
    <cellStyle name="_석축공" xfId="1730"/>
    <cellStyle name="_선릉(구조물공)" xfId="1731"/>
    <cellStyle name="_선릉(구조물공)_04-선릉(구조물공)" xfId="1732"/>
    <cellStyle name="_선릉(구조물공)_온직교(구조물공)-1" xfId="1733"/>
    <cellStyle name="_선릉(구조물공)_외부ES#8 " xfId="1734"/>
    <cellStyle name="_선릉(구조물공)_용두교(구조물공)" xfId="1735"/>
    <cellStyle name="_수로box1.5x1.0" xfId="1736"/>
    <cellStyle name="_수백교상부" xfId="1737"/>
    <cellStyle name="_신리1교-상부" xfId="1738"/>
    <cellStyle name="_신리1교-상부_01-소탄교-총괄수량집계표" xfId="1739"/>
    <cellStyle name="_신리1교-상부_01-소탄교-총괄수량집계표1" xfId="1740"/>
    <cellStyle name="_신리1교-상부_01-여곡2교-총괄수량집계표" xfId="1741"/>
    <cellStyle name="_신리1교-상부_1.광하1교-주요자재집계표" xfId="1742"/>
    <cellStyle name="_신리1교-상부_1.광하1교-주요자재집계표_01-소탄교-총괄수량집계표" xfId="1743"/>
    <cellStyle name="_신리1교-상부_1.광하1교-주요자재집계표_01-소탄교-총괄수량집계표1" xfId="1744"/>
    <cellStyle name="_신리1교-상부_1.광하1교-주요자재집계표_01-여곡2교-총괄수량집계표" xfId="1745"/>
    <cellStyle name="_신리1교-상부_4.광석교-상부수량집계" xfId="1746"/>
    <cellStyle name="_신리1교-상부_4.광석교-상부수량집계_01-소탄교-총괄수량집계표" xfId="1747"/>
    <cellStyle name="_신리1교-상부_4.광석교-상부수량집계_01-소탄교-총괄수량집계표1" xfId="1748"/>
    <cellStyle name="_신리1교-상부_4.광석교-상부수량집계_01-여곡2교-총괄수량집계표" xfId="1749"/>
    <cellStyle name="_신리1교-상부_x주요자재집계표" xfId="1750"/>
    <cellStyle name="_신리1교-상부_x주요자재집계표_01-소탄교-총괄수량집계표" xfId="1751"/>
    <cellStyle name="_신리1교-상부_x주요자재집계표_01-소탄교-총괄수량집계표1" xfId="1752"/>
    <cellStyle name="_신리1교-상부_x주요자재집계표_01-여곡2교-총괄수량집계표" xfId="1753"/>
    <cellStyle name="_신리1교-상부_구조물주요자재(3공구)" xfId="1754"/>
    <cellStyle name="_신리1교-상부_구조물주요자재(3공구)_01-소탄교-총괄수량집계표" xfId="1755"/>
    <cellStyle name="_신리1교-상부_구조물주요자재(3공구)_01-소탄교-총괄수량집계표1" xfId="1756"/>
    <cellStyle name="_신리1교-상부_구조물주요자재(3공구)_01-여곡2교-총괄수량집계표" xfId="1757"/>
    <cellStyle name="_신리1교-상부_구조물주요자재(3공구)_1.광하1교-주요자재집계표" xfId="1758"/>
    <cellStyle name="_신리1교-상부_구조물주요자재(3공구)_1.광하1교-주요자재집계표_01-소탄교-총괄수량집계표" xfId="1759"/>
    <cellStyle name="_신리1교-상부_구조물주요자재(3공구)_1.광하1교-주요자재집계표_01-소탄교-총괄수량집계표1" xfId="1760"/>
    <cellStyle name="_신리1교-상부_구조물주요자재(3공구)_1.광하1교-주요자재집계표_01-여곡2교-총괄수량집계표" xfId="1761"/>
    <cellStyle name="_신리1교-상부_구조물주요자재(3공구)_4.광석교-상부수량집계" xfId="1762"/>
    <cellStyle name="_신리1교-상부_구조물주요자재(3공구)_4.광석교-상부수량집계_01-소탄교-총괄수량집계표" xfId="1763"/>
    <cellStyle name="_신리1교-상부_구조물주요자재(3공구)_4.광석교-상부수량집계_01-소탄교-총괄수량집계표1" xfId="1764"/>
    <cellStyle name="_신리1교-상부_구조물주요자재(3공구)_4.광석교-상부수량집계_01-여곡2교-총괄수량집계표" xfId="1765"/>
    <cellStyle name="_신리1교-상부_구조물주요자재(3공구)_x주요자재집계표" xfId="1766"/>
    <cellStyle name="_신리1교-상부_구조물주요자재(3공구)_x주요자재집계표_01-소탄교-총괄수량집계표" xfId="1767"/>
    <cellStyle name="_신리1교-상부_구조물주요자재(3공구)_x주요자재집계표_01-소탄교-총괄수량집계표1" xfId="1768"/>
    <cellStyle name="_신리1교-상부_구조물주요자재(3공구)_x주요자재집계표_01-여곡2교-총괄수량집계표" xfId="1769"/>
    <cellStyle name="_신리1교-상부_구조물주요자재(3공구)_주요자재집계표" xfId="1770"/>
    <cellStyle name="_신리1교-상부_구조물주요자재(3공구)_주요자재집계표_01-소탄교-총괄수량집계표" xfId="1771"/>
    <cellStyle name="_신리1교-상부_구조물주요자재(3공구)_주요자재집계표_01-소탄교-총괄수량집계표1" xfId="1772"/>
    <cellStyle name="_신리1교-상부_구조물주요자재(3공구)_주요자재집계표_01-여곡2교-총괄수량집계표" xfId="1773"/>
    <cellStyle name="_신리1교-상부_주요자재집계표" xfId="1774"/>
    <cellStyle name="_신리1교-상부_주요자재집계표_01-소탄교-총괄수량집계표" xfId="1775"/>
    <cellStyle name="_신리1교-상부_주요자재집계표_01-소탄교-총괄수량집계표1" xfId="1776"/>
    <cellStyle name="_신리1교-상부_주요자재집계표_01-여곡2교-총괄수량집계표" xfId="1777"/>
    <cellStyle name="_신리5교 상부" xfId="1778"/>
    <cellStyle name="_신리5교 상부_01-소탄교-총괄수량집계표" xfId="1779"/>
    <cellStyle name="_신리5교 상부_01-소탄교-총괄수량집계표1" xfId="1780"/>
    <cellStyle name="_신리5교 상부_01-여곡2교-총괄수량집계표" xfId="1781"/>
    <cellStyle name="_신리5교교대" xfId="1782"/>
    <cellStyle name="_신리5교교대토공" xfId="1783"/>
    <cellStyle name="_신리6교 상부" xfId="1784"/>
    <cellStyle name="_신리6교 상부_01-소탄교-총괄수량집계표" xfId="1785"/>
    <cellStyle name="_신리6교 상부_01-소탄교-총괄수량집계표1" xfId="1786"/>
    <cellStyle name="_신리6교 상부_01-여곡2교-총괄수량집계표" xfId="1787"/>
    <cellStyle name="_신사(구조물공)" xfId="1788"/>
    <cellStyle name="_신사(구조물공)_04-선릉(구조물공)" xfId="1789"/>
    <cellStyle name="_신사(구조물공)_온직교(구조물공)-1" xfId="1790"/>
    <cellStyle name="_신사(구조물공)_외부ES#8 " xfId="1791"/>
    <cellStyle name="_신사(구조물공)_용두교(구조물공)" xfId="1792"/>
    <cellStyle name="_암거수량" xfId="1793"/>
    <cellStyle name="_암거수량(2)" xfId="1794"/>
    <cellStyle name="_암거수량(2)_1.총괄집계및토공" xfId="1795"/>
    <cellStyle name="_암거수량(2)_1.총괄집계및토공_1.총괄집계및토공" xfId="1796"/>
    <cellStyle name="_암거수량(2)_1련BOX" xfId="1797"/>
    <cellStyle name="_암거수량(2)_1련BOX_1.총괄집계및토공" xfId="1798"/>
    <cellStyle name="_암거수량(2)_1련BOX_1.총괄집계및토공_1.총괄집계및토공" xfId="1799"/>
    <cellStyle name="_암거수량(2)_1련BOX_3~4.옹벽및가시설" xfId="1800"/>
    <cellStyle name="_암거수량(2)_1련BOX_3~4.옹벽및가시설_1.총괄집계및토공" xfId="1801"/>
    <cellStyle name="_암거수량(2)_1련BOX_고양2교- 수량토공" xfId="1802"/>
    <cellStyle name="_암거수량(2)_1련BOX_고양2교- 수량토공_1.총괄집계및토공" xfId="1803"/>
    <cellStyle name="_암거수량(2)_1련BOX_고양2교- 수량토공_1.총괄집계및토공_1.총괄집계및토공" xfId="1804"/>
    <cellStyle name="_암거수량(2)_1련BOX_고양2교- 수량토공_3~4.옹벽및가시설" xfId="1805"/>
    <cellStyle name="_암거수량(2)_1련BOX_고양2교- 수량토공_3~4.옹벽및가시설_1.총괄집계및토공" xfId="1806"/>
    <cellStyle name="_암거수량(2)_2련BOX" xfId="1807"/>
    <cellStyle name="_암거수량(2)_2련BOX_1.총괄집계및토공" xfId="1808"/>
    <cellStyle name="_암거수량(2)_2련BOX_1.총괄집계및토공_1.총괄집계및토공" xfId="1809"/>
    <cellStyle name="_암거수량(2)_2련BOX_3~4.옹벽및가시설" xfId="1810"/>
    <cellStyle name="_암거수량(2)_2련BOX_3~4.옹벽및가시설_1.총괄집계및토공" xfId="1811"/>
    <cellStyle name="_암거수량(2)_2련BOX_고양2교- 수량토공" xfId="1812"/>
    <cellStyle name="_암거수량(2)_2련BOX_고양2교- 수량토공_1.총괄집계및토공" xfId="1813"/>
    <cellStyle name="_암거수량(2)_2련BOX_고양2교- 수량토공_1.총괄집계및토공_1.총괄집계및토공" xfId="1814"/>
    <cellStyle name="_암거수량(2)_2련BOX_고양2교- 수량토공_3~4.옹벽및가시설" xfId="1815"/>
    <cellStyle name="_암거수량(2)_2련BOX_고양2교- 수량토공_3~4.옹벽및가시설_1.총괄집계및토공" xfId="1816"/>
    <cellStyle name="_암거수량(2)_3~4.옹벽및가시설" xfId="1817"/>
    <cellStyle name="_암거수량(2)_3~4.옹벽및가시설_1.총괄집계및토공" xfId="1818"/>
    <cellStyle name="_암거수량(2)_고양2교- 수량토공" xfId="1819"/>
    <cellStyle name="_암거수량(2)_고양2교- 수량토공_1.총괄집계및토공" xfId="1820"/>
    <cellStyle name="_암거수량(2)_고양2교- 수량토공_1.총괄집계및토공_1.총괄집계및토공" xfId="1821"/>
    <cellStyle name="_암거수량(2)_고양2교- 수량토공_3~4.옹벽및가시설" xfId="1822"/>
    <cellStyle name="_암거수량(2)_고양2교- 수량토공_3~4.옹벽및가시설_1.총괄집계및토공" xfId="1823"/>
    <cellStyle name="_암거수량_1.총괄집계및토공" xfId="1824"/>
    <cellStyle name="_암거수량_1.총괄집계및토공_1.총괄집계및토공" xfId="1825"/>
    <cellStyle name="_암거수량_1련BOX" xfId="1826"/>
    <cellStyle name="_암거수량_1련BOX_1.총괄집계및토공" xfId="1827"/>
    <cellStyle name="_암거수량_1련BOX_1.총괄집계및토공_1.총괄집계및토공" xfId="1828"/>
    <cellStyle name="_암거수량_1련BOX_3~4.옹벽및가시설" xfId="1829"/>
    <cellStyle name="_암거수량_1련BOX_3~4.옹벽및가시설_1.총괄집계및토공" xfId="1830"/>
    <cellStyle name="_암거수량_1련BOX_고양2교- 수량토공" xfId="1831"/>
    <cellStyle name="_암거수량_1련BOX_고양2교- 수량토공_1.총괄집계및토공" xfId="1832"/>
    <cellStyle name="_암거수량_1련BOX_고양2교- 수량토공_1.총괄집계및토공_1.총괄집계및토공" xfId="1833"/>
    <cellStyle name="_암거수량_1련BOX_고양2교- 수량토공_3~4.옹벽및가시설" xfId="1834"/>
    <cellStyle name="_암거수량_1련BOX_고양2교- 수량토공_3~4.옹벽및가시설_1.총괄집계및토공" xfId="1835"/>
    <cellStyle name="_암거수량_2련BOX" xfId="1836"/>
    <cellStyle name="_암거수량_2련BOX_1.총괄집계및토공" xfId="1837"/>
    <cellStyle name="_암거수량_2련BOX_1.총괄집계및토공_1.총괄집계및토공" xfId="1838"/>
    <cellStyle name="_암거수량_2련BOX_3~4.옹벽및가시설" xfId="1839"/>
    <cellStyle name="_암거수량_2련BOX_3~4.옹벽및가시설_1.총괄집계및토공" xfId="1840"/>
    <cellStyle name="_암거수량_2련BOX_고양2교- 수량토공" xfId="1841"/>
    <cellStyle name="_암거수량_2련BOX_고양2교- 수량토공_1.총괄집계및토공" xfId="1842"/>
    <cellStyle name="_암거수량_2련BOX_고양2교- 수량토공_1.총괄집계및토공_1.총괄집계및토공" xfId="1843"/>
    <cellStyle name="_암거수량_2련BOX_고양2교- 수량토공_3~4.옹벽및가시설" xfId="1844"/>
    <cellStyle name="_암거수량_2련BOX_고양2교- 수량토공_3~4.옹벽및가시설_1.총괄집계및토공" xfId="1845"/>
    <cellStyle name="_암거수량_3~4.옹벽및가시설" xfId="1846"/>
    <cellStyle name="_암거수량_3~4.옹벽및가시설_1.총괄집계및토공" xfId="1847"/>
    <cellStyle name="_암거수량_고양2교- 수량토공" xfId="1848"/>
    <cellStyle name="_암거수량_고양2교- 수량토공_1.총괄집계및토공" xfId="1849"/>
    <cellStyle name="_암거수량_고양2교- 수량토공_1.총괄집계및토공_1.총괄집계및토공" xfId="1850"/>
    <cellStyle name="_암거수량_고양2교- 수량토공_3~4.옹벽및가시설" xfId="1851"/>
    <cellStyle name="_암거수량_고양2교- 수량토공_3~4.옹벽및가시설_1.총괄집계및토공" xfId="1852"/>
    <cellStyle name="_압구정(구조물공)" xfId="1853"/>
    <cellStyle name="_압구정(구조물공)_04-선릉(구조물공)" xfId="1854"/>
    <cellStyle name="_압구정(구조물공)_온직교(구조물공)-1" xfId="1855"/>
    <cellStyle name="_압구정(구조물공)_외부ES#8 " xfId="1856"/>
    <cellStyle name="_압구정(구조물공)_용두교(구조물공)" xfId="1857"/>
    <cellStyle name="_양식" xfId="1858"/>
    <cellStyle name="_양식_1" xfId="1859"/>
    <cellStyle name="_양식_2" xfId="1860"/>
    <cellStyle name="_양지교교대수량" xfId="1861"/>
    <cellStyle name="_양지교상부수량" xfId="1862"/>
    <cellStyle name="_양지교수량총괄" xfId="1863"/>
    <cellStyle name="_양지교수량총괄집계표" xfId="1864"/>
    <cellStyle name="_어천2교-수량" xfId="1865"/>
    <cellStyle name="_어천3교-수량" xfId="1866"/>
    <cellStyle name="_역삼(구조물공)" xfId="1867"/>
    <cellStyle name="_역삼(구조물공)_04-선릉(구조물공)" xfId="1868"/>
    <cellStyle name="_역삼(구조물공)_온직교(구조물공)-1" xfId="1869"/>
    <cellStyle name="_역삼(구조물공)_외부ES#8 " xfId="1870"/>
    <cellStyle name="_역삼(구조물공)_용두교(구조물공)" xfId="1871"/>
    <cellStyle name="_역삼(구조물공수정)" xfId="1872"/>
    <cellStyle name="_역삼(구조물공수정)_04-선릉(구조물공)" xfId="1873"/>
    <cellStyle name="_역삼(구조물공수정)_온직교(구조물공)-1" xfId="1874"/>
    <cellStyle name="_역삼(구조물공수정)_외부ES#8 " xfId="1875"/>
    <cellStyle name="_역삼(구조물공수정)_용두교(구조물공)" xfId="1876"/>
    <cellStyle name="_연정RAMP-F 교대1 토공" xfId="1877"/>
    <cellStyle name="_연정RAMP-F 교대1 토공_일식단가공" xfId="1878"/>
    <cellStyle name="_연정RAMP-F 교대1 토공_자재(지하도로)" xfId="1879"/>
    <cellStyle name="_연정RAMP-F 교대1 토공_자재집계표" xfId="1880"/>
    <cellStyle name="_연정RAMP-F 교대1 토공_주요자재집계표" xfId="1881"/>
    <cellStyle name="_연평교라멘수량" xfId="1882"/>
    <cellStyle name="_월암IC교" xfId="1883"/>
    <cellStyle name="_유첨3(서식)" xfId="1884"/>
    <cellStyle name="_유첨3(서식)_1" xfId="1885"/>
    <cellStyle name="_의왕ic-ramp-a교" xfId="1886"/>
    <cellStyle name="_잠원(구조물공)" xfId="1887"/>
    <cellStyle name="_잠원(구조물공)_04-선릉(구조물공)" xfId="1888"/>
    <cellStyle name="_잠원(구조물공)_온직교(구조물공)-1" xfId="1889"/>
    <cellStyle name="_잠원(구조물공)_외부ES#8 " xfId="1890"/>
    <cellStyle name="_잠원(구조물공)_용두교(구조물공)" xfId="1891"/>
    <cellStyle name="_장열교집계표" xfId="1892"/>
    <cellStyle name="_제1교" xfId="1893"/>
    <cellStyle name="_주교량집계및철근" xfId="1894"/>
    <cellStyle name="_죽림1교-상부" xfId="1895"/>
    <cellStyle name="_죽림1교-상부_01-소탄교-총괄수량집계표" xfId="1896"/>
    <cellStyle name="_죽림1교-상부_01-소탄교-총괄수량집계표1" xfId="1897"/>
    <cellStyle name="_죽림1교-상부_01-여곡2교-총괄수량집계표" xfId="1898"/>
    <cellStyle name="_죽림1교-상부_1.광하1교-주요자재집계표" xfId="1899"/>
    <cellStyle name="_죽림1교-상부_1.광하1교-주요자재집계표_01-소탄교-총괄수량집계표" xfId="1900"/>
    <cellStyle name="_죽림1교-상부_1.광하1교-주요자재집계표_01-소탄교-총괄수량집계표1" xfId="1901"/>
    <cellStyle name="_죽림1교-상부_1.광하1교-주요자재집계표_01-여곡2교-총괄수량집계표" xfId="1902"/>
    <cellStyle name="_죽림1교-상부_4.광석교-상부수량집계" xfId="1903"/>
    <cellStyle name="_죽림1교-상부_4.광석교-상부수량집계_01-소탄교-총괄수량집계표" xfId="1904"/>
    <cellStyle name="_죽림1교-상부_4.광석교-상부수량집계_01-소탄교-총괄수량집계표1" xfId="1905"/>
    <cellStyle name="_죽림1교-상부_4.광석교-상부수량집계_01-여곡2교-총괄수량집계표" xfId="1906"/>
    <cellStyle name="_죽림1교-상부_x주요자재집계표" xfId="1907"/>
    <cellStyle name="_죽림1교-상부_x주요자재집계표_01-소탄교-총괄수량집계표" xfId="1908"/>
    <cellStyle name="_죽림1교-상부_x주요자재집계표_01-소탄교-총괄수량집계표1" xfId="1909"/>
    <cellStyle name="_죽림1교-상부_x주요자재집계표_01-여곡2교-총괄수량집계표" xfId="1910"/>
    <cellStyle name="_죽림1교-상부_구조물주요자재(3공구)" xfId="1911"/>
    <cellStyle name="_죽림1교-상부_구조물주요자재(3공구)_01-소탄교-총괄수량집계표" xfId="1912"/>
    <cellStyle name="_죽림1교-상부_구조물주요자재(3공구)_01-소탄교-총괄수량집계표1" xfId="1913"/>
    <cellStyle name="_죽림1교-상부_구조물주요자재(3공구)_01-여곡2교-총괄수량집계표" xfId="1914"/>
    <cellStyle name="_죽림1교-상부_구조물주요자재(3공구)_1.광하1교-주요자재집계표" xfId="1915"/>
    <cellStyle name="_죽림1교-상부_구조물주요자재(3공구)_1.광하1교-주요자재집계표_01-소탄교-총괄수량집계표" xfId="1916"/>
    <cellStyle name="_죽림1교-상부_구조물주요자재(3공구)_1.광하1교-주요자재집계표_01-소탄교-총괄수량집계표1" xfId="1917"/>
    <cellStyle name="_죽림1교-상부_구조물주요자재(3공구)_1.광하1교-주요자재집계표_01-여곡2교-총괄수량집계표" xfId="1918"/>
    <cellStyle name="_죽림1교-상부_구조물주요자재(3공구)_4.광석교-상부수량집계" xfId="1919"/>
    <cellStyle name="_죽림1교-상부_구조물주요자재(3공구)_4.광석교-상부수량집계_01-소탄교-총괄수량집계표" xfId="1920"/>
    <cellStyle name="_죽림1교-상부_구조물주요자재(3공구)_4.광석교-상부수량집계_01-소탄교-총괄수량집계표1" xfId="1921"/>
    <cellStyle name="_죽림1교-상부_구조물주요자재(3공구)_4.광석교-상부수량집계_01-여곡2교-총괄수량집계표" xfId="1922"/>
    <cellStyle name="_죽림1교-상부_구조물주요자재(3공구)_x주요자재집계표" xfId="1923"/>
    <cellStyle name="_죽림1교-상부_구조물주요자재(3공구)_x주요자재집계표_01-소탄교-총괄수량집계표" xfId="1924"/>
    <cellStyle name="_죽림1교-상부_구조물주요자재(3공구)_x주요자재집계표_01-소탄교-총괄수량집계표1" xfId="1925"/>
    <cellStyle name="_죽림1교-상부_구조물주요자재(3공구)_x주요자재집계표_01-여곡2교-총괄수량집계표" xfId="1926"/>
    <cellStyle name="_죽림1교-상부_구조물주요자재(3공구)_주요자재집계표" xfId="1927"/>
    <cellStyle name="_죽림1교-상부_구조물주요자재(3공구)_주요자재집계표_01-소탄교-총괄수량집계표" xfId="1928"/>
    <cellStyle name="_죽림1교-상부_구조물주요자재(3공구)_주요자재집계표_01-소탄교-총괄수량집계표1" xfId="1929"/>
    <cellStyle name="_죽림1교-상부_구조물주요자재(3공구)_주요자재집계표_01-여곡2교-총괄수량집계표" xfId="1930"/>
    <cellStyle name="_죽림1교-상부_주요자재집계표" xfId="1931"/>
    <cellStyle name="_죽림1교-상부_주요자재집계표_01-소탄교-총괄수량집계표" xfId="1932"/>
    <cellStyle name="_죽림1교-상부_주요자재집계표_01-소탄교-총괄수량집계표1" xfId="1933"/>
    <cellStyle name="_죽림1교-상부_주요자재집계표_01-여곡2교-총괄수량집계표" xfId="1934"/>
    <cellStyle name="_죽림2교-상부" xfId="1935"/>
    <cellStyle name="_죽림2교-상부_01-소탄교-총괄수량집계표" xfId="1936"/>
    <cellStyle name="_죽림2교-상부_01-소탄교-총괄수량집계표1" xfId="1937"/>
    <cellStyle name="_죽림2교-상부_01-여곡2교-총괄수량집계표" xfId="1938"/>
    <cellStyle name="_죽림2교-상부_1.광하1교-주요자재집계표" xfId="1939"/>
    <cellStyle name="_죽림2교-상부_1.광하1교-주요자재집계표_01-소탄교-총괄수량집계표" xfId="1940"/>
    <cellStyle name="_죽림2교-상부_1.광하1교-주요자재집계표_01-소탄교-총괄수량집계표1" xfId="1941"/>
    <cellStyle name="_죽림2교-상부_1.광하1교-주요자재집계표_01-여곡2교-총괄수량집계표" xfId="1942"/>
    <cellStyle name="_죽림2교-상부_4.광석교-상부수량집계" xfId="1943"/>
    <cellStyle name="_죽림2교-상부_4.광석교-상부수량집계_01-소탄교-총괄수량집계표" xfId="1944"/>
    <cellStyle name="_죽림2교-상부_4.광석교-상부수량집계_01-소탄교-총괄수량집계표1" xfId="1945"/>
    <cellStyle name="_죽림2교-상부_4.광석교-상부수량집계_01-여곡2교-총괄수량집계표" xfId="1946"/>
    <cellStyle name="_죽림2교-상부_x주요자재집계표" xfId="1947"/>
    <cellStyle name="_죽림2교-상부_x주요자재집계표_01-소탄교-총괄수량집계표" xfId="1948"/>
    <cellStyle name="_죽림2교-상부_x주요자재집계표_01-소탄교-총괄수량집계표1" xfId="1949"/>
    <cellStyle name="_죽림2교-상부_x주요자재집계표_01-여곡2교-총괄수량집계표" xfId="1950"/>
    <cellStyle name="_죽림2교-상부_구조물주요자재(3공구)" xfId="1951"/>
    <cellStyle name="_죽림2교-상부_구조물주요자재(3공구)_01-소탄교-총괄수량집계표" xfId="1952"/>
    <cellStyle name="_죽림2교-상부_구조물주요자재(3공구)_01-소탄교-총괄수량집계표1" xfId="1953"/>
    <cellStyle name="_죽림2교-상부_구조물주요자재(3공구)_01-여곡2교-총괄수량집계표" xfId="1954"/>
    <cellStyle name="_죽림2교-상부_구조물주요자재(3공구)_1.광하1교-주요자재집계표" xfId="1955"/>
    <cellStyle name="_죽림2교-상부_구조물주요자재(3공구)_1.광하1교-주요자재집계표_01-소탄교-총괄수량집계표" xfId="1956"/>
    <cellStyle name="_죽림2교-상부_구조물주요자재(3공구)_1.광하1교-주요자재집계표_01-소탄교-총괄수량집계표1" xfId="1957"/>
    <cellStyle name="_죽림2교-상부_구조물주요자재(3공구)_1.광하1교-주요자재집계표_01-여곡2교-총괄수량집계표" xfId="1958"/>
    <cellStyle name="_죽림2교-상부_구조물주요자재(3공구)_4.광석교-상부수량집계" xfId="1959"/>
    <cellStyle name="_죽림2교-상부_구조물주요자재(3공구)_4.광석교-상부수량집계_01-소탄교-총괄수량집계표" xfId="1960"/>
    <cellStyle name="_죽림2교-상부_구조물주요자재(3공구)_4.광석교-상부수량집계_01-소탄교-총괄수량집계표1" xfId="1961"/>
    <cellStyle name="_죽림2교-상부_구조물주요자재(3공구)_4.광석교-상부수량집계_01-여곡2교-총괄수량집계표" xfId="1962"/>
    <cellStyle name="_죽림2교-상부_구조물주요자재(3공구)_x주요자재집계표" xfId="1963"/>
    <cellStyle name="_죽림2교-상부_구조물주요자재(3공구)_x주요자재집계표_01-소탄교-총괄수량집계표" xfId="1964"/>
    <cellStyle name="_죽림2교-상부_구조물주요자재(3공구)_x주요자재집계표_01-소탄교-총괄수량집계표1" xfId="1965"/>
    <cellStyle name="_죽림2교-상부_구조물주요자재(3공구)_x주요자재집계표_01-여곡2교-총괄수량집계표" xfId="1966"/>
    <cellStyle name="_죽림2교-상부_구조물주요자재(3공구)_주요자재집계표" xfId="1967"/>
    <cellStyle name="_죽림2교-상부_구조물주요자재(3공구)_주요자재집계표_01-소탄교-총괄수량집계표" xfId="1968"/>
    <cellStyle name="_죽림2교-상부_구조물주요자재(3공구)_주요자재집계표_01-소탄교-총괄수량집계표1" xfId="1969"/>
    <cellStyle name="_죽림2교-상부_구조물주요자재(3공구)_주요자재집계표_01-여곡2교-총괄수량집계표" xfId="1970"/>
    <cellStyle name="_죽림2교-상부_주요자재집계표" xfId="1971"/>
    <cellStyle name="_죽림2교-상부_주요자재집계표_01-소탄교-총괄수량집계표" xfId="1972"/>
    <cellStyle name="_죽림2교-상부_주요자재집계표_01-소탄교-총괄수량집계표1" xfId="1973"/>
    <cellStyle name="_죽림2교-상부_주요자재집계표_01-여곡2교-총괄수량집계표" xfId="1974"/>
    <cellStyle name="_죽림2교-상부_죽림1교-상부" xfId="1975"/>
    <cellStyle name="_죽림2교-상부_죽림1교-상부_01-소탄교-총괄수량집계표" xfId="1976"/>
    <cellStyle name="_죽림2교-상부_죽림1교-상부_01-소탄교-총괄수량집계표1" xfId="1977"/>
    <cellStyle name="_죽림2교-상부_죽림1교-상부_01-여곡2교-총괄수량집계표" xfId="1978"/>
    <cellStyle name="_죽림2교-상부_죽림1교-상부_1.광하1교-주요자재집계표" xfId="1979"/>
    <cellStyle name="_죽림2교-상부_죽림1교-상부_1.광하1교-주요자재집계표_01-소탄교-총괄수량집계표" xfId="1980"/>
    <cellStyle name="_죽림2교-상부_죽림1교-상부_1.광하1교-주요자재집계표_01-소탄교-총괄수량집계표1" xfId="1981"/>
    <cellStyle name="_죽림2교-상부_죽림1교-상부_1.광하1교-주요자재집계표_01-여곡2교-총괄수량집계표" xfId="1982"/>
    <cellStyle name="_죽림2교-상부_죽림1교-상부_4.광석교-상부수량집계" xfId="1983"/>
    <cellStyle name="_죽림2교-상부_죽림1교-상부_4.광석교-상부수량집계_01-소탄교-총괄수량집계표" xfId="1984"/>
    <cellStyle name="_죽림2교-상부_죽림1교-상부_4.광석교-상부수량집계_01-소탄교-총괄수량집계표1" xfId="1985"/>
    <cellStyle name="_죽림2교-상부_죽림1교-상부_4.광석교-상부수량집계_01-여곡2교-총괄수량집계표" xfId="1986"/>
    <cellStyle name="_죽림2교-상부_죽림1교-상부_x주요자재집계표" xfId="1987"/>
    <cellStyle name="_죽림2교-상부_죽림1교-상부_x주요자재집계표_01-소탄교-총괄수량집계표" xfId="1988"/>
    <cellStyle name="_죽림2교-상부_죽림1교-상부_x주요자재집계표_01-소탄교-총괄수량집계표1" xfId="1989"/>
    <cellStyle name="_죽림2교-상부_죽림1교-상부_x주요자재집계표_01-여곡2교-총괄수량집계표" xfId="1990"/>
    <cellStyle name="_죽림2교-상부_죽림1교-상부_구조물주요자재(3공구)" xfId="1991"/>
    <cellStyle name="_죽림2교-상부_죽림1교-상부_구조물주요자재(3공구)_01-소탄교-총괄수량집계표" xfId="1992"/>
    <cellStyle name="_죽림2교-상부_죽림1교-상부_구조물주요자재(3공구)_01-소탄교-총괄수량집계표1" xfId="1993"/>
    <cellStyle name="_죽림2교-상부_죽림1교-상부_구조물주요자재(3공구)_01-여곡2교-총괄수량집계표" xfId="1994"/>
    <cellStyle name="_죽림2교-상부_죽림1교-상부_구조물주요자재(3공구)_1.광하1교-주요자재집계표" xfId="1995"/>
    <cellStyle name="_죽림2교-상부_죽림1교-상부_구조물주요자재(3공구)_1.광하1교-주요자재집계표_01-소탄교-총괄수량집계표" xfId="1996"/>
    <cellStyle name="_죽림2교-상부_죽림1교-상부_구조물주요자재(3공구)_1.광하1교-주요자재집계표_01-소탄교-총괄수량집계표1" xfId="1997"/>
    <cellStyle name="_죽림2교-상부_죽림1교-상부_구조물주요자재(3공구)_1.광하1교-주요자재집계표_01-여곡2교-총괄수량집계표" xfId="1998"/>
    <cellStyle name="_죽림2교-상부_죽림1교-상부_구조물주요자재(3공구)_4.광석교-상부수량집계" xfId="1999"/>
    <cellStyle name="_죽림2교-상부_죽림1교-상부_구조물주요자재(3공구)_4.광석교-상부수량집계_01-소탄교-총괄수량집계표" xfId="2000"/>
    <cellStyle name="_죽림2교-상부_죽림1교-상부_구조물주요자재(3공구)_4.광석교-상부수량집계_01-소탄교-총괄수량집계표1" xfId="2001"/>
    <cellStyle name="_죽림2교-상부_죽림1교-상부_구조물주요자재(3공구)_4.광석교-상부수량집계_01-여곡2교-총괄수량집계표" xfId="2002"/>
    <cellStyle name="_죽림2교-상부_죽림1교-상부_구조물주요자재(3공구)_x주요자재집계표" xfId="2003"/>
    <cellStyle name="_죽림2교-상부_죽림1교-상부_구조물주요자재(3공구)_x주요자재집계표_01-소탄교-총괄수량집계표" xfId="2004"/>
    <cellStyle name="_죽림2교-상부_죽림1교-상부_구조물주요자재(3공구)_x주요자재집계표_01-소탄교-총괄수량집계표1" xfId="2005"/>
    <cellStyle name="_죽림2교-상부_죽림1교-상부_구조물주요자재(3공구)_x주요자재집계표_01-여곡2교-총괄수량집계표" xfId="2006"/>
    <cellStyle name="_죽림2교-상부_죽림1교-상부_구조물주요자재(3공구)_주요자재집계표" xfId="2007"/>
    <cellStyle name="_죽림2교-상부_죽림1교-상부_구조물주요자재(3공구)_주요자재집계표_01-소탄교-총괄수량집계표" xfId="2008"/>
    <cellStyle name="_죽림2교-상부_죽림1교-상부_구조물주요자재(3공구)_주요자재집계표_01-소탄교-총괄수량집계표1" xfId="2009"/>
    <cellStyle name="_죽림2교-상부_죽림1교-상부_구조물주요자재(3공구)_주요자재집계표_01-여곡2교-총괄수량집계표" xfId="2010"/>
    <cellStyle name="_죽림2교-상부_죽림1교-상부_주요자재집계표" xfId="2011"/>
    <cellStyle name="_죽림2교-상부_죽림1교-상부_주요자재집계표_01-소탄교-총괄수량집계표" xfId="2012"/>
    <cellStyle name="_죽림2교-상부_죽림1교-상부_주요자재집계표_01-소탄교-총괄수량집계표1" xfId="2013"/>
    <cellStyle name="_죽림2교-상부_죽림1교-상부_주요자재집계표_01-여곡2교-총괄수량집계표" xfId="2014"/>
    <cellStyle name="_죽림2교-상부-1" xfId="2015"/>
    <cellStyle name="_죽림2교-상부-1_01-소탄교-총괄수량집계표" xfId="2016"/>
    <cellStyle name="_죽림2교-상부-1_01-소탄교-총괄수량집계표1" xfId="2017"/>
    <cellStyle name="_죽림2교-상부-1_01-여곡2교-총괄수량집계표" xfId="2018"/>
    <cellStyle name="_죽림2교-상부-1_1.광하1교-주요자재집계표" xfId="2019"/>
    <cellStyle name="_죽림2교-상부-1_1.광하1교-주요자재집계표_01-소탄교-총괄수량집계표" xfId="2020"/>
    <cellStyle name="_죽림2교-상부-1_1.광하1교-주요자재집계표_01-소탄교-총괄수량집계표1" xfId="2021"/>
    <cellStyle name="_죽림2교-상부-1_1.광하1교-주요자재집계표_01-여곡2교-총괄수량집계표" xfId="2022"/>
    <cellStyle name="_죽림2교-상부-1_4.광석교-상부수량집계" xfId="2023"/>
    <cellStyle name="_죽림2교-상부-1_4.광석교-상부수량집계_01-소탄교-총괄수량집계표" xfId="2024"/>
    <cellStyle name="_죽림2교-상부-1_4.광석교-상부수량집계_01-소탄교-총괄수량집계표1" xfId="2025"/>
    <cellStyle name="_죽림2교-상부-1_4.광석교-상부수량집계_01-여곡2교-총괄수량집계표" xfId="2026"/>
    <cellStyle name="_죽림2교-상부-1_x주요자재집계표" xfId="2027"/>
    <cellStyle name="_죽림2교-상부-1_x주요자재집계표_01-소탄교-총괄수량집계표" xfId="2028"/>
    <cellStyle name="_죽림2교-상부-1_x주요자재집계표_01-소탄교-총괄수량집계표1" xfId="2029"/>
    <cellStyle name="_죽림2교-상부-1_x주요자재집계표_01-여곡2교-총괄수량집계표" xfId="2030"/>
    <cellStyle name="_죽림2교-상부-1_구조물주요자재(3공구)" xfId="2031"/>
    <cellStyle name="_죽림2교-상부-1_구조물주요자재(3공구)_01-소탄교-총괄수량집계표" xfId="2032"/>
    <cellStyle name="_죽림2교-상부-1_구조물주요자재(3공구)_01-소탄교-총괄수량집계표1" xfId="2033"/>
    <cellStyle name="_죽림2교-상부-1_구조물주요자재(3공구)_01-여곡2교-총괄수량집계표" xfId="2034"/>
    <cellStyle name="_죽림2교-상부-1_구조물주요자재(3공구)_1.광하1교-주요자재집계표" xfId="2035"/>
    <cellStyle name="_죽림2교-상부-1_구조물주요자재(3공구)_1.광하1교-주요자재집계표_01-소탄교-총괄수량집계표" xfId="2036"/>
    <cellStyle name="_죽림2교-상부-1_구조물주요자재(3공구)_1.광하1교-주요자재집계표_01-소탄교-총괄수량집계표1" xfId="2037"/>
    <cellStyle name="_죽림2교-상부-1_구조물주요자재(3공구)_1.광하1교-주요자재집계표_01-여곡2교-총괄수량집계표" xfId="2038"/>
    <cellStyle name="_죽림2교-상부-1_구조물주요자재(3공구)_4.광석교-상부수량집계" xfId="2039"/>
    <cellStyle name="_죽림2교-상부-1_구조물주요자재(3공구)_4.광석교-상부수량집계_01-소탄교-총괄수량집계표" xfId="2040"/>
    <cellStyle name="_죽림2교-상부-1_구조물주요자재(3공구)_4.광석교-상부수량집계_01-소탄교-총괄수량집계표1" xfId="2041"/>
    <cellStyle name="_죽림2교-상부-1_구조물주요자재(3공구)_4.광석교-상부수량집계_01-여곡2교-총괄수량집계표" xfId="2042"/>
    <cellStyle name="_죽림2교-상부-1_구조물주요자재(3공구)_x주요자재집계표" xfId="2043"/>
    <cellStyle name="_죽림2교-상부-1_구조물주요자재(3공구)_x주요자재집계표_01-소탄교-총괄수량집계표" xfId="2044"/>
    <cellStyle name="_죽림2교-상부-1_구조물주요자재(3공구)_x주요자재집계표_01-소탄교-총괄수량집계표1" xfId="2045"/>
    <cellStyle name="_죽림2교-상부-1_구조물주요자재(3공구)_x주요자재집계표_01-여곡2교-총괄수량집계표" xfId="2046"/>
    <cellStyle name="_죽림2교-상부-1_구조물주요자재(3공구)_주요자재집계표" xfId="2047"/>
    <cellStyle name="_죽림2교-상부-1_구조물주요자재(3공구)_주요자재집계표_01-소탄교-총괄수량집계표" xfId="2048"/>
    <cellStyle name="_죽림2교-상부-1_구조물주요자재(3공구)_주요자재집계표_01-소탄교-총괄수량집계표1" xfId="2049"/>
    <cellStyle name="_죽림2교-상부-1_구조물주요자재(3공구)_주요자재집계표_01-여곡2교-총괄수량집계표" xfId="2050"/>
    <cellStyle name="_죽림2교-상부-1_주요자재집계표" xfId="2051"/>
    <cellStyle name="_죽림2교-상부-1_주요자재집계표_01-소탄교-총괄수량집계표" xfId="2052"/>
    <cellStyle name="_죽림2교-상부-1_주요자재집계표_01-소탄교-총괄수량집계표1" xfId="2053"/>
    <cellStyle name="_죽림2교-상부-1_주요자재집계표_01-여곡2교-총괄수량집계표" xfId="2054"/>
    <cellStyle name="_죽림2교-상부-1_죽림1교-상부" xfId="2055"/>
    <cellStyle name="_죽림2교-상부-1_죽림1교-상부_01-소탄교-총괄수량집계표" xfId="2056"/>
    <cellStyle name="_죽림2교-상부-1_죽림1교-상부_01-소탄교-총괄수량집계표1" xfId="2057"/>
    <cellStyle name="_죽림2교-상부-1_죽림1교-상부_01-여곡2교-총괄수량집계표" xfId="2058"/>
    <cellStyle name="_죽림2교-상부-1_죽림1교-상부_1.광하1교-주요자재집계표" xfId="2059"/>
    <cellStyle name="_죽림2교-상부-1_죽림1교-상부_1.광하1교-주요자재집계표_01-소탄교-총괄수량집계표" xfId="2060"/>
    <cellStyle name="_죽림2교-상부-1_죽림1교-상부_1.광하1교-주요자재집계표_01-소탄교-총괄수량집계표1" xfId="2061"/>
    <cellStyle name="_죽림2교-상부-1_죽림1교-상부_1.광하1교-주요자재집계표_01-여곡2교-총괄수량집계표" xfId="2062"/>
    <cellStyle name="_죽림2교-상부-1_죽림1교-상부_4.광석교-상부수량집계" xfId="2063"/>
    <cellStyle name="_죽림2교-상부-1_죽림1교-상부_4.광석교-상부수량집계_01-소탄교-총괄수량집계표" xfId="2064"/>
    <cellStyle name="_죽림2교-상부-1_죽림1교-상부_4.광석교-상부수량집계_01-소탄교-총괄수량집계표1" xfId="2065"/>
    <cellStyle name="_죽림2교-상부-1_죽림1교-상부_4.광석교-상부수량집계_01-여곡2교-총괄수량집계표" xfId="2066"/>
    <cellStyle name="_죽림2교-상부-1_죽림1교-상부_x주요자재집계표" xfId="2067"/>
    <cellStyle name="_죽림2교-상부-1_죽림1교-상부_x주요자재집계표_01-소탄교-총괄수량집계표" xfId="2068"/>
    <cellStyle name="_죽림2교-상부-1_죽림1교-상부_x주요자재집계표_01-소탄교-총괄수량집계표1" xfId="2069"/>
    <cellStyle name="_죽림2교-상부-1_죽림1교-상부_x주요자재집계표_01-여곡2교-총괄수량집계표" xfId="2070"/>
    <cellStyle name="_죽림2교-상부-1_죽림1교-상부_구조물주요자재(3공구)" xfId="2071"/>
    <cellStyle name="_죽림2교-상부-1_죽림1교-상부_구조물주요자재(3공구)_01-소탄교-총괄수량집계표" xfId="2072"/>
    <cellStyle name="_죽림2교-상부-1_죽림1교-상부_구조물주요자재(3공구)_01-소탄교-총괄수량집계표1" xfId="2073"/>
    <cellStyle name="_죽림2교-상부-1_죽림1교-상부_구조물주요자재(3공구)_01-여곡2교-총괄수량집계표" xfId="2074"/>
    <cellStyle name="_죽림2교-상부-1_죽림1교-상부_구조물주요자재(3공구)_1.광하1교-주요자재집계표" xfId="2075"/>
    <cellStyle name="_죽림2교-상부-1_죽림1교-상부_구조물주요자재(3공구)_1.광하1교-주요자재집계표_01-소탄교-총괄수량집계표" xfId="2076"/>
    <cellStyle name="_죽림2교-상부-1_죽림1교-상부_구조물주요자재(3공구)_1.광하1교-주요자재집계표_01-소탄교-총괄수량집계표1" xfId="2077"/>
    <cellStyle name="_죽림2교-상부-1_죽림1교-상부_구조물주요자재(3공구)_1.광하1교-주요자재집계표_01-여곡2교-총괄수량집계표" xfId="2078"/>
    <cellStyle name="_죽림2교-상부-1_죽림1교-상부_구조물주요자재(3공구)_4.광석교-상부수량집계" xfId="2079"/>
    <cellStyle name="_죽림2교-상부-1_죽림1교-상부_구조물주요자재(3공구)_4.광석교-상부수량집계_01-소탄교-총괄수량집계표" xfId="2080"/>
    <cellStyle name="_죽림2교-상부-1_죽림1교-상부_구조물주요자재(3공구)_4.광석교-상부수량집계_01-소탄교-총괄수량집계표1" xfId="2081"/>
    <cellStyle name="_죽림2교-상부-1_죽림1교-상부_구조물주요자재(3공구)_4.광석교-상부수량집계_01-여곡2교-총괄수량집계표" xfId="2082"/>
    <cellStyle name="_죽림2교-상부-1_죽림1교-상부_구조물주요자재(3공구)_x주요자재집계표" xfId="2083"/>
    <cellStyle name="_죽림2교-상부-1_죽림1교-상부_구조물주요자재(3공구)_x주요자재집계표_01-소탄교-총괄수량집계표" xfId="2084"/>
    <cellStyle name="_죽림2교-상부-1_죽림1교-상부_구조물주요자재(3공구)_x주요자재집계표_01-소탄교-총괄수량집계표1" xfId="2085"/>
    <cellStyle name="_죽림2교-상부-1_죽림1교-상부_구조물주요자재(3공구)_x주요자재집계표_01-여곡2교-총괄수량집계표" xfId="2086"/>
    <cellStyle name="_죽림2교-상부-1_죽림1교-상부_구조물주요자재(3공구)_주요자재집계표" xfId="2087"/>
    <cellStyle name="_죽림2교-상부-1_죽림1교-상부_구조물주요자재(3공구)_주요자재집계표_01-소탄교-총괄수량집계표" xfId="2088"/>
    <cellStyle name="_죽림2교-상부-1_죽림1교-상부_구조물주요자재(3공구)_주요자재집계표_01-소탄교-총괄수량집계표1" xfId="2089"/>
    <cellStyle name="_죽림2교-상부-1_죽림1교-상부_구조물주요자재(3공구)_주요자재집계표_01-여곡2교-총괄수량집계표" xfId="2090"/>
    <cellStyle name="_죽림2교-상부-1_죽림1교-상부_주요자재집계표" xfId="2091"/>
    <cellStyle name="_죽림2교-상부-1_죽림1교-상부_주요자재집계표_01-소탄교-총괄수량집계표" xfId="2092"/>
    <cellStyle name="_죽림2교-상부-1_죽림1교-상부_주요자재집계표_01-소탄교-총괄수량집계표1" xfId="2093"/>
    <cellStyle name="_죽림2교-상부-1_죽림1교-상부_주요자재집계표_01-여곡2교-총괄수량집계표" xfId="2094"/>
    <cellStyle name="_지장물 철거(2차)" xfId="2095"/>
    <cellStyle name="_지장물 철거(녹양)" xfId="2096"/>
    <cellStyle name="_지장물철거1차" xfId="2097"/>
    <cellStyle name="_지장물철거공사1104" xfId="2098"/>
    <cellStyle name="_지정과제1분기실적(확정990408)" xfId="2099"/>
    <cellStyle name="_지정과제1분기실적(확정990408)_1" xfId="2100"/>
    <cellStyle name="_지정과제2차심의list" xfId="2101"/>
    <cellStyle name="_지정과제2차심의list_1" xfId="2102"/>
    <cellStyle name="_지정과제2차심의list_2" xfId="2103"/>
    <cellStyle name="_지정과제2차심의결과" xfId="2104"/>
    <cellStyle name="_지정과제2차심의결과(금액조정후최종)" xfId="2105"/>
    <cellStyle name="_지정과제2차심의결과(금액조정후최종)_1" xfId="2106"/>
    <cellStyle name="_지정과제2차심의결과(금액조정후최종)_1_경영개선실적보고(전주공장)" xfId="2107"/>
    <cellStyle name="_지정과제2차심의결과(금액조정후최종)_1_별첨1_2" xfId="2108"/>
    <cellStyle name="_지정과제2차심의결과(금액조정후최종)_1_제안과제집계표(공장전체)" xfId="2109"/>
    <cellStyle name="_지정과제2차심의결과(금액조정후최종)_경영개선실적보고(전주공장)" xfId="2110"/>
    <cellStyle name="_지정과제2차심의결과(금액조정후최종)_별첨1_2" xfId="2111"/>
    <cellStyle name="_지정과제2차심의결과(금액조정후최종)_제안과제집계표(공장전체)" xfId="2112"/>
    <cellStyle name="_지정과제2차심의결과_1" xfId="2113"/>
    <cellStyle name="_집중관리(981231)" xfId="2114"/>
    <cellStyle name="_집중관리(981231)_1" xfId="2115"/>
    <cellStyle name="_집중관리(지정과제및 양식)" xfId="2116"/>
    <cellStyle name="_집중관리(지정과제및 양식)_1" xfId="2117"/>
    <cellStyle name="_초당3교토공" xfId="2118"/>
    <cellStyle name="_초당5교토공1" xfId="2119"/>
    <cellStyle name="_큰골교수량" xfId="2120"/>
    <cellStyle name="_포장공수량" xfId="2121"/>
    <cellStyle name="_표산1교상부" xfId="2122"/>
    <cellStyle name="_표산1교상부_일식단가공" xfId="2123"/>
    <cellStyle name="_표산1교상부_자재(지하도로)" xfId="2124"/>
    <cellStyle name="_표산1교상부_자재집계표" xfId="2125"/>
    <cellStyle name="_표산1교상부_주요자재집계표" xfId="2126"/>
    <cellStyle name="_표산2교상부" xfId="2127"/>
    <cellStyle name="_표산2교상부_일식단가공" xfId="2128"/>
    <cellStyle name="_표산2교상부_자재(지하도로)" xfId="2129"/>
    <cellStyle name="_표산2교상부_자재집계표" xfId="2130"/>
    <cellStyle name="_표산2교상부_주요자재집계표" xfId="2131"/>
    <cellStyle name="_하마1교-수량" xfId="2132"/>
    <cellStyle name="_하마2교-수량" xfId="2133"/>
    <cellStyle name="_하마읍3교대" xfId="2134"/>
    <cellStyle name="_하마읍3교토공" xfId="2135"/>
    <cellStyle name="_학산교철근집계표" xfId="2136"/>
    <cellStyle name="_홍천(노천1지구)-1공구" xfId="2137"/>
    <cellStyle name="_홍천(노천1지구)-1공구_사본 - 하마2교-수량" xfId="2138"/>
    <cellStyle name="_홍천(노천1지구)-1공구_하마1교-수량" xfId="2139"/>
    <cellStyle name="_홍천(노천1지구)-1공구_하마2교-수량" xfId="2140"/>
    <cellStyle name="_홍천(노천1지구)-1공구_하마읍3교대" xfId="2141"/>
    <cellStyle name="_홍천(노천1지구)-1공구_하마읍3교토공" xfId="2142"/>
    <cellStyle name="’E‰Y [0.00]_laroux" xfId="2143"/>
    <cellStyle name="’E‰Y_laroux" xfId="2144"/>
    <cellStyle name="1" xfId="2145"/>
    <cellStyle name="1_laroux" xfId="2146"/>
    <cellStyle name="1_laroux_ATC-YOON1" xfId="2147"/>
    <cellStyle name="1_단가조사표" xfId="2148"/>
    <cellStyle name="1_단가조사표_1011소각" xfId="2149"/>
    <cellStyle name="1_단가조사표_1113교~1" xfId="2150"/>
    <cellStyle name="1_단가조사표_121내역" xfId="2151"/>
    <cellStyle name="1_단가조사표_객토량" xfId="2152"/>
    <cellStyle name="1_단가조사표_교통센~1" xfId="2153"/>
    <cellStyle name="1_단가조사표_교통센터412" xfId="2154"/>
    <cellStyle name="1_단가조사표_교통수" xfId="2155"/>
    <cellStyle name="1_단가조사표_교통수량산출서" xfId="2156"/>
    <cellStyle name="1_단가조사표_구조물대가 (2)" xfId="2157"/>
    <cellStyle name="1_단가조사표_내역서 (2)" xfId="2158"/>
    <cellStyle name="1_단가조사표_대전관저지구" xfId="2159"/>
    <cellStyle name="1_단가조사표_동측지~1" xfId="2160"/>
    <cellStyle name="1_단가조사표_동측지원422" xfId="2161"/>
    <cellStyle name="1_단가조사표_동측지원512" xfId="2162"/>
    <cellStyle name="1_단가조사표_동측지원524" xfId="2163"/>
    <cellStyle name="1_단가조사표_부대422" xfId="2164"/>
    <cellStyle name="1_단가조사표_부대시설" xfId="2165"/>
    <cellStyle name="1_단가조사표_소각수~1" xfId="2166"/>
    <cellStyle name="1_단가조사표_소각수내역서" xfId="2167"/>
    <cellStyle name="1_단가조사표_소각수목2" xfId="2168"/>
    <cellStyle name="1_단가조사표_수량산출서 (2)" xfId="2169"/>
    <cellStyle name="1_단가조사표_엑스포~1" xfId="2170"/>
    <cellStyle name="1_단가조사표_엑스포한빛1" xfId="2171"/>
    <cellStyle name="1_단가조사표_여객터미널331" xfId="2172"/>
    <cellStyle name="1_단가조사표_여객터미널513" xfId="2173"/>
    <cellStyle name="1_단가조사표_여객터미널629" xfId="2174"/>
    <cellStyle name="1_단가조사표_외곽도로616" xfId="2175"/>
    <cellStyle name="1_단가조사표_용인죽전수량" xfId="2176"/>
    <cellStyle name="1_단가조사표_원가계~1" xfId="2177"/>
    <cellStyle name="1_단가조사표_유기질" xfId="2178"/>
    <cellStyle name="1_단가조사표_자재조서 (2)" xfId="2179"/>
    <cellStyle name="1_단가조사표_총괄내역" xfId="2180"/>
    <cellStyle name="1_단가조사표_총괄내역 (2)" xfId="2181"/>
    <cellStyle name="1_단가조사표_터미널도로403" xfId="2182"/>
    <cellStyle name="1_단가조사표_터미널도로429" xfId="2183"/>
    <cellStyle name="1_단가조사표_포장일위" xfId="2184"/>
    <cellStyle name="2" xfId="2185"/>
    <cellStyle name="2)" xfId="2186"/>
    <cellStyle name="2_laroux" xfId="2187"/>
    <cellStyle name="2_laroux_ATC-YOON1" xfId="2188"/>
    <cellStyle name="2_단가조사표" xfId="2189"/>
    <cellStyle name="2_단가조사표_1011소각" xfId="2190"/>
    <cellStyle name="2_단가조사표_1113교~1" xfId="2191"/>
    <cellStyle name="2_단가조사표_121내역" xfId="2192"/>
    <cellStyle name="2_단가조사표_객토량" xfId="2193"/>
    <cellStyle name="2_단가조사표_교통센~1" xfId="2194"/>
    <cellStyle name="2_단가조사표_교통센터412" xfId="2195"/>
    <cellStyle name="2_단가조사표_교통수" xfId="2196"/>
    <cellStyle name="2_단가조사표_교통수량산출서" xfId="2197"/>
    <cellStyle name="2_단가조사표_구조물대가 (2)" xfId="2198"/>
    <cellStyle name="2_단가조사표_내역서 (2)" xfId="2199"/>
    <cellStyle name="2_단가조사표_대전관저지구" xfId="2200"/>
    <cellStyle name="2_단가조사표_동측지~1" xfId="2201"/>
    <cellStyle name="2_단가조사표_동측지원422" xfId="2202"/>
    <cellStyle name="2_단가조사표_동측지원512" xfId="2203"/>
    <cellStyle name="2_단가조사표_동측지원524" xfId="2204"/>
    <cellStyle name="2_단가조사표_부대422" xfId="2205"/>
    <cellStyle name="2_단가조사표_부대시설" xfId="2206"/>
    <cellStyle name="2_단가조사표_소각수~1" xfId="2207"/>
    <cellStyle name="2_단가조사표_소각수내역서" xfId="2208"/>
    <cellStyle name="2_단가조사표_소각수목2" xfId="2209"/>
    <cellStyle name="2_단가조사표_수량산출서 (2)" xfId="2210"/>
    <cellStyle name="2_단가조사표_엑스포~1" xfId="2211"/>
    <cellStyle name="2_단가조사표_엑스포한빛1" xfId="2212"/>
    <cellStyle name="2_단가조사표_여객터미널331" xfId="2213"/>
    <cellStyle name="2_단가조사표_여객터미널513" xfId="2214"/>
    <cellStyle name="2_단가조사표_여객터미널629" xfId="2215"/>
    <cellStyle name="2_단가조사표_외곽도로616" xfId="2216"/>
    <cellStyle name="2_단가조사표_용인죽전수량" xfId="2217"/>
    <cellStyle name="2_단가조사표_원가계~1" xfId="2218"/>
    <cellStyle name="2_단가조사표_유기질" xfId="2219"/>
    <cellStyle name="2_단가조사표_자재조서 (2)" xfId="2220"/>
    <cellStyle name="2_단가조사표_총괄내역" xfId="2221"/>
    <cellStyle name="2_단가조사표_총괄내역 (2)" xfId="2222"/>
    <cellStyle name="2_단가조사표_터미널도로403" xfId="2223"/>
    <cellStyle name="2_단가조사표_터미널도로429" xfId="2224"/>
    <cellStyle name="2_단가조사표_포장일위" xfId="2225"/>
    <cellStyle name="20% - 강조색1 2" xfId="2226"/>
    <cellStyle name="20% - 강조색2 2" xfId="2227"/>
    <cellStyle name="20% - 강조색3 2" xfId="2228"/>
    <cellStyle name="20% - 강조색4 2" xfId="2229"/>
    <cellStyle name="20% - 강조색5 2" xfId="2230"/>
    <cellStyle name="20% - 강조색6 2" xfId="2231"/>
    <cellStyle name="3" xfId="2232"/>
    <cellStyle name="40% - 강조색1 2" xfId="2233"/>
    <cellStyle name="40% - 강조색2 2" xfId="2234"/>
    <cellStyle name="40% - 강조색3 2" xfId="2235"/>
    <cellStyle name="40% - 강조색4 2" xfId="2236"/>
    <cellStyle name="40% - 강조색5 2" xfId="2237"/>
    <cellStyle name="40% - 강조색6 2" xfId="2238"/>
    <cellStyle name="6" xfId="2239"/>
    <cellStyle name="60% - 강조색1 2" xfId="2240"/>
    <cellStyle name="60% - 강조색2 2" xfId="2241"/>
    <cellStyle name="60% - 강조색3 2" xfId="2242"/>
    <cellStyle name="60% - 강조색4 2" xfId="2243"/>
    <cellStyle name="60% - 강조색5 2" xfId="2244"/>
    <cellStyle name="60% - 강조색6 2" xfId="2245"/>
    <cellStyle name="96" xfId="2246"/>
    <cellStyle name="a [0]_mud plant bolted" xfId="2247"/>
    <cellStyle name="a)" xfId="2248"/>
    <cellStyle name="AeE­ [0]_ 2ÆAAþº° " xfId="2249"/>
    <cellStyle name="ÅëÈ­ [0]_»óºÎ¼ö·®Áý°è " xfId="2250"/>
    <cellStyle name="AeE­ [0]_A¾CO½A¼³ " xfId="2251"/>
    <cellStyle name="AeE­_ 2ÆAAþº° " xfId="2252"/>
    <cellStyle name="ÅëÈ­_»óºÎ¼ö·®Áý°è " xfId="2253"/>
    <cellStyle name="AeE­_A¾CO½A¼³ " xfId="2254"/>
    <cellStyle name="ALIGNMENT" xfId="2255"/>
    <cellStyle name="AÞ¸¶ [0]_ 2ÆAAþº° " xfId="2256"/>
    <cellStyle name="ÄÞ¸¶ [0]_»óºÎ¼ö·®Áý°è " xfId="2257"/>
    <cellStyle name="AÞ¸¶ [0]_A¾CO½A¼³ " xfId="2258"/>
    <cellStyle name="AÞ¸¶_ 2ÆAAþº° " xfId="2259"/>
    <cellStyle name="ÄÞ¸¶_»óºÎ¼ö·®Áý°è " xfId="2260"/>
    <cellStyle name="AÞ¸¶_A¾CO½A¼³ " xfId="2261"/>
    <cellStyle name="BA" xfId="2262"/>
    <cellStyle name="b椬ៜ_x000c_Comma_ODCOS " xfId="2263"/>
    <cellStyle name="C￥AØ_ 2ÆAAþº° " xfId="2264"/>
    <cellStyle name="Ç¥ÁØ_»óºÎ¼ö·®Áý°è " xfId="2265"/>
    <cellStyle name="C￥AØ_≫c¾÷ºIº° AN°e " xfId="2266"/>
    <cellStyle name="Calc Currency (0)" xfId="2267"/>
    <cellStyle name="category" xfId="2268"/>
    <cellStyle name="Comma" xfId="2269"/>
    <cellStyle name="Comma [0]" xfId="2270"/>
    <cellStyle name="Comma [0] 2" xfId="2271"/>
    <cellStyle name="Comma 2" xfId="2272"/>
    <cellStyle name="Comma 3" xfId="2273"/>
    <cellStyle name="Comma 4" xfId="2274"/>
    <cellStyle name="comma zerodec" xfId="2275"/>
    <cellStyle name="comma zerodec 2" xfId="2276"/>
    <cellStyle name="comma zerodec 3" xfId="2277"/>
    <cellStyle name="Comma_ SG&amp;A Bridge " xfId="2278"/>
    <cellStyle name="Comma0" xfId="2279"/>
    <cellStyle name="Copied" xfId="2280"/>
    <cellStyle name="Curren" xfId="2281"/>
    <cellStyle name="Currenby_Cash&amp;DSO Chart" xfId="2282"/>
    <cellStyle name="Currency" xfId="2283"/>
    <cellStyle name="Currency [0]" xfId="2284"/>
    <cellStyle name="Currency [0] 2" xfId="2285"/>
    <cellStyle name="Currency [ﺜ]_P&amp;L_laroux" xfId="2286"/>
    <cellStyle name="Currency 2" xfId="2287"/>
    <cellStyle name="Currency 3" xfId="2288"/>
    <cellStyle name="Currency 4" xfId="2289"/>
    <cellStyle name="Currency_ SG&amp;A Bridge " xfId="2290"/>
    <cellStyle name="Currency0" xfId="2291"/>
    <cellStyle name="Currency0 2" xfId="2292"/>
    <cellStyle name="Currency1" xfId="2293"/>
    <cellStyle name="Currency1 2" xfId="2294"/>
    <cellStyle name="Currency1 3" xfId="2295"/>
    <cellStyle name="Date" xfId="2296"/>
    <cellStyle name="Date 2" xfId="2297"/>
    <cellStyle name="Date 3" xfId="2298"/>
    <cellStyle name="de" xfId="2299"/>
    <cellStyle name="Dezimal [0]_Compiling Utility Macros" xfId="2300"/>
    <cellStyle name="Dezimal_Compiling Utility Macros" xfId="2301"/>
    <cellStyle name="Dollar (zero dec)" xfId="2302"/>
    <cellStyle name="Dollar (zero dec) 2" xfId="2303"/>
    <cellStyle name="Dollar (zero dec) 3" xfId="2304"/>
    <cellStyle name="EA" xfId="2305"/>
    <cellStyle name="Entered" xfId="2306"/>
    <cellStyle name="Euro" xfId="2307"/>
    <cellStyle name="Euro 2" xfId="2308"/>
    <cellStyle name="F2" xfId="2309"/>
    <cellStyle name="F2 2" xfId="2310"/>
    <cellStyle name="F3" xfId="2311"/>
    <cellStyle name="F3 2" xfId="2312"/>
    <cellStyle name="F4" xfId="2313"/>
    <cellStyle name="F4 2" xfId="2314"/>
    <cellStyle name="F5" xfId="2315"/>
    <cellStyle name="F5 2" xfId="2316"/>
    <cellStyle name="F6" xfId="2317"/>
    <cellStyle name="F6 2" xfId="2318"/>
    <cellStyle name="F7" xfId="2319"/>
    <cellStyle name="F7 2" xfId="2320"/>
    <cellStyle name="F8" xfId="2321"/>
    <cellStyle name="F8 2" xfId="2322"/>
    <cellStyle name="Fixed" xfId="2323"/>
    <cellStyle name="Fixed 2" xfId="2324"/>
    <cellStyle name="Fixed 3" xfId="2325"/>
    <cellStyle name="g" xfId="2326"/>
    <cellStyle name="Grey" xfId="2327"/>
    <cellStyle name="Grey 2" xfId="2328"/>
    <cellStyle name="H1" xfId="2329"/>
    <cellStyle name="H2" xfId="2330"/>
    <cellStyle name="HEADER" xfId="2331"/>
    <cellStyle name="Header1" xfId="2332"/>
    <cellStyle name="Header2" xfId="2333"/>
    <cellStyle name="Heading 1" xfId="2334"/>
    <cellStyle name="Heading 2" xfId="2335"/>
    <cellStyle name="Heading1" xfId="2336"/>
    <cellStyle name="Heading1 2" xfId="2337"/>
    <cellStyle name="Heading1 3" xfId="2338"/>
    <cellStyle name="Heading2" xfId="2339"/>
    <cellStyle name="Heading2 2" xfId="2340"/>
    <cellStyle name="Heading2 3" xfId="2341"/>
    <cellStyle name="Hyperlink_NEGS" xfId="2342"/>
    <cellStyle name="Input [yellow]" xfId="2343"/>
    <cellStyle name="Input [yellow] 2" xfId="2344"/>
    <cellStyle name="Midtitle" xfId="2345"/>
    <cellStyle name="Midtitle 2" xfId="2346"/>
    <cellStyle name="Midtitle 3" xfId="2347"/>
    <cellStyle name="Milliers [0]_399GC10" xfId="2348"/>
    <cellStyle name="Milliers_399GC10" xfId="2349"/>
    <cellStyle name="Model" xfId="2350"/>
    <cellStyle name="Mon?aire [0]_399GC10" xfId="2351"/>
    <cellStyle name="Mon?aire_399GC10" xfId="2352"/>
    <cellStyle name="n" xfId="2353"/>
    <cellStyle name="no dec" xfId="2354"/>
    <cellStyle name="normal" xfId="2355"/>
    <cellStyle name="Normal - Style1" xfId="2356"/>
    <cellStyle name="Normal - Style1 2" xfId="2357"/>
    <cellStyle name="Normal - Style1 3" xfId="2358"/>
    <cellStyle name="Normal - 유형1" xfId="2359"/>
    <cellStyle name="Normal_ SG&amp;A Bridge " xfId="2360"/>
    <cellStyle name="O" xfId="2361"/>
    <cellStyle name="OD" xfId="2362"/>
    <cellStyle name="Œ…?æ맖?e [0.00]_laroux" xfId="2363"/>
    <cellStyle name="Œ…?æ맖?e_laroux" xfId="2364"/>
    <cellStyle name="Percent" xfId="2365"/>
    <cellStyle name="Percent [2]" xfId="2366"/>
    <cellStyle name="Percent 2" xfId="2367"/>
    <cellStyle name="Percent 3" xfId="2368"/>
    <cellStyle name="Percent 4" xfId="2369"/>
    <cellStyle name="Percent_!간지" xfId="2370"/>
    <cellStyle name="Q1" xfId="2371"/>
    <cellStyle name="Q4" xfId="2372"/>
    <cellStyle name="RevList" xfId="2373"/>
    <cellStyle name="s" xfId="2374"/>
    <cellStyle name="S " xfId="2375"/>
    <cellStyle name="Standard_Anpassen der Amortisation" xfId="2376"/>
    <cellStyle name="subhead" xfId="2377"/>
    <cellStyle name="Subtotal" xfId="2378"/>
    <cellStyle name="t1" xfId="2379"/>
    <cellStyle name="testtitle" xfId="2380"/>
    <cellStyle name="testtitle 2" xfId="2381"/>
    <cellStyle name="testtitle 3" xfId="2382"/>
    <cellStyle name="title [1]" xfId="2383"/>
    <cellStyle name="title [2]" xfId="2384"/>
    <cellStyle name="ton" xfId="2385"/>
    <cellStyle name="Total" xfId="2386"/>
    <cellStyle name="Total 2" xfId="2387"/>
    <cellStyle name="Total 3" xfId="2388"/>
    <cellStyle name="UM" xfId="2389"/>
    <cellStyle name="W?rung [0]_Compiling Utility Macros" xfId="2390"/>
    <cellStyle name="W?rung_Compiling Utility Macros" xfId="2391"/>
    <cellStyle name="" xfId="2392"/>
    <cellStyle name="강조색1 2" xfId="2393"/>
    <cellStyle name="강조색2 2" xfId="2394"/>
    <cellStyle name="강조색3 2" xfId="2395"/>
    <cellStyle name="강조색4 2" xfId="2396"/>
    <cellStyle name="강조색5 2" xfId="2397"/>
    <cellStyle name="강조색6 2" xfId="2398"/>
    <cellStyle name="경고문 2" xfId="2399"/>
    <cellStyle name="계산 2" xfId="2400"/>
    <cellStyle name="고정소숫점" xfId="2401"/>
    <cellStyle name="고정소숫점 2" xfId="2402"/>
    <cellStyle name="고정출력1" xfId="2403"/>
    <cellStyle name="고정출력2" xfId="2404"/>
    <cellStyle name="나쁨 2" xfId="2405"/>
    <cellStyle name="날짜" xfId="2406"/>
    <cellStyle name="내역서" xfId="2407"/>
    <cellStyle name="달러" xfId="2408"/>
    <cellStyle name="뒤에 오는 하이퍼링크_1차포장공1" xfId="2409"/>
    <cellStyle name="똿떓죶Ø괻 [0.00]_PRODUCT DETAIL Q1" xfId="2410"/>
    <cellStyle name="똿떓죶Ø괻_PRODUCT DETAIL Q1" xfId="2411"/>
    <cellStyle name="똿뗦먛귟 [0.00]_PRODUCT DETAIL Q1" xfId="2412"/>
    <cellStyle name="똿뗦먛귟_PRODUCT DETAIL Q1" xfId="2413"/>
    <cellStyle name="메모 2" xfId="2414"/>
    <cellStyle name="묮뎋 [0.00]_PRODUCT DETAIL Q1" xfId="2415"/>
    <cellStyle name="묮뎋_PRODUCT DETAIL Q1" xfId="2416"/>
    <cellStyle name="믅됞 [0.00]_PRODUCT DETAIL Q1" xfId="2417"/>
    <cellStyle name="믅됞_PRODUCT DETAIL Q1" xfId="2418"/>
    <cellStyle name="백" xfId="2419"/>
    <cellStyle name="백분율 [0]" xfId="2420"/>
    <cellStyle name="백분율 [2]" xfId="2421"/>
    <cellStyle name="백분율 2" xfId="2422"/>
    <cellStyle name="보통 2" xfId="2423"/>
    <cellStyle name="뷭?_7200000" xfId="2424"/>
    <cellStyle name="선택영역" xfId="2425"/>
    <cellStyle name="선택영역 2" xfId="2426"/>
    <cellStyle name="선택영역 가운데" xfId="2427"/>
    <cellStyle name="선택영역_토공수량" xfId="2428"/>
    <cellStyle name="선택영역의 가운데" xfId="2429"/>
    <cellStyle name="선택영영" xfId="2430"/>
    <cellStyle name="설명 텍스트 2" xfId="2431"/>
    <cellStyle name="셀 확인 2" xfId="2432"/>
    <cellStyle name="소숫점0" xfId="2433"/>
    <cellStyle name="소숫점3" xfId="2434"/>
    <cellStyle name="수량산출" xfId="2435"/>
    <cellStyle name="숫자" xfId="2436"/>
    <cellStyle name="숫자(R)" xfId="2437"/>
    <cellStyle name="숫자(R) 2" xfId="2438"/>
    <cellStyle name="숫자_00교각수량집계" xfId="2439"/>
    <cellStyle name="숫자1" xfId="2440"/>
    <cellStyle name="숫자3" xfId="2441"/>
    <cellStyle name="숫자3R" xfId="2442"/>
    <cellStyle name="숫자3자리" xfId="2443"/>
    <cellStyle name="쉼표 [0]" xfId="2444" builtinId="6"/>
    <cellStyle name="쉼표 [0] 2" xfId="2445"/>
    <cellStyle name="쉼표 [0] 2 2" xfId="2446"/>
    <cellStyle name="쉼표 [0] 3" xfId="2447"/>
    <cellStyle name="스타일 1" xfId="2448"/>
    <cellStyle name="스타일 1 2" xfId="2449"/>
    <cellStyle name="스타일 10" xfId="2450"/>
    <cellStyle name="스타일 100" xfId="2451"/>
    <cellStyle name="스타일 101" xfId="2452"/>
    <cellStyle name="스타일 102" xfId="2453"/>
    <cellStyle name="스타일 103" xfId="2454"/>
    <cellStyle name="스타일 104" xfId="2455"/>
    <cellStyle name="스타일 105" xfId="2456"/>
    <cellStyle name="스타일 106" xfId="2457"/>
    <cellStyle name="스타일 107" xfId="2458"/>
    <cellStyle name="스타일 108" xfId="2459"/>
    <cellStyle name="스타일 109" xfId="2460"/>
    <cellStyle name="스타일 11" xfId="2461"/>
    <cellStyle name="스타일 110" xfId="2462"/>
    <cellStyle name="스타일 111" xfId="2463"/>
    <cellStyle name="스타일 112" xfId="2464"/>
    <cellStyle name="스타일 113" xfId="2465"/>
    <cellStyle name="스타일 114" xfId="2466"/>
    <cellStyle name="스타일 115" xfId="2467"/>
    <cellStyle name="스타일 116" xfId="2468"/>
    <cellStyle name="스타일 117" xfId="2469"/>
    <cellStyle name="스타일 118" xfId="2470"/>
    <cellStyle name="스타일 119" xfId="2471"/>
    <cellStyle name="스타일 12" xfId="2472"/>
    <cellStyle name="스타일 120" xfId="2473"/>
    <cellStyle name="스타일 121" xfId="2474"/>
    <cellStyle name="스타일 122" xfId="2475"/>
    <cellStyle name="스타일 123" xfId="2476"/>
    <cellStyle name="스타일 124" xfId="2477"/>
    <cellStyle name="스타일 125" xfId="2478"/>
    <cellStyle name="스타일 126" xfId="2479"/>
    <cellStyle name="스타일 127" xfId="2480"/>
    <cellStyle name="스타일 128" xfId="2481"/>
    <cellStyle name="스타일 129" xfId="2482"/>
    <cellStyle name="스타일 13" xfId="2483"/>
    <cellStyle name="스타일 130" xfId="2484"/>
    <cellStyle name="스타일 131" xfId="2485"/>
    <cellStyle name="스타일 132" xfId="2486"/>
    <cellStyle name="스타일 133" xfId="2487"/>
    <cellStyle name="스타일 134" xfId="2488"/>
    <cellStyle name="스타일 135" xfId="2489"/>
    <cellStyle name="스타일 136" xfId="2490"/>
    <cellStyle name="스타일 137" xfId="2491"/>
    <cellStyle name="스타일 138" xfId="2492"/>
    <cellStyle name="스타일 139" xfId="2493"/>
    <cellStyle name="스타일 14" xfId="2494"/>
    <cellStyle name="스타일 140" xfId="2495"/>
    <cellStyle name="스타일 141" xfId="2496"/>
    <cellStyle name="스타일 142" xfId="2497"/>
    <cellStyle name="스타일 143" xfId="2498"/>
    <cellStyle name="스타일 144" xfId="2499"/>
    <cellStyle name="스타일 145" xfId="2500"/>
    <cellStyle name="스타일 146" xfId="2501"/>
    <cellStyle name="스타일 147" xfId="2502"/>
    <cellStyle name="스타일 148" xfId="2503"/>
    <cellStyle name="스타일 149" xfId="2504"/>
    <cellStyle name="스타일 15" xfId="2505"/>
    <cellStyle name="스타일 150" xfId="2506"/>
    <cellStyle name="스타일 151" xfId="2507"/>
    <cellStyle name="스타일 152" xfId="2508"/>
    <cellStyle name="스타일 153" xfId="2509"/>
    <cellStyle name="스타일 154" xfId="2510"/>
    <cellStyle name="스타일 155" xfId="2511"/>
    <cellStyle name="스타일 156" xfId="2512"/>
    <cellStyle name="스타일 157" xfId="2513"/>
    <cellStyle name="스타일 158" xfId="2514"/>
    <cellStyle name="스타일 159" xfId="2515"/>
    <cellStyle name="스타일 16" xfId="2516"/>
    <cellStyle name="스타일 160" xfId="2517"/>
    <cellStyle name="스타일 161" xfId="2518"/>
    <cellStyle name="스타일 162" xfId="2519"/>
    <cellStyle name="스타일 163" xfId="2520"/>
    <cellStyle name="스타일 164" xfId="2521"/>
    <cellStyle name="스타일 165" xfId="2522"/>
    <cellStyle name="스타일 166" xfId="2523"/>
    <cellStyle name="스타일 167" xfId="2524"/>
    <cellStyle name="스타일 168" xfId="2525"/>
    <cellStyle name="스타일 169" xfId="2526"/>
    <cellStyle name="스타일 17" xfId="2527"/>
    <cellStyle name="스타일 170" xfId="2528"/>
    <cellStyle name="스타일 171" xfId="2529"/>
    <cellStyle name="스타일 172" xfId="2530"/>
    <cellStyle name="스타일 173" xfId="2531"/>
    <cellStyle name="스타일 174" xfId="2532"/>
    <cellStyle name="스타일 175" xfId="2533"/>
    <cellStyle name="스타일 176" xfId="2534"/>
    <cellStyle name="스타일 177" xfId="2535"/>
    <cellStyle name="스타일 178" xfId="2536"/>
    <cellStyle name="스타일 179" xfId="2537"/>
    <cellStyle name="스타일 18" xfId="2538"/>
    <cellStyle name="스타일 180" xfId="2539"/>
    <cellStyle name="스타일 181" xfId="2540"/>
    <cellStyle name="스타일 182" xfId="2541"/>
    <cellStyle name="스타일 183" xfId="2542"/>
    <cellStyle name="스타일 184" xfId="2543"/>
    <cellStyle name="스타일 185" xfId="2544"/>
    <cellStyle name="스타일 186" xfId="2545"/>
    <cellStyle name="스타일 187" xfId="2546"/>
    <cellStyle name="스타일 188" xfId="2547"/>
    <cellStyle name="스타일 189" xfId="2548"/>
    <cellStyle name="스타일 19" xfId="2549"/>
    <cellStyle name="스타일 190" xfId="2550"/>
    <cellStyle name="스타일 191" xfId="2551"/>
    <cellStyle name="스타일 192" xfId="2552"/>
    <cellStyle name="스타일 193" xfId="2553"/>
    <cellStyle name="스타일 194" xfId="2554"/>
    <cellStyle name="스타일 195" xfId="2555"/>
    <cellStyle name="스타일 196" xfId="2556"/>
    <cellStyle name="스타일 197" xfId="2557"/>
    <cellStyle name="스타일 198" xfId="2558"/>
    <cellStyle name="스타일 199" xfId="2559"/>
    <cellStyle name="스타일 2" xfId="2560"/>
    <cellStyle name="스타일 2 2" xfId="2561"/>
    <cellStyle name="스타일 20" xfId="2562"/>
    <cellStyle name="스타일 200" xfId="2563"/>
    <cellStyle name="스타일 201" xfId="2564"/>
    <cellStyle name="스타일 202" xfId="2565"/>
    <cellStyle name="스타일 203" xfId="2566"/>
    <cellStyle name="스타일 204" xfId="2567"/>
    <cellStyle name="스타일 205" xfId="2568"/>
    <cellStyle name="스타일 206" xfId="2569"/>
    <cellStyle name="스타일 207" xfId="2570"/>
    <cellStyle name="스타일 208" xfId="2571"/>
    <cellStyle name="스타일 209" xfId="2572"/>
    <cellStyle name="스타일 21" xfId="2573"/>
    <cellStyle name="스타일 210" xfId="2574"/>
    <cellStyle name="스타일 211" xfId="2575"/>
    <cellStyle name="스타일 212" xfId="2576"/>
    <cellStyle name="스타일 213" xfId="2577"/>
    <cellStyle name="스타일 214" xfId="2578"/>
    <cellStyle name="스타일 215" xfId="2579"/>
    <cellStyle name="스타일 216" xfId="2580"/>
    <cellStyle name="스타일 217" xfId="2581"/>
    <cellStyle name="스타일 218" xfId="2582"/>
    <cellStyle name="스타일 219" xfId="2583"/>
    <cellStyle name="스타일 22" xfId="2584"/>
    <cellStyle name="스타일 220" xfId="2585"/>
    <cellStyle name="스타일 221" xfId="2586"/>
    <cellStyle name="스타일 222" xfId="2587"/>
    <cellStyle name="스타일 223" xfId="2588"/>
    <cellStyle name="스타일 224" xfId="2589"/>
    <cellStyle name="스타일 225" xfId="2590"/>
    <cellStyle name="스타일 226" xfId="2591"/>
    <cellStyle name="스타일 227" xfId="2592"/>
    <cellStyle name="스타일 228" xfId="2593"/>
    <cellStyle name="스타일 229" xfId="2594"/>
    <cellStyle name="스타일 23" xfId="2595"/>
    <cellStyle name="스타일 230" xfId="2596"/>
    <cellStyle name="스타일 231" xfId="2597"/>
    <cellStyle name="스타일 232" xfId="2598"/>
    <cellStyle name="스타일 233" xfId="2599"/>
    <cellStyle name="스타일 234" xfId="2600"/>
    <cellStyle name="스타일 235" xfId="2601"/>
    <cellStyle name="스타일 236" xfId="2602"/>
    <cellStyle name="스타일 237" xfId="2603"/>
    <cellStyle name="스타일 238" xfId="2604"/>
    <cellStyle name="스타일 239" xfId="2605"/>
    <cellStyle name="스타일 24" xfId="2606"/>
    <cellStyle name="스타일 240" xfId="2607"/>
    <cellStyle name="스타일 241" xfId="2608"/>
    <cellStyle name="스타일 242" xfId="2609"/>
    <cellStyle name="스타일 243" xfId="2610"/>
    <cellStyle name="스타일 244" xfId="2611"/>
    <cellStyle name="스타일 245" xfId="2612"/>
    <cellStyle name="스타일 246" xfId="2613"/>
    <cellStyle name="스타일 247" xfId="2614"/>
    <cellStyle name="스타일 248" xfId="2615"/>
    <cellStyle name="스타일 249" xfId="2616"/>
    <cellStyle name="스타일 25" xfId="2617"/>
    <cellStyle name="스타일 250" xfId="2618"/>
    <cellStyle name="스타일 251" xfId="2619"/>
    <cellStyle name="스타일 252" xfId="2620"/>
    <cellStyle name="스타일 253" xfId="2621"/>
    <cellStyle name="스타일 254" xfId="2622"/>
    <cellStyle name="스타일 255" xfId="2623"/>
    <cellStyle name="스타일 256" xfId="2624"/>
    <cellStyle name="스타일 257" xfId="2625"/>
    <cellStyle name="스타일 258" xfId="2626"/>
    <cellStyle name="스타일 259" xfId="2627"/>
    <cellStyle name="스타일 26" xfId="2628"/>
    <cellStyle name="스타일 260" xfId="2629"/>
    <cellStyle name="스타일 261" xfId="2630"/>
    <cellStyle name="스타일 262" xfId="2631"/>
    <cellStyle name="스타일 263" xfId="2632"/>
    <cellStyle name="스타일 264" xfId="2633"/>
    <cellStyle name="스타일 265" xfId="2634"/>
    <cellStyle name="스타일 266" xfId="2635"/>
    <cellStyle name="스타일 267" xfId="2636"/>
    <cellStyle name="스타일 268" xfId="2637"/>
    <cellStyle name="스타일 269" xfId="2638"/>
    <cellStyle name="스타일 27" xfId="2639"/>
    <cellStyle name="스타일 270" xfId="2640"/>
    <cellStyle name="스타일 271" xfId="2641"/>
    <cellStyle name="스타일 272" xfId="2642"/>
    <cellStyle name="스타일 273" xfId="2643"/>
    <cellStyle name="스타일 274" xfId="2644"/>
    <cellStyle name="스타일 275" xfId="2645"/>
    <cellStyle name="스타일 276" xfId="2646"/>
    <cellStyle name="스타일 277" xfId="2647"/>
    <cellStyle name="스타일 278" xfId="2648"/>
    <cellStyle name="스타일 279" xfId="2649"/>
    <cellStyle name="스타일 28" xfId="2650"/>
    <cellStyle name="스타일 280" xfId="2651"/>
    <cellStyle name="스타일 281" xfId="2652"/>
    <cellStyle name="스타일 282" xfId="2653"/>
    <cellStyle name="스타일 283" xfId="2654"/>
    <cellStyle name="스타일 284" xfId="2655"/>
    <cellStyle name="스타일 285" xfId="2656"/>
    <cellStyle name="스타일 286" xfId="2657"/>
    <cellStyle name="스타일 287" xfId="2658"/>
    <cellStyle name="스타일 288" xfId="2659"/>
    <cellStyle name="스타일 289" xfId="2660"/>
    <cellStyle name="스타일 29" xfId="2661"/>
    <cellStyle name="스타일 290" xfId="2662"/>
    <cellStyle name="스타일 291" xfId="2663"/>
    <cellStyle name="스타일 292" xfId="2664"/>
    <cellStyle name="스타일 293" xfId="2665"/>
    <cellStyle name="스타일 294" xfId="2666"/>
    <cellStyle name="스타일 295" xfId="2667"/>
    <cellStyle name="스타일 296" xfId="2668"/>
    <cellStyle name="스타일 297" xfId="2669"/>
    <cellStyle name="스타일 298" xfId="2670"/>
    <cellStyle name="스타일 299" xfId="2671"/>
    <cellStyle name="스타일 3" xfId="2672"/>
    <cellStyle name="스타일 3 2" xfId="2673"/>
    <cellStyle name="스타일 30" xfId="2674"/>
    <cellStyle name="스타일 300" xfId="2675"/>
    <cellStyle name="스타일 301" xfId="2676"/>
    <cellStyle name="스타일 302" xfId="2677"/>
    <cellStyle name="스타일 303" xfId="2678"/>
    <cellStyle name="스타일 304" xfId="2679"/>
    <cellStyle name="스타일 305" xfId="2680"/>
    <cellStyle name="스타일 306" xfId="2681"/>
    <cellStyle name="스타일 307" xfId="2682"/>
    <cellStyle name="스타일 308" xfId="2683"/>
    <cellStyle name="스타일 309" xfId="2684"/>
    <cellStyle name="스타일 31" xfId="2685"/>
    <cellStyle name="스타일 310" xfId="2686"/>
    <cellStyle name="스타일 311" xfId="2687"/>
    <cellStyle name="스타일 312" xfId="2688"/>
    <cellStyle name="스타일 313" xfId="2689"/>
    <cellStyle name="스타일 314" xfId="2690"/>
    <cellStyle name="스타일 315" xfId="2691"/>
    <cellStyle name="스타일 316" xfId="2692"/>
    <cellStyle name="스타일 317" xfId="2693"/>
    <cellStyle name="스타일 318" xfId="2694"/>
    <cellStyle name="스타일 319" xfId="2695"/>
    <cellStyle name="스타일 32" xfId="2696"/>
    <cellStyle name="스타일 320" xfId="2697"/>
    <cellStyle name="스타일 321" xfId="2698"/>
    <cellStyle name="스타일 322" xfId="2699"/>
    <cellStyle name="스타일 323" xfId="2700"/>
    <cellStyle name="스타일 324" xfId="2701"/>
    <cellStyle name="스타일 325" xfId="2702"/>
    <cellStyle name="스타일 326" xfId="2703"/>
    <cellStyle name="스타일 327" xfId="2704"/>
    <cellStyle name="스타일 328" xfId="2705"/>
    <cellStyle name="스타일 329" xfId="2706"/>
    <cellStyle name="스타일 33" xfId="2707"/>
    <cellStyle name="스타일 330" xfId="2708"/>
    <cellStyle name="스타일 331" xfId="2709"/>
    <cellStyle name="스타일 332" xfId="2710"/>
    <cellStyle name="스타일 333" xfId="2711"/>
    <cellStyle name="스타일 334" xfId="2712"/>
    <cellStyle name="스타일 335" xfId="2713"/>
    <cellStyle name="스타일 336" xfId="2714"/>
    <cellStyle name="스타일 337" xfId="2715"/>
    <cellStyle name="스타일 338" xfId="2716"/>
    <cellStyle name="스타일 339" xfId="2717"/>
    <cellStyle name="스타일 34" xfId="2718"/>
    <cellStyle name="스타일 340" xfId="2719"/>
    <cellStyle name="스타일 341" xfId="2720"/>
    <cellStyle name="스타일 342" xfId="2721"/>
    <cellStyle name="스타일 343" xfId="2722"/>
    <cellStyle name="스타일 344" xfId="2723"/>
    <cellStyle name="스타일 345" xfId="2724"/>
    <cellStyle name="스타일 346" xfId="2725"/>
    <cellStyle name="스타일 347" xfId="2726"/>
    <cellStyle name="스타일 348" xfId="2727"/>
    <cellStyle name="스타일 349" xfId="2728"/>
    <cellStyle name="스타일 35" xfId="2729"/>
    <cellStyle name="스타일 350" xfId="2730"/>
    <cellStyle name="스타일 351" xfId="2731"/>
    <cellStyle name="스타일 352" xfId="2732"/>
    <cellStyle name="스타일 353" xfId="2733"/>
    <cellStyle name="스타일 354" xfId="2734"/>
    <cellStyle name="스타일 355" xfId="2735"/>
    <cellStyle name="스타일 356" xfId="2736"/>
    <cellStyle name="스타일 357" xfId="2737"/>
    <cellStyle name="스타일 358" xfId="2738"/>
    <cellStyle name="스타일 359" xfId="2739"/>
    <cellStyle name="스타일 36" xfId="2740"/>
    <cellStyle name="스타일 360" xfId="2741"/>
    <cellStyle name="스타일 361" xfId="2742"/>
    <cellStyle name="스타일 362" xfId="2743"/>
    <cellStyle name="스타일 363" xfId="2744"/>
    <cellStyle name="스타일 364" xfId="2745"/>
    <cellStyle name="스타일 365" xfId="2746"/>
    <cellStyle name="스타일 366" xfId="2747"/>
    <cellStyle name="스타일 367" xfId="2748"/>
    <cellStyle name="스타일 368" xfId="2749"/>
    <cellStyle name="스타일 369" xfId="2750"/>
    <cellStyle name="스타일 37" xfId="2751"/>
    <cellStyle name="스타일 370" xfId="2752"/>
    <cellStyle name="스타일 371" xfId="2753"/>
    <cellStyle name="스타일 372" xfId="2754"/>
    <cellStyle name="스타일 373" xfId="2755"/>
    <cellStyle name="스타일 374" xfId="2756"/>
    <cellStyle name="스타일 375" xfId="2757"/>
    <cellStyle name="스타일 376" xfId="2758"/>
    <cellStyle name="스타일 377" xfId="2759"/>
    <cellStyle name="스타일 378" xfId="2760"/>
    <cellStyle name="스타일 379" xfId="2761"/>
    <cellStyle name="스타일 38" xfId="2762"/>
    <cellStyle name="스타일 380" xfId="2763"/>
    <cellStyle name="스타일 381" xfId="2764"/>
    <cellStyle name="스타일 382" xfId="2765"/>
    <cellStyle name="스타일 383" xfId="2766"/>
    <cellStyle name="스타일 384" xfId="2767"/>
    <cellStyle name="스타일 385" xfId="2768"/>
    <cellStyle name="스타일 386" xfId="2769"/>
    <cellStyle name="스타일 387" xfId="2770"/>
    <cellStyle name="스타일 388" xfId="2771"/>
    <cellStyle name="스타일 389" xfId="2772"/>
    <cellStyle name="스타일 39" xfId="2773"/>
    <cellStyle name="스타일 390" xfId="2774"/>
    <cellStyle name="스타일 391" xfId="2775"/>
    <cellStyle name="스타일 392" xfId="2776"/>
    <cellStyle name="스타일 393" xfId="2777"/>
    <cellStyle name="스타일 394" xfId="2778"/>
    <cellStyle name="스타일 395" xfId="2779"/>
    <cellStyle name="스타일 396" xfId="2780"/>
    <cellStyle name="스타일 397" xfId="2781"/>
    <cellStyle name="스타일 398" xfId="2782"/>
    <cellStyle name="스타일 399" xfId="2783"/>
    <cellStyle name="스타일 4" xfId="2784"/>
    <cellStyle name="스타일 4 2" xfId="2785"/>
    <cellStyle name="스타일 40" xfId="2786"/>
    <cellStyle name="스타일 400" xfId="2787"/>
    <cellStyle name="스타일 401" xfId="2788"/>
    <cellStyle name="스타일 402" xfId="2789"/>
    <cellStyle name="스타일 403" xfId="2790"/>
    <cellStyle name="스타일 404" xfId="2791"/>
    <cellStyle name="스타일 405" xfId="2792"/>
    <cellStyle name="스타일 406" xfId="2793"/>
    <cellStyle name="스타일 407" xfId="2794"/>
    <cellStyle name="스타일 408" xfId="2795"/>
    <cellStyle name="스타일 409" xfId="2796"/>
    <cellStyle name="스타일 41" xfId="2797"/>
    <cellStyle name="스타일 410" xfId="2798"/>
    <cellStyle name="스타일 411" xfId="2799"/>
    <cellStyle name="스타일 412" xfId="2800"/>
    <cellStyle name="스타일 413" xfId="2801"/>
    <cellStyle name="스타일 414" xfId="2802"/>
    <cellStyle name="스타일 415" xfId="2803"/>
    <cellStyle name="스타일 416" xfId="2804"/>
    <cellStyle name="스타일 417" xfId="2805"/>
    <cellStyle name="스타일 418" xfId="2806"/>
    <cellStyle name="스타일 419" xfId="2807"/>
    <cellStyle name="스타일 42" xfId="2808"/>
    <cellStyle name="스타일 420" xfId="2809"/>
    <cellStyle name="스타일 421" xfId="2810"/>
    <cellStyle name="스타일 422" xfId="2811"/>
    <cellStyle name="스타일 423" xfId="2812"/>
    <cellStyle name="스타일 424" xfId="2813"/>
    <cellStyle name="스타일 425" xfId="2814"/>
    <cellStyle name="스타일 426" xfId="2815"/>
    <cellStyle name="스타일 427" xfId="2816"/>
    <cellStyle name="스타일 428" xfId="2817"/>
    <cellStyle name="스타일 429" xfId="2818"/>
    <cellStyle name="스타일 43" xfId="2819"/>
    <cellStyle name="스타일 430" xfId="2820"/>
    <cellStyle name="스타일 431" xfId="2821"/>
    <cellStyle name="스타일 432" xfId="2822"/>
    <cellStyle name="스타일 433" xfId="2823"/>
    <cellStyle name="스타일 434" xfId="2824"/>
    <cellStyle name="스타일 435" xfId="2825"/>
    <cellStyle name="스타일 436" xfId="2826"/>
    <cellStyle name="스타일 437" xfId="2827"/>
    <cellStyle name="스타일 438" xfId="2828"/>
    <cellStyle name="스타일 439" xfId="2829"/>
    <cellStyle name="스타일 44" xfId="2830"/>
    <cellStyle name="스타일 440" xfId="2831"/>
    <cellStyle name="스타일 441" xfId="2832"/>
    <cellStyle name="스타일 442" xfId="2833"/>
    <cellStyle name="스타일 443" xfId="2834"/>
    <cellStyle name="스타일 444" xfId="2835"/>
    <cellStyle name="스타일 445" xfId="2836"/>
    <cellStyle name="스타일 446" xfId="2837"/>
    <cellStyle name="스타일 447" xfId="2838"/>
    <cellStyle name="스타일 448" xfId="2839"/>
    <cellStyle name="스타일 449" xfId="2840"/>
    <cellStyle name="스타일 45" xfId="2841"/>
    <cellStyle name="스타일 450" xfId="2842"/>
    <cellStyle name="스타일 451" xfId="2843"/>
    <cellStyle name="스타일 452" xfId="2844"/>
    <cellStyle name="스타일 453" xfId="2845"/>
    <cellStyle name="스타일 454" xfId="2846"/>
    <cellStyle name="스타일 455" xfId="2847"/>
    <cellStyle name="스타일 456" xfId="2848"/>
    <cellStyle name="스타일 457" xfId="2849"/>
    <cellStyle name="스타일 458" xfId="2850"/>
    <cellStyle name="스타일 459" xfId="2851"/>
    <cellStyle name="스타일 46" xfId="2852"/>
    <cellStyle name="스타일 460" xfId="2853"/>
    <cellStyle name="스타일 461" xfId="2854"/>
    <cellStyle name="스타일 462" xfId="2855"/>
    <cellStyle name="스타일 463" xfId="2856"/>
    <cellStyle name="스타일 464" xfId="2857"/>
    <cellStyle name="스타일 465" xfId="2858"/>
    <cellStyle name="스타일 466" xfId="2859"/>
    <cellStyle name="스타일 467" xfId="2860"/>
    <cellStyle name="스타일 468" xfId="2861"/>
    <cellStyle name="스타일 469" xfId="2862"/>
    <cellStyle name="스타일 47" xfId="2863"/>
    <cellStyle name="스타일 470" xfId="2864"/>
    <cellStyle name="스타일 471" xfId="2865"/>
    <cellStyle name="스타일 472" xfId="2866"/>
    <cellStyle name="스타일 473" xfId="2867"/>
    <cellStyle name="스타일 474" xfId="2868"/>
    <cellStyle name="스타일 475" xfId="2869"/>
    <cellStyle name="스타일 476" xfId="2870"/>
    <cellStyle name="스타일 477" xfId="2871"/>
    <cellStyle name="스타일 478" xfId="2872"/>
    <cellStyle name="스타일 479" xfId="2873"/>
    <cellStyle name="스타일 48" xfId="2874"/>
    <cellStyle name="스타일 480" xfId="2875"/>
    <cellStyle name="스타일 481" xfId="2876"/>
    <cellStyle name="스타일 482" xfId="2877"/>
    <cellStyle name="스타일 483" xfId="2878"/>
    <cellStyle name="스타일 484" xfId="2879"/>
    <cellStyle name="스타일 485" xfId="2880"/>
    <cellStyle name="스타일 486" xfId="2881"/>
    <cellStyle name="스타일 487" xfId="2882"/>
    <cellStyle name="스타일 488" xfId="2883"/>
    <cellStyle name="스타일 489" xfId="2884"/>
    <cellStyle name="스타일 49" xfId="2885"/>
    <cellStyle name="스타일 490" xfId="2886"/>
    <cellStyle name="스타일 491" xfId="2887"/>
    <cellStyle name="스타일 492" xfId="2888"/>
    <cellStyle name="스타일 493" xfId="2889"/>
    <cellStyle name="스타일 494" xfId="2890"/>
    <cellStyle name="스타일 495" xfId="2891"/>
    <cellStyle name="스타일 496" xfId="2892"/>
    <cellStyle name="스타일 497" xfId="2893"/>
    <cellStyle name="스타일 498" xfId="2894"/>
    <cellStyle name="스타일 499" xfId="2895"/>
    <cellStyle name="스타일 5" xfId="2896"/>
    <cellStyle name="스타일 50" xfId="2897"/>
    <cellStyle name="스타일 500" xfId="2898"/>
    <cellStyle name="스타일 501" xfId="2899"/>
    <cellStyle name="스타일 502" xfId="2900"/>
    <cellStyle name="스타일 503" xfId="2901"/>
    <cellStyle name="스타일 504" xfId="2902"/>
    <cellStyle name="스타일 505" xfId="2903"/>
    <cellStyle name="스타일 506" xfId="2904"/>
    <cellStyle name="스타일 507" xfId="2905"/>
    <cellStyle name="스타일 508" xfId="2906"/>
    <cellStyle name="스타일 509" xfId="2907"/>
    <cellStyle name="스타일 51" xfId="2908"/>
    <cellStyle name="스타일 510" xfId="2909"/>
    <cellStyle name="스타일 511" xfId="2910"/>
    <cellStyle name="스타일 512" xfId="2911"/>
    <cellStyle name="스타일 513" xfId="2912"/>
    <cellStyle name="스타일 514" xfId="2913"/>
    <cellStyle name="스타일 515" xfId="2914"/>
    <cellStyle name="스타일 516" xfId="2915"/>
    <cellStyle name="스타일 517" xfId="2916"/>
    <cellStyle name="스타일 518" xfId="2917"/>
    <cellStyle name="스타일 519" xfId="2918"/>
    <cellStyle name="스타일 52" xfId="2919"/>
    <cellStyle name="스타일 520" xfId="2920"/>
    <cellStyle name="스타일 521" xfId="2921"/>
    <cellStyle name="스타일 522" xfId="2922"/>
    <cellStyle name="스타일 523" xfId="2923"/>
    <cellStyle name="스타일 524" xfId="2924"/>
    <cellStyle name="스타일 525" xfId="2925"/>
    <cellStyle name="스타일 526" xfId="2926"/>
    <cellStyle name="스타일 527" xfId="2927"/>
    <cellStyle name="스타일 528" xfId="2928"/>
    <cellStyle name="스타일 529" xfId="2929"/>
    <cellStyle name="스타일 53" xfId="2930"/>
    <cellStyle name="스타일 530" xfId="2931"/>
    <cellStyle name="스타일 531" xfId="2932"/>
    <cellStyle name="스타일 532" xfId="2933"/>
    <cellStyle name="스타일 533" xfId="2934"/>
    <cellStyle name="스타일 534" xfId="2935"/>
    <cellStyle name="스타일 535" xfId="2936"/>
    <cellStyle name="스타일 536" xfId="2937"/>
    <cellStyle name="스타일 537" xfId="2938"/>
    <cellStyle name="스타일 538" xfId="2939"/>
    <cellStyle name="스타일 539" xfId="2940"/>
    <cellStyle name="스타일 54" xfId="2941"/>
    <cellStyle name="스타일 540" xfId="2942"/>
    <cellStyle name="스타일 541" xfId="2943"/>
    <cellStyle name="스타일 542" xfId="2944"/>
    <cellStyle name="스타일 543" xfId="2945"/>
    <cellStyle name="스타일 544" xfId="2946"/>
    <cellStyle name="스타일 545" xfId="2947"/>
    <cellStyle name="스타일 546" xfId="2948"/>
    <cellStyle name="스타일 547" xfId="2949"/>
    <cellStyle name="스타일 55" xfId="2950"/>
    <cellStyle name="스타일 56" xfId="2951"/>
    <cellStyle name="스타일 57" xfId="2952"/>
    <cellStyle name="스타일 58" xfId="2953"/>
    <cellStyle name="스타일 59" xfId="2954"/>
    <cellStyle name="스타일 6" xfId="2955"/>
    <cellStyle name="스타일 60" xfId="2956"/>
    <cellStyle name="스타일 61" xfId="2957"/>
    <cellStyle name="스타일 62" xfId="2958"/>
    <cellStyle name="스타일 63" xfId="2959"/>
    <cellStyle name="스타일 64" xfId="2960"/>
    <cellStyle name="스타일 65" xfId="2961"/>
    <cellStyle name="스타일 66" xfId="2962"/>
    <cellStyle name="스타일 67" xfId="2963"/>
    <cellStyle name="스타일 68" xfId="2964"/>
    <cellStyle name="스타일 69" xfId="2965"/>
    <cellStyle name="스타일 7" xfId="2966"/>
    <cellStyle name="스타일 70" xfId="2967"/>
    <cellStyle name="스타일 71" xfId="2968"/>
    <cellStyle name="스타일 72" xfId="2969"/>
    <cellStyle name="스타일 73" xfId="2970"/>
    <cellStyle name="스타일 74" xfId="2971"/>
    <cellStyle name="스타일 75" xfId="2972"/>
    <cellStyle name="스타일 76" xfId="2973"/>
    <cellStyle name="스타일 77" xfId="2974"/>
    <cellStyle name="스타일 78" xfId="2975"/>
    <cellStyle name="스타일 79" xfId="2976"/>
    <cellStyle name="스타일 8" xfId="2977"/>
    <cellStyle name="스타일 80" xfId="2978"/>
    <cellStyle name="스타일 81" xfId="2979"/>
    <cellStyle name="스타일 82" xfId="2980"/>
    <cellStyle name="스타일 83" xfId="2981"/>
    <cellStyle name="스타일 84" xfId="2982"/>
    <cellStyle name="스타일 85" xfId="2983"/>
    <cellStyle name="스타일 86" xfId="2984"/>
    <cellStyle name="스타일 87" xfId="2985"/>
    <cellStyle name="스타일 88" xfId="2986"/>
    <cellStyle name="스타일 89" xfId="2987"/>
    <cellStyle name="스타일 9" xfId="2988"/>
    <cellStyle name="스타일 90" xfId="2989"/>
    <cellStyle name="스타일 91" xfId="2990"/>
    <cellStyle name="스타일 92" xfId="2991"/>
    <cellStyle name="스타일 93" xfId="2992"/>
    <cellStyle name="스타일 94" xfId="2993"/>
    <cellStyle name="스타일 95" xfId="2994"/>
    <cellStyle name="스타일 96" xfId="2995"/>
    <cellStyle name="스타일 97" xfId="2996"/>
    <cellStyle name="스타일 98" xfId="2997"/>
    <cellStyle name="스타일 99" xfId="2998"/>
    <cellStyle name="안건회계법인" xfId="2999"/>
    <cellStyle name="연결된 셀 2" xfId="3000"/>
    <cellStyle name="요약 2" xfId="3001"/>
    <cellStyle name="우괄호_박심배수구조물공" xfId="3002"/>
    <cellStyle name="우측양괄호" xfId="3003"/>
    <cellStyle name="유1" xfId="3004"/>
    <cellStyle name="일반" xfId="3005"/>
    <cellStyle name="일반 2" xfId="3006"/>
    <cellStyle name="입력 2" xfId="3007"/>
    <cellStyle name="자리수" xfId="3008"/>
    <cellStyle name="자리수0" xfId="3009"/>
    <cellStyle name="자리수0 2" xfId="3010"/>
    <cellStyle name="제곱" xfId="3011"/>
    <cellStyle name="제목 1 2" xfId="3012"/>
    <cellStyle name="제목 2 2" xfId="3013"/>
    <cellStyle name="제목 3 2" xfId="3014"/>
    <cellStyle name="제목 4 2" xfId="3015"/>
    <cellStyle name="제목 5" xfId="3016"/>
    <cellStyle name="좁게_구조물 BOQ" xfId="3017"/>
    <cellStyle name="좋음 2" xfId="3018"/>
    <cellStyle name="좌괄호_박심배수구조물공" xfId="3019"/>
    <cellStyle name="좌측양괄호" xfId="3020"/>
    <cellStyle name="지정되지 않음" xfId="3021"/>
    <cellStyle name="출력 2" xfId="3022"/>
    <cellStyle name="콤" xfId="3023"/>
    <cellStyle name="콤마 [" xfId="3024"/>
    <cellStyle name="콤마 [0.00]" xfId="3025"/>
    <cellStyle name="콤마 [0]_ 4.하중계산  " xfId="3026"/>
    <cellStyle name="콤마 [0]기기자재비" xfId="3027"/>
    <cellStyle name="콤마 [000]" xfId="3028"/>
    <cellStyle name="콤마 [1]" xfId="3029"/>
    <cellStyle name="콤마 [2]" xfId="3030"/>
    <cellStyle name="콤마 [2] 2" xfId="3031"/>
    <cellStyle name="콤마[ ]" xfId="3032"/>
    <cellStyle name="콤마[*]" xfId="3033"/>
    <cellStyle name="콤마[,]" xfId="3034"/>
    <cellStyle name="콤마[.]" xfId="3035"/>
    <cellStyle name="콤마[0]" xfId="3036"/>
    <cellStyle name="콤마_ 4.하중계산  " xfId="3037"/>
    <cellStyle name="타이틀" xfId="3038"/>
    <cellStyle name="토공" xfId="3039"/>
    <cellStyle name="통" xfId="3040"/>
    <cellStyle name="통화 [" xfId="3041"/>
    <cellStyle name="통화 [0㉝〸" xfId="3042"/>
    <cellStyle name="퍼센트" xfId="3043"/>
    <cellStyle name="퍼센트 2" xfId="3044"/>
    <cellStyle name="표" xfId="3045"/>
    <cellStyle name="표_04-차도포장(1공구)" xfId="3046"/>
    <cellStyle name="표_05-보도포장(1공구)" xfId="3047"/>
    <cellStyle name="표_10_도로경계석(1공구)" xfId="3048"/>
    <cellStyle name="표_자전거도로포장" xfId="3049"/>
    <cellStyle name="표준" xfId="0" builtinId="0"/>
    <cellStyle name="표준 2" xfId="3050"/>
    <cellStyle name="표준 2 2" xfId="3051"/>
    <cellStyle name="표준 3" xfId="3052"/>
    <cellStyle name="표준 4" xfId="3053"/>
    <cellStyle name="표준 5" xfId="3054"/>
    <cellStyle name="표준 6" xfId="3055"/>
    <cellStyle name="표준 7" xfId="3056"/>
    <cellStyle name="표준_01.교리IC1교 수량" xfId="3057"/>
    <cellStyle name="표준_010.문양육교BOQ " xfId="3058"/>
    <cellStyle name="표준_064.도당육교교대수량" xfId="3059"/>
    <cellStyle name="標準_Akia(F）-8" xfId="3060"/>
    <cellStyle name="표준_BLOCK1" xfId="3061"/>
    <cellStyle name="표준_건일" xfId="3062"/>
    <cellStyle name="標準_南青山報告書" xfId="3063"/>
    <cellStyle name="표준_우산교-sum" xfId="3064"/>
    <cellStyle name="표준_이월수량집계표" xfId="3065"/>
    <cellStyle name="표준_철근집계" xfId="3066"/>
    <cellStyle name="표준1" xfId="3067"/>
    <cellStyle name="표준2" xfId="3068"/>
    <cellStyle name="합산" xfId="3069"/>
    <cellStyle name="화폐기호" xfId="3070"/>
    <cellStyle name="화폐기호 2" xfId="3071"/>
    <cellStyle name="화폐기호0" xfId="3072"/>
    <cellStyle name="화폐기호0 2" xfId="30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3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70.xml"/><Relationship Id="rId138" Type="http://schemas.openxmlformats.org/officeDocument/2006/relationships/externalLink" Target="externalLinks/externalLink124.xml"/><Relationship Id="rId107" Type="http://schemas.openxmlformats.org/officeDocument/2006/relationships/externalLink" Target="externalLinks/externalLink9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60.xml"/><Relationship Id="rId128" Type="http://schemas.openxmlformats.org/officeDocument/2006/relationships/externalLink" Target="externalLinks/externalLink114.xml"/><Relationship Id="rId149" Type="http://schemas.openxmlformats.org/officeDocument/2006/relationships/theme" Target="theme/theme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1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113" Type="http://schemas.openxmlformats.org/officeDocument/2006/relationships/externalLink" Target="externalLinks/externalLink99.xml"/><Relationship Id="rId118" Type="http://schemas.openxmlformats.org/officeDocument/2006/relationships/externalLink" Target="externalLinks/externalLink104.xml"/><Relationship Id="rId134" Type="http://schemas.openxmlformats.org/officeDocument/2006/relationships/externalLink" Target="externalLinks/externalLink120.xml"/><Relationship Id="rId139" Type="http://schemas.openxmlformats.org/officeDocument/2006/relationships/externalLink" Target="externalLinks/externalLink125.xml"/><Relationship Id="rId80" Type="http://schemas.openxmlformats.org/officeDocument/2006/relationships/externalLink" Target="externalLinks/externalLink66.xml"/><Relationship Id="rId85" Type="http://schemas.openxmlformats.org/officeDocument/2006/relationships/externalLink" Target="externalLinks/externalLink71.xml"/><Relationship Id="rId150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45.xml"/><Relationship Id="rId103" Type="http://schemas.openxmlformats.org/officeDocument/2006/relationships/externalLink" Target="externalLinks/externalLink89.xml"/><Relationship Id="rId108" Type="http://schemas.openxmlformats.org/officeDocument/2006/relationships/externalLink" Target="externalLinks/externalLink94.xml"/><Relationship Id="rId124" Type="http://schemas.openxmlformats.org/officeDocument/2006/relationships/externalLink" Target="externalLinks/externalLink110.xml"/><Relationship Id="rId129" Type="http://schemas.openxmlformats.org/officeDocument/2006/relationships/externalLink" Target="externalLinks/externalLink115.xml"/><Relationship Id="rId54" Type="http://schemas.openxmlformats.org/officeDocument/2006/relationships/externalLink" Target="externalLinks/externalLink40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91" Type="http://schemas.openxmlformats.org/officeDocument/2006/relationships/externalLink" Target="externalLinks/externalLink77.xml"/><Relationship Id="rId96" Type="http://schemas.openxmlformats.org/officeDocument/2006/relationships/externalLink" Target="externalLinks/externalLink82.xml"/><Relationship Id="rId140" Type="http://schemas.openxmlformats.org/officeDocument/2006/relationships/externalLink" Target="externalLinks/externalLink126.xml"/><Relationship Id="rId145" Type="http://schemas.openxmlformats.org/officeDocument/2006/relationships/externalLink" Target="externalLinks/externalLink1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35.xml"/><Relationship Id="rId114" Type="http://schemas.openxmlformats.org/officeDocument/2006/relationships/externalLink" Target="externalLinks/externalLink100.xml"/><Relationship Id="rId119" Type="http://schemas.openxmlformats.org/officeDocument/2006/relationships/externalLink" Target="externalLinks/externalLink105.xml"/><Relationship Id="rId44" Type="http://schemas.openxmlformats.org/officeDocument/2006/relationships/externalLink" Target="externalLinks/externalLink30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81" Type="http://schemas.openxmlformats.org/officeDocument/2006/relationships/externalLink" Target="externalLinks/externalLink67.xml"/><Relationship Id="rId86" Type="http://schemas.openxmlformats.org/officeDocument/2006/relationships/externalLink" Target="externalLinks/externalLink72.xml"/><Relationship Id="rId130" Type="http://schemas.openxmlformats.org/officeDocument/2006/relationships/externalLink" Target="externalLinks/externalLink116.xml"/><Relationship Id="rId135" Type="http://schemas.openxmlformats.org/officeDocument/2006/relationships/externalLink" Target="externalLinks/externalLink121.xml"/><Relationship Id="rId151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109" Type="http://schemas.openxmlformats.org/officeDocument/2006/relationships/externalLink" Target="externalLinks/externalLink9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97" Type="http://schemas.openxmlformats.org/officeDocument/2006/relationships/externalLink" Target="externalLinks/externalLink83.xml"/><Relationship Id="rId104" Type="http://schemas.openxmlformats.org/officeDocument/2006/relationships/externalLink" Target="externalLinks/externalLink90.xml"/><Relationship Id="rId120" Type="http://schemas.openxmlformats.org/officeDocument/2006/relationships/externalLink" Target="externalLinks/externalLink106.xml"/><Relationship Id="rId125" Type="http://schemas.openxmlformats.org/officeDocument/2006/relationships/externalLink" Target="externalLinks/externalLink111.xml"/><Relationship Id="rId141" Type="http://schemas.openxmlformats.org/officeDocument/2006/relationships/externalLink" Target="externalLinks/externalLink127.xml"/><Relationship Id="rId146" Type="http://schemas.openxmlformats.org/officeDocument/2006/relationships/externalLink" Target="externalLinks/externalLink13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92" Type="http://schemas.openxmlformats.org/officeDocument/2006/relationships/externalLink" Target="externalLinks/externalLink7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115" Type="http://schemas.openxmlformats.org/officeDocument/2006/relationships/externalLink" Target="externalLinks/externalLink101.xml"/><Relationship Id="rId131" Type="http://schemas.openxmlformats.org/officeDocument/2006/relationships/externalLink" Target="externalLinks/externalLink117.xml"/><Relationship Id="rId136" Type="http://schemas.openxmlformats.org/officeDocument/2006/relationships/externalLink" Target="externalLinks/externalLink122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52" Type="http://schemas.openxmlformats.org/officeDocument/2006/relationships/calcChain" Target="calcChain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105" Type="http://schemas.openxmlformats.org/officeDocument/2006/relationships/externalLink" Target="externalLinks/externalLink91.xml"/><Relationship Id="rId126" Type="http://schemas.openxmlformats.org/officeDocument/2006/relationships/externalLink" Target="externalLinks/externalLink112.xml"/><Relationship Id="rId147" Type="http://schemas.openxmlformats.org/officeDocument/2006/relationships/externalLink" Target="externalLinks/externalLink13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98" Type="http://schemas.openxmlformats.org/officeDocument/2006/relationships/externalLink" Target="externalLinks/externalLink84.xml"/><Relationship Id="rId121" Type="http://schemas.openxmlformats.org/officeDocument/2006/relationships/externalLink" Target="externalLinks/externalLink107.xml"/><Relationship Id="rId142" Type="http://schemas.openxmlformats.org/officeDocument/2006/relationships/externalLink" Target="externalLinks/externalLink12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53.xml"/><Relationship Id="rId116" Type="http://schemas.openxmlformats.org/officeDocument/2006/relationships/externalLink" Target="externalLinks/externalLink102.xml"/><Relationship Id="rId137" Type="http://schemas.openxmlformats.org/officeDocument/2006/relationships/externalLink" Target="externalLinks/externalLink12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88" Type="http://schemas.openxmlformats.org/officeDocument/2006/relationships/externalLink" Target="externalLinks/externalLink74.xml"/><Relationship Id="rId111" Type="http://schemas.openxmlformats.org/officeDocument/2006/relationships/externalLink" Target="externalLinks/externalLink97.xml"/><Relationship Id="rId132" Type="http://schemas.openxmlformats.org/officeDocument/2006/relationships/externalLink" Target="externalLinks/externalLink118.xml"/><Relationship Id="rId15" Type="http://schemas.openxmlformats.org/officeDocument/2006/relationships/externalLink" Target="externalLinks/externalLink1.xml"/><Relationship Id="rId36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43.xml"/><Relationship Id="rId106" Type="http://schemas.openxmlformats.org/officeDocument/2006/relationships/externalLink" Target="externalLinks/externalLink92.xml"/><Relationship Id="rId127" Type="http://schemas.openxmlformats.org/officeDocument/2006/relationships/externalLink" Target="externalLinks/externalLink11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94" Type="http://schemas.openxmlformats.org/officeDocument/2006/relationships/externalLink" Target="externalLinks/externalLink80.xml"/><Relationship Id="rId99" Type="http://schemas.openxmlformats.org/officeDocument/2006/relationships/externalLink" Target="externalLinks/externalLink85.xml"/><Relationship Id="rId101" Type="http://schemas.openxmlformats.org/officeDocument/2006/relationships/externalLink" Target="externalLinks/externalLink87.xml"/><Relationship Id="rId122" Type="http://schemas.openxmlformats.org/officeDocument/2006/relationships/externalLink" Target="externalLinks/externalLink108.xml"/><Relationship Id="rId143" Type="http://schemas.openxmlformats.org/officeDocument/2006/relationships/externalLink" Target="externalLinks/externalLink129.xml"/><Relationship Id="rId148" Type="http://schemas.openxmlformats.org/officeDocument/2006/relationships/externalLink" Target="externalLinks/externalLink1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33.xml"/><Relationship Id="rId68" Type="http://schemas.openxmlformats.org/officeDocument/2006/relationships/externalLink" Target="externalLinks/externalLink54.xml"/><Relationship Id="rId89" Type="http://schemas.openxmlformats.org/officeDocument/2006/relationships/externalLink" Target="externalLinks/externalLink75.xml"/><Relationship Id="rId112" Type="http://schemas.openxmlformats.org/officeDocument/2006/relationships/externalLink" Target="externalLinks/externalLink98.xml"/><Relationship Id="rId133" Type="http://schemas.openxmlformats.org/officeDocument/2006/relationships/externalLink" Target="externalLinks/externalLink119.xml"/><Relationship Id="rId16" Type="http://schemas.openxmlformats.org/officeDocument/2006/relationships/externalLink" Target="externalLinks/externalLink2.xml"/><Relationship Id="rId37" Type="http://schemas.openxmlformats.org/officeDocument/2006/relationships/externalLink" Target="externalLinks/externalLink23.xml"/><Relationship Id="rId58" Type="http://schemas.openxmlformats.org/officeDocument/2006/relationships/externalLink" Target="externalLinks/externalLink44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123" Type="http://schemas.openxmlformats.org/officeDocument/2006/relationships/externalLink" Target="externalLinks/externalLink109.xml"/><Relationship Id="rId144" Type="http://schemas.openxmlformats.org/officeDocument/2006/relationships/externalLink" Target="externalLinks/externalLink130.xml"/><Relationship Id="rId90" Type="http://schemas.openxmlformats.org/officeDocument/2006/relationships/externalLink" Target="externalLinks/externalLink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24651" name="Rectangle 1"/>
        <xdr:cNvSpPr>
          <a:spLocks noChangeArrowheads="1"/>
        </xdr:cNvSpPr>
      </xdr:nvSpPr>
      <xdr:spPr bwMode="auto">
        <a:xfrm>
          <a:off x="971550" y="1714500"/>
          <a:ext cx="4857750" cy="7620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25894" name="Line 1"/>
        <xdr:cNvSpPr>
          <a:spLocks noChangeShapeType="1"/>
        </xdr:cNvSpPr>
      </xdr:nvSpPr>
      <xdr:spPr bwMode="auto">
        <a:xfrm>
          <a:off x="0" y="590550"/>
          <a:ext cx="171450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752475</xdr:colOff>
      <xdr:row>2</xdr:row>
      <xdr:rowOff>276225</xdr:rowOff>
    </xdr:from>
    <xdr:to>
      <xdr:col>7</xdr:col>
      <xdr:colOff>167268</xdr:colOff>
      <xdr:row>3</xdr:row>
      <xdr:rowOff>163863</xdr:rowOff>
    </xdr:to>
    <xdr:sp macro="" textlink="">
      <xdr:nvSpPr>
        <xdr:cNvPr id="4098" name="Text 2">
          <a:extLst>
            <a:ext uri="{FF2B5EF4-FFF2-40B4-BE49-F238E27FC236}">
              <a16:creationId xmlns:a16="http://schemas.microsoft.com/office/drawing/2014/main" id="{49E23CFF-31AF-43B3-B79B-49BD670D2C9D}"/>
            </a:ext>
          </a:extLst>
        </xdr:cNvPr>
        <xdr:cNvSpPr txBox="1">
          <a:spLocks noChangeArrowheads="1"/>
        </xdr:cNvSpPr>
      </xdr:nvSpPr>
      <xdr:spPr bwMode="auto">
        <a:xfrm>
          <a:off x="3286125" y="866775"/>
          <a:ext cx="1914525" cy="2762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조    골    재 (m³)</a:t>
          </a:r>
          <a:endParaRPr lang="ko-KR" altLang="en-US"/>
        </a:p>
      </xdr:txBody>
    </xdr:sp>
    <xdr:clientData/>
  </xdr:twoCellAnchor>
  <xdr:twoCellAnchor>
    <xdr:from>
      <xdr:col>1</xdr:col>
      <xdr:colOff>323850</xdr:colOff>
      <xdr:row>2</xdr:row>
      <xdr:rowOff>190500</xdr:rowOff>
    </xdr:from>
    <xdr:to>
      <xdr:col>2</xdr:col>
      <xdr:colOff>411478</xdr:colOff>
      <xdr:row>3</xdr:row>
      <xdr:rowOff>123825</xdr:rowOff>
    </xdr:to>
    <xdr:sp macro="" textlink="">
      <xdr:nvSpPr>
        <xdr:cNvPr id="4099" name="Text 6">
          <a:extLst>
            <a:ext uri="{FF2B5EF4-FFF2-40B4-BE49-F238E27FC236}">
              <a16:creationId xmlns:a16="http://schemas.microsoft.com/office/drawing/2014/main" id="{BCE2C8C9-245E-427F-A711-70BB6CD12C60}"/>
            </a:ext>
          </a:extLst>
        </xdr:cNvPr>
        <xdr:cNvSpPr txBox="1">
          <a:spLocks noChangeArrowheads="1"/>
        </xdr:cNvSpPr>
      </xdr:nvSpPr>
      <xdr:spPr bwMode="auto">
        <a:xfrm>
          <a:off x="895350" y="781050"/>
          <a:ext cx="6572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구  분</a:t>
          </a:r>
          <a:endParaRPr lang="ko-KR" altLang="en-US"/>
        </a:p>
      </xdr:txBody>
    </xdr:sp>
    <xdr:clientData/>
  </xdr:twoCellAnchor>
  <xdr:twoCellAnchor>
    <xdr:from>
      <xdr:col>0</xdr:col>
      <xdr:colOff>156210</xdr:colOff>
      <xdr:row>3</xdr:row>
      <xdr:rowOff>276225</xdr:rowOff>
    </xdr:from>
    <xdr:to>
      <xdr:col>1</xdr:col>
      <xdr:colOff>243838</xdr:colOff>
      <xdr:row>4</xdr:row>
      <xdr:rowOff>209550</xdr:rowOff>
    </xdr:to>
    <xdr:sp macro="" textlink="">
      <xdr:nvSpPr>
        <xdr:cNvPr id="4100" name="Text 7">
          <a:extLst>
            <a:ext uri="{FF2B5EF4-FFF2-40B4-BE49-F238E27FC236}">
              <a16:creationId xmlns:a16="http://schemas.microsoft.com/office/drawing/2014/main" id="{A21A8AFF-4F42-4DEB-9D9B-21D630811220}"/>
            </a:ext>
          </a:extLst>
        </xdr:cNvPr>
        <xdr:cNvSpPr txBox="1">
          <a:spLocks noChangeArrowheads="1"/>
        </xdr:cNvSpPr>
      </xdr:nvSpPr>
      <xdr:spPr bwMode="auto">
        <a:xfrm>
          <a:off x="152400" y="1257300"/>
          <a:ext cx="657225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공  종</a:t>
          </a:r>
          <a:endParaRPr lang="ko-KR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7197;\&#49688;&#47049;&#49328;&#52636;&#49436;\&#44396;&#51312;&#44228;&#49328;\&#49345;&#48512;\psc%20exl\&#47560;&#45804;&#4436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4;&#54840;\C\&#50745;&#4831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&#51312;&#44257;&#44368;\&#53664;&#44277;&#49688;&#47049;\&#53664;&#4427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028;&#51068;&#49436;&#48260;\d-&#51089;&#50629;&#48169;\&#49900;&#50948;&#48372;&#51089;&#50629;&#48169;\&#54532;&#47196;&#44536;&#47016;\&#44368;&#45824;&#50745;&#48317;\djdg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Microsoft%20Office\Office\Book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kim\&#49688;&#47049;\2001\994004\kim\&#49688;&#47049;\&#50577;&#51648;&#49688;&#47049;\994004\U-TYP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Resource%20Center\Parksungsun\00.&#44396;&#51312;&#44228;&#49328;\BOX\1&#50672;\B1-t2\1@2.0x2.0\BOX\&#44552;&#54840;(&#51648;&#54616;&#48372;&#46020;)\5.0X2.7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WINDOWS\&#48148;&#53461;%20&#54868;&#47732;\&#44368;&#4582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01_PRO\&#54840;&#45224;&#49440;(7&#44277;&#44396;)\&#44060;&#52265;&#48149;&#49828;\&#44228;&#49328;&#49436;\252_500_252_520(Type1)\&#48372;&#44256;&#49436;\&#54253;10.3_&#53664;&#54588;10_&#46160;&#44760;1.15_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My%20Documents\&#53664;&#54588;17\culvert\culve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t\&#44277;&#50976;4\Documents%20and%20Settings\chulwoo.DONGBUENG\&#48148;&#53461;%20&#54868;&#47732;\Book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88;&#55148;\&#44277;&#50976;\&#51089;&#50629;&#46356;&#47113;&#53664;&#47532;\2005&#45380;&#46020;\2005-05&#51008;&#54217;&#45684;&#53440;&#50868;\&#52572;&#51333;&#49688;&#47049;\&#44368;&#47049;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456;&#55148;\E\&#44049;&#51228;~&#51312;&#50689;&#44036;&#46020;&#47196;&#54869;&#54252;&#51109;&#44277;&#49324;&#48156;&#51452;&#48516;\&#53664;&#47785;&#48512;&#47928;\&#49688;&#47049;&#49328;&#52636;&#49436;\1&#44277;&#44396;\&#51088;&#51116;&#51665;&#44228;&#5436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456;&#55148;\&#44049;&#51228;&#48156;&#51452;\PROJECT\&#44049;&#51228;~&#51312;&#50689;\&#44049;&#51228;~&#51312;&#50689;&#44036;&#46020;&#47196;&#54869;&#54252;&#51109;&#44277;&#49324;\&#49688;&#47049;&#49328;&#52636;&#49436;\1&#44277;&#44396;\&#51088;&#51116;&#51665;&#442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88;&#55148;\&#44277;&#50976;\&#51089;&#50629;&#46356;&#47113;&#53664;&#47532;\&#44592;&#53440;&#51088;&#47308;\2004&#45380;&#46020;\2004-01&#45224;&#50577;&#51452;&#44032;&#50868;&#51648;&#44396;\0&#52572;&#51333;&#49688;&#47049;\&#49688;&#47049;\2&#52264;&#45225;&#54408;\2&#52264;&#49688;&#47049;\05&#50516;&#44144;&#44277;&#49324;\&#50516;&#44144;&#44277;&#49324;&#51665;&#4422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456;&#55148;\E\&#50896;&#47532;-&#50836;&#50896;&#44036;&#46020;&#47196;&#54869;&#54252;&#51109;&#44277;&#49324;\&#49688;&#47049;&#49328;&#52636;\&#48512;&#45824;\&#51088;&#51116;&#51665;&#44228;&#543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b\&#49340;&#49328;1&#51648;&#44396;(&#49892;&#49884;)\&#51452;&#44277;&#49688;&#47049;\&#51068;&#50948;&#45824;&#44032;98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592;&#54872;\05.&#51452;&#53457;&#44277;\PROJECT\YR1\STRUC\SYJ-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7197;\&#49688;&#47049;&#49328;&#52636;&#49436;\&#51068;&#48152;&#49688;&#47049;\&#44228;&#48177;&#47196;&#49688;&#47049;\&#50745;&#48317;\&#50745;&#48317;&#51665;&#4422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7197;\&#49688;&#47049;&#49328;&#52636;&#49436;\&#51068;&#48152;&#49688;&#47049;\&#44228;&#48177;&#47196;&#49688;&#47049;\SAMPLE\&#48372;&#49688;\&#50504;&#47732;%20&#44368;&#458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7197;\&#49688;&#47049;&#49328;&#52636;&#49436;\&#44277;&#50976;&#54260;&#45908;\&#49436;&#51221;&#47197;\&#49688;&#47049;&#49328;&#52636;(&#52572;&#51333;)\&#51452;&#44368;&#47049;&#51665;&#44228;%20&#48143;%20&#51452;&#50836;&#51088;&#51116;&#51665;&#44228;\GB&#54616;-2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7197;\&#49688;&#47049;&#49328;&#52636;&#49436;\&#44396;&#51312;&#44228;&#49328;\&#49345;&#48512;\r.c%20slab\&#44256;&#52285;&#44400;(&#54840;&#45224;)\&#54868;&#54217;&#44368;(3s&#48372;&#46020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7197;\&#49688;&#47049;&#49328;&#52636;&#49436;\&#51452;&#49464;&#50836;\&#45432;&#54616;&#50864;(&#48149;&#44592;&#54872;)\98s1032\PROJECT\TK\SOORYANG\TOT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952;&#51064;\&#44368;&#47049;&#48324;&#51665;&#44228;&#54364;\&#44592;&#53440;\&#44368;&#44033;&#44144;&#54392;&#51665;(&#45458;&#51060;&#48324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12&#50900;27&#51068;CDWR\old-com\GA-DUK\XLS\RAMP-1\&#44221;&#48512;&#52509;&#4429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12&#50900;27&#51068;CDWR\AS\kyungbu\XLS\GOOMI\APO-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_bank\yooku\4&#44277;&#44396;\2&#52264;&#48516;\4-BOQ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0857;\&#49436;&#50872;&#52632;&#52380;&#49688;&#47049;\Documents%20and%20Settings\All%20Users\Documents\IC&#44368;\&#54616;&#48512;\&#50504;&#54217;1&#4436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S\&#49688;&#47049;(0605)\Project\RAMP%20B&#49688;&#4704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49849;&#54788;\&#51109;&#50857;&#49437;&#44284;&#51109;&#45784;\&#49688;&#47049;_&#54889;&#44396;&#51648;&#52380;&#44368;\9.&#44608;&#51116;&#54805;\xls\&#44396;&#48120;-&#54788;&#54413;%20&#44256;&#49549;&#46020;&#47196;(&#49688;&#47049;&#52572;&#51333;)\&#54788;&#54413;1&#50977;&#44368;\PS,CBEAM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49849;&#54788;\&#51109;&#50857;&#49437;&#44284;&#51109;&#45784;\&#49688;&#47049;_&#54889;&#44396;&#51648;&#52380;&#44368;\2-Project_Data\&#44608;&#52380;-&#50612;&#47784;\&#44608;&#52380;-&#50612;&#47784;(&#47560;&#47924;&#47532;&#51088;&#47928;)\3-&#49688;&#47049;\13-&#52384;&#44540;&#49688;&#47049;\P1s-&#44368;&#44033;&#49688;&#47049;&#51665;&#442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CDRV\My%20Documents\&#45824;&#52380;&#44368;&#49688;&#4704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jin\project\&#44396;&#46993;~&#51652;&#45224;\&#44368;&#45824;&#49688;&#47049;\&#54532;&#47196;&#51229;&#53944;\&#54693;&#50577;1&#51228;\&#54693;&#47568;1&#44368;\&#51221;&#54840;&#51089;&#54408;\&#44368;&#44033;\&#53664;%20&#44277;\&#48376;&#49440;(PL.GIRDER)&#49688;&#47049;\&#51221;&#50857;&#55148;\KMJ\WELL\FOUND\S\SD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jin\project\&#44396;&#46993;~&#51652;&#45224;\&#44368;&#45824;&#49688;&#47049;\&#54532;&#47196;&#51229;&#53944;\&#54693;&#50577;1&#51228;\&#54693;&#47568;1&#44368;\&#46972;&#47704;&#53664;&#44277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My%20Documents\&#49457;&#49688;&#45824;&#44368;(98&#45380;11&#50900;18)AGAIN\&#48513;&#45800;(RAMP)&#49688;&#47049;\&#48376;&#49440;(PL.GIRDER)&#49688;&#47049;\&#51221;&#50857;&#55148;\KMJ\WELL\FOUND\S\SD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&#44396;&#46993;&#51652;&#45224;\&#49688;&#47049;&#49328;&#52636;&#49436;\&#49688;&#47049;&#52572;&#51333;\&#52384;&#44540;&#51665;&#44228;&#54364;\&#52384;&#44540;&#51665;&#44228;&#54364;(&#44396;&#46993;2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PROJECT\&#44396;&#46993;&#51652;&#45224;\&#49688;&#47049;\2.&#54616;&#48512;\23.&#44368;&#44033;\&#53664;&#44277;\&#48376;&#49440;(PL.GIRDER)&#49688;&#47049;\&#51221;&#50857;&#55148;\KMJ\WELL\FOUND\S\S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PROJECT\&#44396;&#46993;&#51652;&#45224;\&#49688;&#47049;\2.&#54616;&#48512;\23.&#44368;&#44033;\&#53664;&#44277;\&#44368;&#44033;&#53664;&#44277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im\c\&#51221;&#49440;&#51060;&#52980;&#54504;&#53552;\sla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&#53444;&#44552;&#45824;&#44368;\&#44368;&#44033;1\&#54616;&#51473;&#51312;&#54633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MSOFFICE\EXCEL\HONG-LIK\DOHWA0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652;\2002\!XLS\&#54532;&#47196;&#51229;&#53944;\&#48337;&#50516;&#50977;&#44368;\ENG\SAMAN\DOHWA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652;\2002\!XLS\&#54532;&#47196;&#51229;&#53944;\&#48337;&#50516;&#50977;&#44368;\ENG\SAMAN\RAMP-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652;\2002\!XLS\&#54532;&#47196;&#51229;&#53944;\&#48337;&#50516;&#50977;&#44368;\&#48376;&#49440;(PL.GIRDER)&#49688;&#47049;\&#51221;&#50857;&#55148;\KMJ\WELL\FOUND\S\S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652;\2002\My%20Documents\&#49457;&#49688;&#45824;&#44368;(98&#45380;11&#50900;18)AGAIN\&#48513;&#45800;(RAMP)&#49688;&#47049;\&#48376;&#49440;(PL.GIRDER)&#49688;&#47049;\&#51221;&#50857;&#55148;\KMJ\WELL\FOUND\S\SD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652;\2002\My%20Documents\xls\&#49457;&#45224;-&#51109;&#54840;&#50896;TK\&#52280;&#44256;\&#44368;&#47049;&#48324;&#52509;&#44292;\JCT-&#48376;&#49440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SAM-AN\PRO\SU\RAMP-D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4508;&#49440;\CAD2002\PROJECT\&#44396;&#46993;&#51652;&#45224;\&#49688;&#47049;\2.&#54616;&#48512;\23.&#44368;&#44033;\&#53664;&#44277;\&#48376;&#49440;(PL.GIRDER)&#49688;&#47049;\&#51221;&#50857;&#55148;\KMJ\WELL\FOUND\S\S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4508;&#49440;\CAD2002\PROJECT\&#44396;&#46993;&#51652;&#45224;\&#49688;&#47049;\2.&#54616;&#48512;\23.&#44368;&#44033;\&#53664;&#44277;\&#44368;&#44033;&#53664;&#4427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9888;&#54868;&#52285;&#51312;\&#51312;&#44257;&#44368;\&#53664;&#44277;&#49688;&#47049;\&#53664;&#4427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652;\2002\2002\EXCEL\&#46041;&#51068;(&#50689;&#45909;-&#50577;&#51116;)\&#48376;&#49440;&#44368;&#47049;\&#50689;&#45909;&#44368;-&#50689;&#45909;&#48169;&#54693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8372;\&#46041;&#51068;\&#50689;&#45909;-&#50577;&#51116;&#44036;(&#48124;&#51088;&#53804;&#51088;)\&#49688;&#47049;\IPC%20GIRDER\&#52397;&#44228;&#44368;\&#54840;&#52380;1&#4436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028;&#51068;&#49436;&#48260;\d-&#51089;&#50629;&#48169;\SHIN345\&#54945;&#48169;&#54693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028;&#51068;&#49436;&#48260;\d-&#51089;&#50629;&#48169;\WORK\&#44221;&#52632;&#49440;\P2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028;&#51068;&#49436;&#48260;\d-&#51089;&#50629;&#48169;\&#49900;&#50948;&#48372;&#51089;&#50629;&#48169;\&#54532;&#47196;&#44536;&#47016;\&#44368;&#45824;&#50745;&#48317;\&#44368;&#45824;-&#50745;&#4831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DOCUME~1\Owner\LOCALS~1\Temp\$wc\&#50504;&#46041;&#49884;~1\&#49688;&#47049;\001~1.&#44368;\&#49440;&#46041;&#44368;XP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3468;\2002&#49688;&#54644;&#48373;&#44396;\project\000&#51088;&#50672;&#50644;&#51648;&#45768;&#50612;&#47553;\01&#47564;&#50864;2&#51228;&#44060;&#49688;&#44277;&#49324;\03&#49688;&#47049;&#49328;&#52636;&#49436;\&#49688;&#47049;\&#47560;&#49892;&#4436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3468;\2002&#49688;&#54644;&#48373;&#44396;\2002&#49688;&#54644;&#48373;&#44396;\&#54217;&#52285;&#49688;&#54644;&#48373;&#44396;\&#44396;&#51312;&#44228;&#49328;\&#51228;14&#44368;\&#51228;14&#4436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50857;&#47560;\&#48513;&#47732;&#50896;&#45909;(&#49688;&#47049;&#52572;&#51333;&#48516;)\&#53664;&#44277;\&#44277;&#51452;_&#49436;&#52380;\01_&#45208;&#44417;&#44368;\DATA\KYUNGHO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12;&#51652;\&#51109;&#54788;&#51228;\project\&#46041;&#47749;\&#51109;&#54637;&#49440;\&#44396;&#51312;&#44228;&#49328;\BO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WORK1\&#49688;&#47049;&#44228;&#49328;\&#49436;&#50872;&#52397;\&#51109;&#54788;&#51228;\&#54620;&#48731;&#44396;&#51312;\&#50984;&#54252;2&#4436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12;&#51652;\&#51109;&#54788;&#51228;\DOOSAN\RAHMEN\R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12;&#51652;\&#51109;&#54788;&#51228;\My%20Documents\MY-CALL\Call-XLS\QUANTITY\&#49884;-&#50577;-&#4416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12;&#51652;\&#51109;&#54788;&#51228;\BUSAN\303\SAP\YD\T-DRE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pro\BOX\&#48512;&#49328;&#51204;&#47141;&#44396;\GUJO-SU\2LANE\SU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data\&#48176;&#54980;&#46020;&#47196;\&#48176;&#49688;BOX\&#49688;&#47049;\&#52572;&#51333;\in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Book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Resource%20Center\Parksungsun\00.&#44396;&#51312;&#44228;&#49328;\BOX\1&#50672;\B1-t2\1@2.0x2.0\&#44368;&#44033;\&#12640;&#54805;%20&#44368;&#44033;\&#45824;&#45909;&#44368;PIL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Resource%20Center\Parksungsun\00.&#44396;&#51312;&#44228;&#49328;\BOX\1&#50672;\B1-t2\1@2.0x2.0\&#44368;&#47049;&#48324;&#44228;&#49328;\&#49888;&#49345;-&#49688;&#49345;\&#49688;&#49345;1&#44368;\&#44368;&#44033;(t&#54805;)\&#49688;&#49345;1&#44368;-P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Resource%20Center\Parksungsun\00.&#44396;&#51312;&#44228;&#49328;\BOX\1&#50672;\B1-t2\1@2.0x2.0\&#44368;&#44033;\&#12640;&#54805;%20&#44368;&#44033;\&#50857;&#51064;1-p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28;&#48177;&#47196;(&#45824;&#50504;&#49444;&#44228;)\&#44228;&#49328;&#49436;&#52572;&#51333;&#45225;&#54408;(0713)\&#49345;&#48512;\&#44032;&#49688;&#50896;&#44368;-&#49345;2s\GSW&#49345;-2S-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Resource%20Center\Parksungsun\00.&#44396;&#51312;&#44228;&#49328;\BOX\1&#50672;\B1-t2\1@2.0x2.0\&#44368;&#44033;\&#51333;&#54805;&#44368;&#44033;\&#50725;&#54252;jct&#52572;&#51333;\&#50725;&#54252;jctP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56;&#52285;-&#51109;&#49457;\&#51109;&#49457;JCT&#44368;\&#44396;&#51312;&#44228;&#49328;\MAINST~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Resource%20Center\Parksungsun\00.&#44396;&#51312;&#44228;&#49328;\BOX\1&#50672;\B1-t2\1@2.0x2.0\&#44368;&#44033;\&#51333;&#54805;&#44368;&#44033;\jct-&#51652;&#51676;&#44368;&#44033;&#52572;&#51333;\&#50725;&#54252;jct-P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&#49884;-&#50577;-&#44160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NDAL\EXCEL\RAHMEN\RAHMEN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2384;&#46020;&#49345;&#48512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9437;&#48372;\D\HARDY\&#49688;&#47049;\STEEL\GOOMI\APO-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9437;&#48372;\D\project\WORK\&#49345;&#48512;\steel\quantity\&#54665;&#52492;1&#4436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340;&#44257;&#44032;&#4436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&#49457;&#54872;&#52380;(&#45800;&#49440;)-&#54616;&#48512;\&#44368;&#44033;\&#44228;&#49328;\&#44592;&#51316;P2-01082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&#49457;&#54872;&#52380;(&#45800;&#49440;)-&#54616;&#48512;\&#44368;&#44033;\&#44228;&#49328;\&#44036;&#54252;&#52380;&#44368;&#44033;121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&#49324;&#48264;\C\'&#45208;&#51032;'&#47928;&#49436;\&#51473;&#50521;&#49440;\&#44032;&#49884;&#49444;&#49688;&#47049;\&#51473;&#54868;&#44256;&#44032;\&#51473;&#54868;&#51221;&#52264;&#5110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01_PRO\&#54840;&#45224;&#49440;\&#45824;&#48149;&#53552;&#45328;\&#45225;&#54408;(1007&#51060;&#51204;)\&#44036;&#51648;&#44277;\&#44396;&#44036;1_&#53664;&#54588;11_&#46160;&#44760;100U(TP_1)\&#50641;&#49472;\&#53664;&#54588;11_&#46160;&#44760;100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51312;&#48512;&#49436;&#48260;\&#44277;&#50976;3\&#44277;&#50976;\01_PRO\&#45824;&#48149;&#53552;&#45328;\&#44228;&#49328;&#49436;\Case(&#51649;&#51217;_&#48176;&#49688;_&#54200;&#53664;&#50517;)\&#50641;&#49472;\&#51649;&#51217;(&#54200;&#53664;&#50517;_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324;&#46608;\&#48320;&#49324;&#46608;D\My%20Documents\SURAENG2\&#48149;&#44592;&#49324;-&#48512;&#45824;&#4427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324;&#46608;\&#48320;&#49324;&#46608;D\My%20Documents\SURAENG2\2.&#53664;&#44277;\&#48149;&#44592;&#49324;-&#45800;&#50948;&#49688;&#4704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324;&#46608;\&#48320;&#49324;&#46608;D\Office\&#48149;&#44592;&#49324;%20&#51089;&#50629;&#50857;\DATA\MR-BAB\&#50641;&#49472;DATA\4.&#44396;&#51312;&#47932;&#44277;\&#48149;&#44592;&#49324;-3.&#44396;&#51312;&#47932;&#44277;(&#49437;&#52629;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324;&#46608;\&#48320;&#49324;&#46608;D\Office\&#48149;&#44592;&#49324;%20&#51089;&#50629;&#50857;\DATA\MR-BAB\&#50641;&#49472;DATA\1.&#51452;&#50836;&#51088;&#51116;&#44264;&#51116;\3.&#48176;&#49688;&#44277;\&#48149;&#44592;&#49324;-&#51665;&#49688;&#51221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324;&#46608;\&#48320;&#49324;&#46608;D\Office\&#48149;&#44592;&#49324;%20&#51089;&#50629;&#50857;\DATA\MR-BAB\&#50641;&#49472;DATA\1.&#51452;&#50836;&#51088;&#51116;&#44264;&#51116;\3.&#48176;&#49688;&#44277;\&#48149;&#44592;&#49324;-&#47732;&#48317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8337;&#52632;\C\My%20Documents\&#50577;&#51452;&#44400;\&#44305;&#49324;&#44368;\&#53664;&#44277;\&#44368;&#47049;&#53664;&#44277;\&#44368;&#47049;&#53664;&#44277;&#51665;&#44228;&#54364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324;&#46608;\&#48320;&#49324;&#46608;D\My%20Documents\SURAENG\&#48149;&#44592;&#49324;-&#47732;&#48317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8337;&#52632;\C\My%20Documents\SURAENG\BUDA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8337;&#52632;\C\Office\&#48149;&#44592;&#49324;%20&#51089;&#50629;&#50857;\DATA\MR-BAB\&#50641;&#49472;DATA\2.&#53664;&#44277;\&#48149;&#44592;&#49324;-&#45800;&#50948;&#49688;&#47049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8337;&#52632;\C\My%20Documents\SURAENG\&#48149;&#44592;&#49324;-&#48512;&#45824;&#4427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116;&#44512;\DOWN\simWork\excel\&#49437;&#52629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8337;&#52632;\C\excel\exceldata\QUT'Y\abu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64;&#54788;\C\project\&#44417;&#49888;&#44368;\&#49688;&#47049;\GOOMI\DOHWA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64;&#54788;\C\project\&#44417;&#49888;&#44368;\&#49688;&#47049;\GOOMI\APO-1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My%20Documents\KUJO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00;&#54788;&#44396;\C\My%20Documents\SURAENG\&#48149;&#44592;&#49324;-&#48512;&#45824;&#44277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e\&#49444;&#44228;&#49457;&#44284;&#54408;\&#49340;&#54788;PF\01-&#49444;&#44228;&#49457;&#44284;&#54408;\2-&#45225;&#54408;&#49444;&#44228;&#44148;\027-&#50724;&#49901;&#52380;4&#44368;(25%2030&amp;1.5%20&#52384;)\08-&#45236;&#50669;&#49436;\&#50724;&#49901;&#52380;4&#44368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44508;(2)\C\ETC\&#44221;&#54984;2\&#49548;&#50629;1&#44368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868;&#49437;\&#44277;&#51676;&#48169;\NETWORK\BOX-E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DATA\&#49688;&#47049;&#49328;&#52636;\&#44368;&#45824;&#53664;&#44277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44508;(2)\C\dwg\&#44053;&#45224;&#49692;&#54872;\cd\&#49688;&#47049;&#49328;&#52636;\&#48376;&#49440;\&#45824;&#51109;&#44368;\IGI-SU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4984;\C\NETWORK\&#44221;&#48512;&#49440;-&#44368;&#44033;\&#49688;&#47049;&#51692;&#48981;\PIER4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4984;\C\NETWORK\&#44221;&#48512;&#49440;-&#44368;&#44033;\&#49688;&#47049;&#51692;&#48981;\PIER44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76;&#49688;&#51648;\Q-NEW\PIER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868;&#49437;\&#44277;&#51676;&#48169;\&#44277;&#51676;&#48169;\&#54616;&#49324;&#51109;&#44368;\TOT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6041;&#49688;\D\My%20Documents\xls\DATABASE\&#44368;&#44033;\xls\DATABASE\&#45796;&#44257;2&#44368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44508;\D\&#49436;&#54980;-&#54217;&#51008;&#44036;\&#49436;&#54980;-&#54217;&#51008;&#49688;&#47049;\&#48513;&#54980;1&#44368;-&#44368;&#44033;-&#51068;&#48152;-&#53664;&#44277;01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bank\DATA\DOWHA\STRUCTUR\REVISED\IGI-SU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sweet\DATA\SAMPLE\IGI-SU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44508;\D\&#54805;&#47560;&#45768;&#51089;&#50629;&#49892;\&#44256;&#52285;&#51109;&#49457;&#49688;&#47049;\&#51109;&#50516;&#44368;\17&#49328;&#49688;&#44368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1456;\D\&#49436;&#54980;-&#54217;&#51008;&#44036;\&#49436;&#54980;-&#54217;&#51008;&#49688;&#47049;\&#48513;&#54980;1&#44368;-&#44368;&#44033;-&#51068;&#48152;-&#53664;&#44277;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4861;&#51652;\C\&#49436;&#54980;-&#54217;&#51008;&#44036;\&#49436;&#54980;-&#54217;&#51008;&#49688;&#47049;\&#48513;&#54980;1&#44368;-&#44368;&#44033;-&#51068;&#48152;-&#53664;&#44277;01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sweet\DATA\NAEKYUNG\NK-12\BOQQ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44508;\D\dwg\08%20&#45824;&#51204;&#45817;&#51652;&#44036;\&#49688;&#47049;&#52572;&#51333;\11&#50557;&#52380;&#45236;&#44368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4397;&#51652;\D\dwg\&#51652;&#46020;&#45824;&#44368;\&#49688;&#47049;&#52280;&#44256;\&#53360;&#46308;RAMP-A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bank\DATA\DAEJU\DJ-&#50745;&#48317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bank\DAEPO-4\&#49688;&#47049;&#49328;&#52636;\END\RAMP-A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44508;\D\&#47932;&#47049;&#49328;&#52636;\&#44592;&#51109;&#51109;&#50504;\&#44592;&#51109;&#51109;&#50504;&#46972;&#47704;&#44368;\&#54945;&#44228;ic\&#44552;&#49328;\&#51473;(&#48372;)3-3&#51068;&#48152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OID\&#44277;&#50976;\Project_Data\4.%20UD%20PSC\&#50868;&#45224;&#44368;\rev.A\&#50868;&#45224;&#44368;%20Cal'c\&#50868;&#45224;&#44368;30m%20&#44396;&#51312;&#44228;&#49328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08;&#49437;\Project\0101\&#49688;&#47049;&#51088;&#47308;\02.&#49688;&#47049;&#49328;&#52636;&#49436;\2.&#45432;&#47336;&#47785;&#44368;%20&#46972;&#47704;(2)\&#45432;&#47336;&#47785;&#44368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864;\&#49688;&#47049;\&#54200;&#51032;&#49884;&#49444;&#54633;&#49324;\&#49688;&#47049;\&#48512;&#45824;&#49688;&#47049;\3&#44277;&#44396;&#47196;%20&#45208;&#45576;&#44163;(10&#50900;12&#51068;)\2&#44277;&#44396;\02&#46041;&#45824;&#47928;1-4\&#46041;&#45824;&#47928;%20&#51221;&#44144;&#51109;%20&#45236;&#48512;EV(&#51648;&#54616;1-2&#52789;)(&#48512;&#45824;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08;&#49437;\Project\&#44396;&#51312;&#44228;&#49328;\BOX\&#44552;&#54840;(&#51648;&#54616;&#48372;&#46020;)\5.0X2.7-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44228;&#47329;&#50977;&#44368;\GUJO\RAMP\RAMP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08;&#49437;\Project\&#48155;&#44592;\&#44032;&#44368;sample\3&#44221;&#44036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3468;\&#44277;&#50976;&#48169;\&#50689;&#46041;&#49440;&#50724;&#49901;&#52380;\&#49464;&#44404;&#48372;&#44053;&#49688;&#47049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01%20&#44040;&#51204;7&#44368;%20&#51068;&#48152;&#49688;&#47049;%20&#49328;&#52636;&#49436;.xlsx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02%20&#44040;&#51204;7&#44368;%20&#53664;&#44277;&#49688;&#47049;%20&#49328;&#52636;&#49436;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13.%20&#44040;&#51204;7&#44368;%20&#44032;&#52629;&#46020;&#44277;%20&#49688;&#47049;&#49328;&#52636;&#49436;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&#44040;&#51204;7&#44368;%20&#44032;&#49884;&#49444;&#44277;(2512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설계"/>
      <sheetName val="BEAM1"/>
      <sheetName val="이음부3경간"/>
      <sheetName val="이음부2경간"/>
      <sheetName val="지점반력"/>
      <sheetName val="신축량"/>
      <sheetName val="내진설계(2-SPAN)"/>
      <sheetName val="내진설계(3-SPAN)"/>
      <sheetName val="내진삽도"/>
      <sheetName val="마달교 "/>
      <sheetName val="마달교 EL "/>
      <sheetName val="마달교  (2)"/>
      <sheetName val="마달교 EL  (2)"/>
      <sheetName val="마달교  (3)"/>
      <sheetName val="마달교 EL  (3)"/>
      <sheetName val="설계 (2)"/>
      <sheetName val="Sheet1"/>
      <sheetName val="laroux"/>
      <sheetName val="교각계산"/>
    </sheetNames>
    <sheetDataSet>
      <sheetData sheetId="0" refreshError="1"/>
      <sheetData sheetId="1" refreshError="1">
        <row r="78">
          <cell r="O78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-0"/>
      <sheetName val="Sheet1"/>
      <sheetName val="Sheet2"/>
      <sheetName val="Sheet3"/>
      <sheetName val="#REF"/>
      <sheetName val="옹벽총집계"/>
      <sheetName val="옹벽총철근"/>
      <sheetName val="옹벽집계(시점)"/>
      <sheetName val="옹벽철근(시점)"/>
      <sheetName val="(시점)옹벽(5~3)"/>
      <sheetName val="(시점)옹벽(3.0)"/>
      <sheetName val="옹벽집계(종점)"/>
      <sheetName val="옹벽철근(종점)"/>
      <sheetName val="(종점)옹벽(5~3)"/>
      <sheetName val="(종점)옹벽(3.0)"/>
      <sheetName val="Sheet7"/>
      <sheetName val="철근총괄집계"/>
      <sheetName val="3.바닥판설계"/>
      <sheetName val="SLAB"/>
      <sheetName val="산출서(4-P)"/>
      <sheetName val="교각계산"/>
      <sheetName val="Sheet1 (2)"/>
      <sheetName val="H-PILE수량집계"/>
      <sheetName val="수량집계"/>
      <sheetName val="설계조건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깨기수량"/>
      <sheetName val="가도"/>
      <sheetName val="가도 (2)"/>
      <sheetName val="타공종이기수량"/>
      <sheetName val="토공집계표"/>
      <sheetName val="교대토공집계표"/>
      <sheetName val="교대(A1)"/>
      <sheetName val="교대(A2)"/>
      <sheetName val="물푸기(교대)"/>
      <sheetName val="교각토공집계표"/>
      <sheetName val="교각-1"/>
      <sheetName val="교각-2"/>
      <sheetName val="집계표(0~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교각1"/>
    </sheetNames>
    <sheetDataSet>
      <sheetData sheetId="0"/>
      <sheetData sheetId="1" refreshError="1">
        <row r="40">
          <cell r="I40">
            <v>2</v>
          </cell>
          <cell r="Y40">
            <v>1</v>
          </cell>
        </row>
        <row r="41">
          <cell r="I41">
            <v>35</v>
          </cell>
        </row>
        <row r="64">
          <cell r="I64">
            <v>240</v>
          </cell>
          <cell r="M64">
            <v>4000</v>
          </cell>
        </row>
      </sheetData>
      <sheetData sheetId="2" refreshError="1">
        <row r="82">
          <cell r="Z82">
            <v>0.30967939938948058</v>
          </cell>
        </row>
      </sheetData>
      <sheetData sheetId="3"/>
      <sheetData sheetId="4" refreshError="1">
        <row r="4">
          <cell r="K4">
            <v>0.85</v>
          </cell>
          <cell r="AA4">
            <v>0.7</v>
          </cell>
        </row>
      </sheetData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-TYPE일반수량집계"/>
      <sheetName val="U-TYPE(1)"/>
      <sheetName val="U-TYPE(2)"/>
      <sheetName val="U-TYPE(3)"/>
      <sheetName val="U-TYPE(4)"/>
    </sheetNames>
    <sheetDataSet>
      <sheetData sheetId="0"/>
      <sheetData sheetId="1" refreshError="1">
        <row r="10">
          <cell r="F10">
            <v>5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본체"/>
      <sheetName val="사용성검토"/>
      <sheetName val="상판벽체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  <sheetName val="Sheet1"/>
    </sheetNames>
    <sheetDataSet>
      <sheetData sheetId="0"/>
      <sheetData sheetId="1" refreshError="1">
        <row r="32">
          <cell r="E32">
            <v>0.5</v>
          </cell>
          <cell r="M32">
            <v>0.5</v>
          </cell>
        </row>
        <row r="33">
          <cell r="E33">
            <v>0.6</v>
          </cell>
          <cell r="M33">
            <v>5</v>
          </cell>
        </row>
        <row r="35">
          <cell r="M35">
            <v>0.3</v>
          </cell>
        </row>
        <row r="36">
          <cell r="E36">
            <v>0.3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"/>
      <sheetName val="주요자재"/>
      <sheetName val="A1"/>
      <sheetName val="A2"/>
      <sheetName val="교대"/>
      <sheetName val="#REF"/>
    </sheetNames>
    <sheetDataSet>
      <sheetData sheetId="0" refreshError="1">
        <row r="2">
          <cell r="A2" t="str">
            <v>구                 분</v>
          </cell>
        </row>
        <row r="3">
          <cell r="B3" t="str">
            <v>육상 토  사</v>
          </cell>
        </row>
        <row r="4">
          <cell r="B4" t="str">
            <v>육상 풍화암</v>
          </cell>
        </row>
        <row r="5">
          <cell r="B5" t="str">
            <v>육상 연  암</v>
          </cell>
        </row>
        <row r="6">
          <cell r="B6" t="str">
            <v>수중 토  사</v>
          </cell>
        </row>
        <row r="7">
          <cell r="B7" t="str">
            <v>수중 풍화암</v>
          </cell>
        </row>
        <row r="8">
          <cell r="B8" t="str">
            <v>수중 연  암</v>
          </cell>
        </row>
        <row r="9">
          <cell r="B9" t="str">
            <v>수중 연  암</v>
          </cell>
        </row>
        <row r="16">
          <cell r="B16" t="str">
            <v>노상</v>
          </cell>
        </row>
        <row r="17">
          <cell r="B17" t="str">
            <v>노체</v>
          </cell>
        </row>
        <row r="18">
          <cell r="B18" t="str">
            <v>25-160-15</v>
          </cell>
        </row>
        <row r="19">
          <cell r="B19" t="str">
            <v>25-210-15</v>
          </cell>
        </row>
        <row r="20">
          <cell r="B20" t="str">
            <v>합 판 6 회</v>
          </cell>
        </row>
        <row r="21">
          <cell r="B21" t="str">
            <v>합 판 6 회</v>
          </cell>
        </row>
        <row r="22">
          <cell r="B22" t="str">
            <v>25-240-15</v>
          </cell>
        </row>
        <row r="23">
          <cell r="B23" t="str">
            <v>합판 4회</v>
          </cell>
        </row>
        <row r="24">
          <cell r="B24" t="str">
            <v>합판 4회</v>
          </cell>
        </row>
        <row r="25">
          <cell r="B25" t="str">
            <v>SD30,복잡</v>
          </cell>
        </row>
        <row r="26">
          <cell r="B26" t="str">
            <v>SD30,복잡</v>
          </cell>
        </row>
        <row r="27">
          <cell r="B27" t="str">
            <v>25-240-15</v>
          </cell>
        </row>
        <row r="28">
          <cell r="B28" t="str">
            <v>합판 3회</v>
          </cell>
        </row>
        <row r="29">
          <cell r="B29" t="str">
            <v>문양거푸집</v>
          </cell>
        </row>
        <row r="30">
          <cell r="B30" t="str">
            <v xml:space="preserve"> 강관   0-7M</v>
          </cell>
        </row>
        <row r="31">
          <cell r="B31" t="str">
            <v xml:space="preserve"> 강관   0-7M</v>
          </cell>
        </row>
        <row r="32">
          <cell r="B32" t="str">
            <v xml:space="preserve"> 강관  7-10M</v>
          </cell>
        </row>
        <row r="33">
          <cell r="B33" t="str">
            <v xml:space="preserve"> 강관 10-13M</v>
          </cell>
        </row>
        <row r="34">
          <cell r="B34" t="str">
            <v>SD30,복잡</v>
          </cell>
        </row>
        <row r="35">
          <cell r="B35" t="str">
            <v>100 x 100mm</v>
          </cell>
        </row>
        <row r="36">
          <cell r="B36" t="str">
            <v>100 x 100mm</v>
          </cell>
        </row>
        <row r="38">
          <cell r="B38" t="str">
            <v>psc beam 175ton</v>
          </cell>
        </row>
        <row r="39">
          <cell r="B39" t="str">
            <v>200ton</v>
          </cell>
        </row>
        <row r="40">
          <cell r="B40" t="str">
            <v>일방향가동형</v>
          </cell>
        </row>
        <row r="41">
          <cell r="B41" t="str">
            <v>고 정 형</v>
          </cell>
        </row>
        <row r="42">
          <cell r="B42" t="str">
            <v>1:1</v>
          </cell>
        </row>
        <row r="43">
          <cell r="B43" t="str">
            <v>1:1</v>
          </cell>
        </row>
        <row r="44">
          <cell r="B44">
            <v>175</v>
          </cell>
        </row>
        <row r="45">
          <cell r="B45" t="str">
            <v>양방향고정</v>
          </cell>
        </row>
        <row r="46">
          <cell r="B46" t="str">
            <v>양방향가동</v>
          </cell>
        </row>
        <row r="47">
          <cell r="B47" t="str">
            <v>일방향고정</v>
          </cell>
        </row>
        <row r="48">
          <cell r="B48" t="str">
            <v>일방향가동</v>
          </cell>
        </row>
        <row r="49">
          <cell r="B49" t="str">
            <v>1:1</v>
          </cell>
        </row>
        <row r="50">
          <cell r="B50" t="str">
            <v>1:1</v>
          </cell>
        </row>
        <row r="51">
          <cell r="B51" t="str">
            <v>19-350-12</v>
          </cell>
        </row>
        <row r="52">
          <cell r="B52" t="str">
            <v>합판 3회</v>
          </cell>
        </row>
        <row r="53">
          <cell r="B53" t="str">
            <v>합판 3회</v>
          </cell>
        </row>
        <row r="54">
          <cell r="B54" t="str">
            <v>Φ100mm용</v>
          </cell>
        </row>
        <row r="55">
          <cell r="B55" t="str">
            <v>Φ100mm용</v>
          </cell>
        </row>
        <row r="56">
          <cell r="B56" t="str">
            <v>STS각관 400 x 150</v>
          </cell>
        </row>
        <row r="57">
          <cell r="B57" t="str">
            <v>STS각관 400 x 150</v>
          </cell>
        </row>
        <row r="58">
          <cell r="B58" t="str">
            <v>20 x 20mm</v>
          </cell>
        </row>
        <row r="59">
          <cell r="B59" t="str">
            <v>20 x 20mm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하중조합"/>
      <sheetName val="양압력"/>
      <sheetName val="단면력도"/>
      <sheetName val="단면력집계&amp;지지력검토"/>
      <sheetName val="부록"/>
      <sheetName val="배력철근량검토"/>
      <sheetName val="주철근조립"/>
      <sheetName val="바닥판에만적용-배력철근량검토"/>
      <sheetName val="온도수축철근량검토"/>
    </sheetNames>
    <sheetDataSet>
      <sheetData sheetId="0" refreshError="1"/>
      <sheetData sheetId="1" refreshError="1">
        <row r="7">
          <cell r="L7">
            <v>10</v>
          </cell>
        </row>
        <row r="11">
          <cell r="M11">
            <v>2.5</v>
          </cell>
        </row>
        <row r="14">
          <cell r="M14">
            <v>2.35</v>
          </cell>
        </row>
        <row r="15">
          <cell r="M15">
            <v>1.9</v>
          </cell>
        </row>
        <row r="16">
          <cell r="M16">
            <v>0.3</v>
          </cell>
        </row>
        <row r="20">
          <cell r="K20">
            <v>1.8</v>
          </cell>
        </row>
        <row r="21">
          <cell r="K21">
            <v>1</v>
          </cell>
        </row>
        <row r="22">
          <cell r="K22">
            <v>30</v>
          </cell>
        </row>
        <row r="24">
          <cell r="Q24">
            <v>0.5</v>
          </cell>
        </row>
      </sheetData>
      <sheetData sheetId="2" refreshError="1">
        <row r="5">
          <cell r="C5">
            <v>12.5</v>
          </cell>
          <cell r="S5">
            <v>9.7799999999999994</v>
          </cell>
        </row>
        <row r="6">
          <cell r="C6">
            <v>1.1000000000000001</v>
          </cell>
          <cell r="G6">
            <v>0</v>
          </cell>
          <cell r="K6">
            <v>0.8</v>
          </cell>
          <cell r="O6">
            <v>0.4</v>
          </cell>
          <cell r="S6">
            <v>1.2</v>
          </cell>
        </row>
        <row r="7">
          <cell r="C7">
            <v>10.3</v>
          </cell>
          <cell r="G7">
            <v>0</v>
          </cell>
          <cell r="K7">
            <v>0</v>
          </cell>
          <cell r="O7">
            <v>0</v>
          </cell>
          <cell r="S7">
            <v>7.48</v>
          </cell>
        </row>
        <row r="8">
          <cell r="C8">
            <v>0</v>
          </cell>
          <cell r="G8">
            <v>0</v>
          </cell>
          <cell r="S8">
            <v>1.1000000000000001</v>
          </cell>
        </row>
        <row r="10">
          <cell r="K10">
            <v>0.8</v>
          </cell>
          <cell r="O10">
            <v>0</v>
          </cell>
        </row>
        <row r="11">
          <cell r="K11">
            <v>0</v>
          </cell>
          <cell r="O11">
            <v>0.8</v>
          </cell>
          <cell r="S11">
            <v>10</v>
          </cell>
        </row>
        <row r="12">
          <cell r="K12">
            <v>0</v>
          </cell>
          <cell r="O12">
            <v>0</v>
          </cell>
          <cell r="S12">
            <v>3</v>
          </cell>
        </row>
        <row r="13">
          <cell r="K13">
            <v>0.8</v>
          </cell>
        </row>
        <row r="68">
          <cell r="P68">
            <v>1.1400000000000001</v>
          </cell>
        </row>
        <row r="97">
          <cell r="AG97">
            <v>200</v>
          </cell>
        </row>
        <row r="98">
          <cell r="AG98">
            <v>120</v>
          </cell>
        </row>
        <row r="99">
          <cell r="AG99">
            <v>80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X구조해석 설명서"/>
      <sheetName val="추가사항"/>
      <sheetName val="간지"/>
      <sheetName val="설계조건"/>
      <sheetName val="단면가정"/>
      <sheetName val="좌표단면SPRING"/>
      <sheetName val="하중산정"/>
      <sheetName val="하중조합"/>
      <sheetName val="INPUT"/>
      <sheetName val="OUTPUT"/>
      <sheetName val="부재력정리"/>
      <sheetName val="철근량 검토"/>
      <sheetName val="우각부검토"/>
      <sheetName val="안정성검토"/>
      <sheetName val="철근배근"/>
      <sheetName val="안정계산"/>
      <sheetName val="단면검토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6">
          <cell r="C16">
            <v>400</v>
          </cell>
        </row>
        <row r="30">
          <cell r="C30">
            <v>450</v>
          </cell>
        </row>
        <row r="31">
          <cell r="AV31">
            <v>4</v>
          </cell>
        </row>
        <row r="36">
          <cell r="G36">
            <v>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0">
          <cell r="I30">
            <v>0</v>
          </cell>
        </row>
        <row r="31">
          <cell r="I31">
            <v>-6.5460000000000003</v>
          </cell>
        </row>
        <row r="40">
          <cell r="I40">
            <v>-6.6749999999999998</v>
          </cell>
        </row>
        <row r="41">
          <cell r="I4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상부집계"/>
      <sheetName val="상부철근집계"/>
      <sheetName val="하부 총괄 일반수량 집계표"/>
      <sheetName val="하부 철근총괄"/>
      <sheetName val="토공집계"/>
      <sheetName val="가축도집계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목차"/>
      <sheetName val="간지(1)"/>
      <sheetName val="자재집계"/>
      <sheetName val="자재근거"/>
      <sheetName val="골재집계표"/>
      <sheetName val="철근자재"/>
      <sheetName val="이월집계"/>
      <sheetName val="간지(2)"/>
      <sheetName val="총괄집계"/>
      <sheetName val="총괄철근집계"/>
      <sheetName val="간지(3)"/>
      <sheetName val="토공집계"/>
      <sheetName val="교대토공집계"/>
      <sheetName val="시점교대토공집계"/>
      <sheetName val="교대1_토공수량산출서"/>
      <sheetName val="종점교대토공집계"/>
      <sheetName val="교대2_토공수량산출서"/>
      <sheetName val="교각토공집계"/>
      <sheetName val="교각1"/>
      <sheetName val="교각2"/>
      <sheetName val="간지(4)"/>
      <sheetName val="구조물집계"/>
      <sheetName val="구조물철근집계"/>
      <sheetName val="라멘집계"/>
      <sheetName val="라멘철근집계"/>
      <sheetName val="X단면제원"/>
      <sheetName val="π형라멘"/>
      <sheetName val="교대집계"/>
      <sheetName val="교대철근집계"/>
      <sheetName val="교대1_본체_수량산출서"/>
      <sheetName val="교대1_날개벽_수량산출서"/>
      <sheetName val="교대2_본체_수량산출서"/>
      <sheetName val="교대2_날개벽_수량산출서"/>
      <sheetName val="접속집계"/>
      <sheetName val="접속철근집계"/>
      <sheetName val="교대1_접속슬래브_수량산출서"/>
      <sheetName val="교대2_접속슬래브_수량산출서"/>
      <sheetName val="교명주받침집계"/>
      <sheetName val="교명주받침철근집계"/>
      <sheetName val="교명주받침"/>
      <sheetName val="도로경계블럭집계"/>
      <sheetName val="도로경계블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자재집계표"/>
      <sheetName val="사급자재집계"/>
      <sheetName val="표지"/>
      <sheetName val="▶총괄집계"/>
      <sheetName val="총괄수량집계"/>
      <sheetName val="▶토공"/>
      <sheetName val="총괄토공집계표"/>
      <sheetName val="토적표"/>
      <sheetName val="▶폐기물"/>
      <sheetName val="폐기물집계"/>
      <sheetName val="VXXXXX"/>
      <sheetName val="▶목차"/>
      <sheetName val="관급자재"/>
      <sheetName val="사급자재"/>
      <sheetName val="시멘트,골재산출표"/>
      <sheetName val="공종별재료집계"/>
      <sheetName val="총괄자재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자재집계표"/>
      <sheetName val="사급자재집계"/>
      <sheetName val="구조물철거타공정이월"/>
      <sheetName val="노임단가"/>
      <sheetName val="Sheet1"/>
      <sheetName val="자재집계표"/>
      <sheetName val="금액내역서"/>
      <sheetName val="갑지"/>
      <sheetName val="총괄"/>
      <sheetName val="폐기물집계"/>
      <sheetName val="수량산출"/>
      <sheetName val="총괄내역"/>
      <sheetName val="기둥(원형)"/>
      <sheetName val="전체철근집계"/>
      <sheetName val="장비집계"/>
      <sheetName val="식생블럭단위수량"/>
      <sheetName val="3.공통공사대비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조명시설"/>
      <sheetName val="철집"/>
      <sheetName val="교각계산"/>
      <sheetName val="가격조사서"/>
      <sheetName val="전신환매도율"/>
      <sheetName val="일반수량총괄집계"/>
      <sheetName val="결과조달"/>
      <sheetName val="설계내역"/>
      <sheetName val="woo(mac)"/>
      <sheetName val="1.주요자재집계표"/>
      <sheetName val="DATA98"/>
      <sheetName val="진주방향"/>
      <sheetName val="총괄내역서"/>
      <sheetName val="(집계) 노면표시"/>
      <sheetName val="Baby일위대가"/>
      <sheetName val="수로단위수량"/>
      <sheetName val="산출2-기기동력"/>
      <sheetName val="최적단면"/>
      <sheetName val="공사비증감"/>
      <sheetName val="#REF"/>
      <sheetName val="집계표"/>
      <sheetName val="설계"/>
      <sheetName val="토공계산서(부체도로)"/>
      <sheetName val="DATE"/>
      <sheetName val="가도공"/>
      <sheetName val="산출3-유도등"/>
      <sheetName val="산출2-동력"/>
      <sheetName val="산출2-피뢰침"/>
      <sheetName val="Sheet1 (2)"/>
      <sheetName val="지급자재"/>
      <sheetName val="하도내역 (철콘)"/>
      <sheetName val="단위수량"/>
      <sheetName val="터파기및재료"/>
      <sheetName val="토공총괄표"/>
      <sheetName val="제-노임"/>
      <sheetName val="제직재"/>
      <sheetName val="1TL종점(1)"/>
      <sheetName val="6PILE  (돌출)"/>
      <sheetName val="식재"/>
      <sheetName val="시설물"/>
      <sheetName val="식재출력용"/>
      <sheetName val="유지관리"/>
      <sheetName val="단가"/>
      <sheetName val="U-TYPE(1)"/>
      <sheetName val="지장물C"/>
      <sheetName val="40총괄"/>
      <sheetName val="40집계"/>
      <sheetName val="발파수량집계"/>
      <sheetName val="붙임8(내역)(당초)"/>
      <sheetName val="부하계산서"/>
      <sheetName val="부하(성남)"/>
      <sheetName val="수문보고"/>
      <sheetName val="아스콘포장단위수량"/>
      <sheetName val="측구하부포장단위수량"/>
      <sheetName val="7.PILE  (돌출)"/>
      <sheetName val="설계명세서"/>
      <sheetName val="토공 total"/>
      <sheetName val="수량산출서 갑지"/>
      <sheetName val="대림경상68억"/>
      <sheetName val="3BL공동구 수량"/>
      <sheetName val="단면 (2)"/>
      <sheetName val="시행후면적"/>
      <sheetName val="집1"/>
      <sheetName val="경영상태"/>
      <sheetName val="코드표"/>
      <sheetName val="INPUT"/>
      <sheetName val="출력X"/>
      <sheetName val="C-직노1"/>
      <sheetName val="주요자재집계"/>
      <sheetName val="정부노임단가"/>
      <sheetName val="S.중기사용료"/>
      <sheetName val="입력란"/>
      <sheetName val="97노임단가"/>
      <sheetName val="8.PILE  (돌출)"/>
      <sheetName val="예정(3)"/>
      <sheetName val="동원(3)"/>
      <sheetName val="일위대가"/>
      <sheetName val="J형측구단위수량"/>
      <sheetName val="용지매수"/>
      <sheetName val="총괄표"/>
      <sheetName val="1.설계조건"/>
      <sheetName val="1안"/>
      <sheetName val="설비원가"/>
      <sheetName val="DATA 입력란"/>
      <sheetName val="변화치수"/>
      <sheetName val="쌍송교"/>
      <sheetName val="연결관암거"/>
      <sheetName val="배수관산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간지"/>
      <sheetName val="5-0간지"/>
      <sheetName val="1주요자재"/>
      <sheetName val="이월집계"/>
      <sheetName val="#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급자재집계표"/>
      <sheetName val="사급자재집계"/>
      <sheetName val="단면가정"/>
      <sheetName val="danga"/>
      <sheetName val="ilch"/>
      <sheetName val="SLAB&quot;1&quot;"/>
      <sheetName val="조작대(1연)"/>
      <sheetName val="2.가정단면"/>
      <sheetName val="조명시설"/>
      <sheetName val="을"/>
      <sheetName val="역T형"/>
      <sheetName val="기둥(원형)"/>
      <sheetName val="내역(전체)"/>
      <sheetName val="교각1"/>
      <sheetName val="1.우편집중내역서"/>
      <sheetName val="WORK"/>
      <sheetName val="입찰안"/>
      <sheetName val="#REF"/>
      <sheetName val="Sheet2"/>
      <sheetName val="CODE"/>
      <sheetName val="Y-WORK"/>
      <sheetName val="1.설계조건"/>
      <sheetName val="DATA"/>
      <sheetName val="인6월"/>
      <sheetName val="ITEM"/>
      <sheetName val="3.하중산정4.지지력"/>
      <sheetName val="총괄"/>
      <sheetName val="Sheet3"/>
      <sheetName val="DATA 입력란"/>
      <sheetName val="내역"/>
      <sheetName val="설계조건"/>
      <sheetName val="날개벽(시점좌측)"/>
      <sheetName val="공사비예산서(토목분)"/>
      <sheetName val="98수문일위"/>
      <sheetName val="산근목록"/>
      <sheetName val="SLAB"/>
      <sheetName val="상부집계표"/>
      <sheetName val="Sheet1"/>
      <sheetName val="토목 (2)"/>
      <sheetName val="COPING"/>
      <sheetName val="공통가설"/>
      <sheetName val="터파기및재료"/>
      <sheetName val="자재 집계표"/>
      <sheetName val="토공"/>
      <sheetName val="기계시공"/>
      <sheetName val="BSD (2)"/>
      <sheetName val="수량산출"/>
      <sheetName val="노임단가"/>
      <sheetName val="내역전기"/>
      <sheetName val="정렬"/>
      <sheetName val="6PILE  (돌출)"/>
      <sheetName val="대비내역"/>
      <sheetName val="맨홀수량집계"/>
      <sheetName val="DATE"/>
      <sheetName val="집계표"/>
      <sheetName val="R.C RAHMEN 해석"/>
      <sheetName val="input"/>
      <sheetName val="ccd원가"/>
      <sheetName val="원가입력"/>
      <sheetName val="내역및총괄"/>
      <sheetName val="BK-6-O-1"/>
      <sheetName val="마산방향철근집계"/>
      <sheetName val="ABUT수량-A1"/>
      <sheetName val="INPUT(덕도방향-시점)"/>
      <sheetName val="인건비"/>
      <sheetName val="직공비"/>
      <sheetName val="내역표지"/>
      <sheetName val="단면 (2)"/>
      <sheetName val="자재집계표"/>
      <sheetName val="견적대비 견적서"/>
      <sheetName val="960318-1"/>
      <sheetName val="내역서 "/>
      <sheetName val="원형1호맨홀토공수량"/>
      <sheetName val="guard(mac)"/>
      <sheetName val="안정검토"/>
      <sheetName val="단면설계"/>
      <sheetName val="설계예산"/>
      <sheetName val="전기"/>
      <sheetName val="기둥"/>
      <sheetName val="저판(버림100)"/>
      <sheetName val="내역서"/>
      <sheetName val="Sheet5"/>
      <sheetName val="버스운행안내"/>
      <sheetName val="예방접종계획"/>
      <sheetName val="근태계획서"/>
      <sheetName val="1단계"/>
      <sheetName val="데리네이타현황"/>
      <sheetName val="DESIGN CRITERIA"/>
      <sheetName val="I一般比"/>
      <sheetName val="날개벽수량표"/>
      <sheetName val="진주방향"/>
      <sheetName val="마산방향"/>
      <sheetName val="토목공사일반"/>
      <sheetName val="단가 및 재료비"/>
      <sheetName val="배수통관(좌)"/>
      <sheetName val="표지"/>
      <sheetName val="단가"/>
      <sheetName val="단가산출2"/>
      <sheetName val="갑지"/>
      <sheetName val="폐기물집계"/>
      <sheetName val="CAL."/>
      <sheetName val="슬래브(유곡)"/>
      <sheetName val="덕전리"/>
      <sheetName val="건축내역"/>
      <sheetName val="골재산출"/>
      <sheetName val="당진1,2호기전선관설치및접지4차공사내역서-을지"/>
      <sheetName val="IMPEADENCE MAP 취수장"/>
      <sheetName val="대치판정"/>
      <sheetName val="부대공사"/>
      <sheetName val="BOQ"/>
      <sheetName val="3CHBDC"/>
      <sheetName val="8.PILE  (돌출)"/>
      <sheetName val="노임이"/>
      <sheetName val="설계내역서"/>
      <sheetName val="단위집계표"/>
      <sheetName val="통합"/>
      <sheetName val="2BOX본체"/>
      <sheetName val="손익분석"/>
      <sheetName val="ⴭⴭⴭⴭ"/>
      <sheetName val="장비집계"/>
      <sheetName val="B부대공"/>
      <sheetName val="말뚝지지력산정"/>
      <sheetName val="기본"/>
      <sheetName val="배수공총괄"/>
      <sheetName val="대포2교접속"/>
      <sheetName val="산근"/>
      <sheetName val="계약내역서(을지)"/>
      <sheetName val="총괄표"/>
      <sheetName val="L_RPTB16_05"/>
      <sheetName val="기본DATA"/>
      <sheetName val="부표총괄"/>
      <sheetName val="Macro(전선)"/>
      <sheetName val="금액내역서"/>
      <sheetName val="남양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여주대교-종점"/>
      <sheetName val="1.설계조건 "/>
      <sheetName val="설계기준설명 "/>
      <sheetName val="2.단면가정 (BASE)"/>
      <sheetName val="3.하중및토압(탄성,가동)"/>
      <sheetName val="3.하중및토압 (고정)"/>
      <sheetName val="4.작용하중(가동)(탄성)"/>
      <sheetName val="4.작용하중(고정)"/>
      <sheetName val="5.안정검토(가동)(탄성)(풍화암)"/>
      <sheetName val="5.안정검토(가동)(탄성)(연암)"/>
      <sheetName val="5.안정검토(고정)(풍화암)"/>
      <sheetName val="5.안정검토(고정)(연암) "/>
      <sheetName val="6.벽체계산"/>
      <sheetName val="7.흉벽(구식)"/>
      <sheetName val="7.흉벽계산(ASCON)"/>
      <sheetName val="7.흉벽계산 (CON'C)"/>
      <sheetName val="8.FOOTING"/>
      <sheetName val="9.날개벽A"/>
      <sheetName val="9.날개벽A (3)"/>
      <sheetName val="9.날개벽B"/>
      <sheetName val="9.날개벽C"/>
      <sheetName val="10.고정슈교좌면검토"/>
      <sheetName val="10.가동슈교좌면검토 "/>
      <sheetName val="10.탄성슈교좌면검토"/>
      <sheetName val="11.접속슬라브(ASCON)"/>
      <sheetName val="11.접속슬라브CON) "/>
      <sheetName val="주철근조립도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요자재"/>
      <sheetName val="옹벽"/>
      <sheetName val="옹벽L70"/>
      <sheetName val="옹벽L36"/>
      <sheetName val="옹벽L24"/>
      <sheetName val="옹벽철근"/>
      <sheetName val="철근L70"/>
      <sheetName val="철근L36"/>
      <sheetName val="철근L24"/>
      <sheetName val="정림옹벽집계"/>
      <sheetName val="정림옹벽l74"/>
      <sheetName val="정림옹벽L3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교대(1)"/>
      <sheetName val="교대(2)"/>
      <sheetName val="교대토공(1)"/>
      <sheetName val="교대토공(2)"/>
      <sheetName val="안면 교대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설계"/>
      <sheetName val="종횡형"/>
      <sheetName val="주형"/>
      <sheetName val="하중표"/>
      <sheetName val="유효폭"/>
      <sheetName val="단면특성치"/>
      <sheetName val="부재력집계표G1"/>
      <sheetName val="부재력집계표G3"/>
      <sheetName val="지점반력"/>
      <sheetName val="주형단면검토1"/>
      <sheetName val="주형단면검토2"/>
      <sheetName val="주형단면검토3"/>
      <sheetName val="주형단면검토4"/>
      <sheetName val="주형단면검토5(지점부)"/>
      <sheetName val="주형단면검토6(지점부)"/>
      <sheetName val="SPLICE(X)"/>
      <sheetName val="보강재,STUD"/>
      <sheetName val="대경구설계"/>
      <sheetName val="횡구설계"/>
      <sheetName val="용접두께(X)"/>
      <sheetName val="JACKUP보강재(X)"/>
      <sheetName val="CAMBER"/>
      <sheetName val="CAMBER(X)"/>
      <sheetName val="피로"/>
      <sheetName val="신축이음"/>
      <sheetName val="내진설계"/>
      <sheetName val="내진삽도"/>
      <sheetName val="내진삽도 3S"/>
      <sheetName val="도장수량"/>
      <sheetName val="고재수량"/>
      <sheetName val="비파괴검사"/>
      <sheetName val="Sheet1"/>
      <sheetName val="Sheet1 (2)"/>
      <sheetName val="U-TYPE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슬래브S1(화평교)"/>
      <sheetName val="사용성검토"/>
      <sheetName val="신축량 계산"/>
      <sheetName val="내진설계"/>
      <sheetName val="내진삽도"/>
      <sheetName val="내진삽도 (2)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집계"/>
      <sheetName val="내역"/>
      <sheetName val="단면가정"/>
      <sheetName val="설계조건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추2교거푸집집계"/>
      <sheetName val="중추2교(공주)거푸집집계"/>
      <sheetName val="중추2교(서천)거푸집집계"/>
      <sheetName val="분향교거푸집집계"/>
      <sheetName val="분향교(공주)거푸집집계"/>
      <sheetName val="분향교(서천)거푸집집계"/>
      <sheetName val="장평1교거푸집집계"/>
      <sheetName val="장평1교(공주)거푸집집계"/>
      <sheetName val="장평1교(서천)거푸집집계"/>
      <sheetName val="지천교거푸집집계"/>
      <sheetName val="지천교(공주)거푸집집계"/>
      <sheetName val="지천교(서천)거푸집집계"/>
      <sheetName val="설계조건"/>
      <sheetName val="안정계산"/>
      <sheetName val="단면검토"/>
      <sheetName val="#REF"/>
      <sheetName val="3BL공동구 수량"/>
      <sheetName val="고창방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BOQ"/>
      <sheetName val="주요자재"/>
      <sheetName val="골재"/>
      <sheetName val="시멘골재"/>
      <sheetName val="콘크리트"/>
      <sheetName val="타설집계"/>
      <sheetName val="그라우,몰탈"/>
      <sheetName val="강재1"/>
      <sheetName val="강재2"/>
      <sheetName val="비피괴"/>
      <sheetName val="총괄수량집계표"/>
      <sheetName val="타공종이기수량"/>
      <sheetName val="총괄철근집계표"/>
      <sheetName val="Sheet1"/>
      <sheetName val="Sheet2"/>
      <sheetName val="Sheet3"/>
      <sheetName val="#REF"/>
      <sheetName val="교각1"/>
      <sheetName val="4.내진설계"/>
      <sheetName val="공종"/>
      <sheetName val="4.주beam"/>
      <sheetName val="전체내역서"/>
      <sheetName val="옹벽수량집계"/>
      <sheetName val="산출근거"/>
      <sheetName val="내역서"/>
      <sheetName val="단면가정"/>
      <sheetName val="설계기준 및 하중계산"/>
      <sheetName val="입력값"/>
      <sheetName val="관급자재대"/>
      <sheetName val="차액보증"/>
      <sheetName val="BID"/>
      <sheetName val="대치판정"/>
      <sheetName val="경부총괄"/>
      <sheetName val="DATE"/>
      <sheetName val="90.03실행 "/>
      <sheetName val="산출내역서집계표"/>
      <sheetName val="단가조사"/>
      <sheetName val="재료비"/>
      <sheetName val="신우"/>
      <sheetName val="단가 "/>
      <sheetName val="노임"/>
      <sheetName val="수량산출"/>
      <sheetName val="자료"/>
      <sheetName val="맨홀"/>
      <sheetName val="일반수량"/>
      <sheetName val="실행변경(1차)"/>
      <sheetName val="공예을"/>
      <sheetName val="5흙막이"/>
      <sheetName val="SHOE 중량"/>
      <sheetName val="PILE항타508"/>
      <sheetName val="교량총괄"/>
      <sheetName val="철근총괄"/>
      <sheetName val="교량이기수량"/>
      <sheetName val="단면상수"/>
      <sheetName val="교대(A1)"/>
      <sheetName val="DATA 입력부"/>
      <sheetName val="음성방향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6PILE  (돌출)"/>
      <sheetName val="단면치수"/>
      <sheetName val="설비"/>
      <sheetName val="ABUT수량-A1"/>
      <sheetName val="실행철강하도"/>
      <sheetName val="설계"/>
      <sheetName val="COPING"/>
      <sheetName val="수안보-MBR1"/>
      <sheetName val="종배수관"/>
      <sheetName val="DATE"/>
      <sheetName val="터널조도"/>
      <sheetName val="JUCK"/>
      <sheetName val="교각1"/>
      <sheetName val="내역서"/>
      <sheetName val="원계약서"/>
      <sheetName val="조작대(1연)"/>
      <sheetName val="APO-1"/>
      <sheetName val="암거단위-1련"/>
      <sheetName val="예정(3)"/>
      <sheetName val="동원(3)"/>
      <sheetName val="우,오수"/>
      <sheetName val="지급자재"/>
      <sheetName val="준검 내역서"/>
      <sheetName val="자재단가"/>
      <sheetName val="노임"/>
      <sheetName val="type-F"/>
      <sheetName val="구분표"/>
      <sheetName val="제원입력"/>
      <sheetName val="노임단가"/>
      <sheetName val="Sheet17"/>
      <sheetName val="설계조건"/>
      <sheetName val="PAC"/>
      <sheetName val="인건-측정"/>
      <sheetName val="#REF"/>
      <sheetName val="000000"/>
      <sheetName val="J형측구단위수량"/>
      <sheetName val="기둥"/>
      <sheetName val="저판(버림100)"/>
      <sheetName val="노무비"/>
      <sheetName val="교대(A1)"/>
      <sheetName val="1-1"/>
      <sheetName val="MBR9"/>
      <sheetName val="기계내역"/>
      <sheetName val="L형옹벽측구"/>
      <sheetName val="교각계산"/>
      <sheetName val="우각부보강"/>
      <sheetName val="계산에 앞서"/>
      <sheetName val="주형보"/>
      <sheetName val="주형지지보"/>
      <sheetName val="입찰안"/>
      <sheetName val="A-4"/>
      <sheetName val="5.모델링"/>
      <sheetName val="바닥판"/>
      <sheetName val="내역(영일)"/>
      <sheetName val="3련 BOX"/>
      <sheetName val="MOTOR"/>
      <sheetName val="NOMUBI"/>
      <sheetName val="sw1"/>
      <sheetName val="연도별"/>
      <sheetName val="표면정지 집계"/>
      <sheetName val="PET MAT집계"/>
      <sheetName val="조명시설"/>
      <sheetName val="CONCRETE"/>
      <sheetName val="가설건물"/>
      <sheetName val="1공구"/>
      <sheetName val="터파기및재료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"/>
      <sheetName val="Sheet1"/>
      <sheetName val="Sheet2"/>
      <sheetName val="Sheet3"/>
      <sheetName val="공량산출서"/>
      <sheetName val="1.설계조건"/>
      <sheetName val="플랜트 설치"/>
      <sheetName val="SG"/>
      <sheetName val="우각부검토"/>
      <sheetName val="7.전산해석결과"/>
      <sheetName val="4.하중"/>
      <sheetName val="tggwan(mac)"/>
      <sheetName val="일위(PN)"/>
      <sheetName val="설계산출표지"/>
      <sheetName val="본체"/>
      <sheetName val="설계조건"/>
      <sheetName val="3.바닥판설계"/>
      <sheetName val="SLAB"/>
      <sheetName val="4.5 휨응력"/>
      <sheetName val="1.설계기준"/>
      <sheetName val="ABUT수량-A1"/>
      <sheetName val="개략"/>
      <sheetName val="입력데이타"/>
      <sheetName val="input"/>
      <sheetName val="INPUTDATA"/>
      <sheetName val="Culvert"/>
      <sheetName val="제진기"/>
      <sheetName val="T형( 파일기초) 공현1교"/>
      <sheetName val="결합부검토"/>
      <sheetName val="Sheet1 (2)"/>
      <sheetName val="내진해석"/>
      <sheetName val="우수"/>
      <sheetName val="기둥(원형)"/>
      <sheetName val="3BL공동구 수량"/>
      <sheetName val="터파기및재료"/>
      <sheetName val="DATE"/>
      <sheetName val="토공(우물통,기타) "/>
      <sheetName val="철근단면적"/>
      <sheetName val="4-BOQ"/>
      <sheetName val="시점부교대"/>
      <sheetName val="수량집계표"/>
      <sheetName val="입력값"/>
      <sheetName val="총괄"/>
      <sheetName val="사업수지"/>
      <sheetName val="공종단가"/>
      <sheetName val="2000년하반기"/>
      <sheetName val="말뚝지지력산정"/>
      <sheetName val="데이터입력"/>
      <sheetName val="토사(PE)"/>
      <sheetName val="설계기준 및 하중계산"/>
      <sheetName val="내역서적용수량 (지방도893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간지1"/>
      <sheetName val="교대철근총집계"/>
      <sheetName val="교대수량총집계"/>
      <sheetName val="교대수량집계(시)"/>
      <sheetName val="교대철근집계(시)"/>
      <sheetName val="교대시점(고창)"/>
      <sheetName val="교대시점(담양)"/>
      <sheetName val="교대수량집계(종)"/>
      <sheetName val="교대철근집계(종)"/>
      <sheetName val="교대종점(고창)"/>
      <sheetName val="교대종점(담양)"/>
      <sheetName val="간지2"/>
      <sheetName val="교각수량집계"/>
      <sheetName val="교각철근집계"/>
      <sheetName val="교각수량집계(고창)"/>
      <sheetName val="교각철근집계(고창)"/>
      <sheetName val="고창방향-&gt;"/>
      <sheetName val="교각1"/>
      <sheetName val="교각2"/>
      <sheetName val="교각3"/>
      <sheetName val="교각4"/>
      <sheetName val="교각5"/>
      <sheetName val="교각6"/>
      <sheetName val="교각7"/>
      <sheetName val="교각8"/>
      <sheetName val="교각9"/>
      <sheetName val="교각10"/>
      <sheetName val="교각수량집계(담양)"/>
      <sheetName val="교각철근집계(담양)"/>
      <sheetName val="담양방향-&gt;"/>
      <sheetName val="교각1 (2)"/>
      <sheetName val="교각2 (2)"/>
      <sheetName val="교각3 (2)"/>
      <sheetName val="교각4 (2)"/>
      <sheetName val="교각5 (2)"/>
      <sheetName val="교각6 (2)"/>
      <sheetName val="교각7 (2)"/>
      <sheetName val="교각8 (2)"/>
      <sheetName val="교각9 (2)"/>
      <sheetName val="교각10 (2)"/>
      <sheetName val="안평1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_BOQ"/>
      <sheetName val="최종BOQ"/>
      <sheetName val="주요자재1"/>
      <sheetName val="주요자재2"/>
      <sheetName val="골재수량수량집계표"/>
      <sheetName val="타공종집계표"/>
      <sheetName val="토공총괄집계"/>
      <sheetName val="총괄철근수량집계표 (1)"/>
      <sheetName val="총괄철근수량집계표(2)"/>
      <sheetName val="라멘토공집계"/>
      <sheetName val="옹벽토공총괄집계"/>
      <sheetName val="옹벽토공(W1)집계"/>
      <sheetName val="옹벽토공(W2)집계 "/>
      <sheetName val="라멘토공(R-B)"/>
      <sheetName val="기존구조물깨기"/>
      <sheetName val="라멘옹벽토공(R-B,W1)"/>
      <sheetName val="라멘옹벽토공(H=8.00,W1)(R-B)"/>
      <sheetName val="라멘옹벽토공(H=3.50,W1)(R-B)"/>
      <sheetName val="라멘옹벽토공(R-B,W2)"/>
      <sheetName val="라멘옹벽토공(H=8.00,W2)(R-B)"/>
      <sheetName val="라멘옹벽토공(H=3.828,W2)(R-B)"/>
      <sheetName val="총괄일반수량집계표"/>
      <sheetName val="라멘구체수량집계"/>
      <sheetName val="라멘(구체)철근수량집계"/>
      <sheetName val="라멘(다웰바)철근수량집계 "/>
      <sheetName val="라멘구체수량산출근거"/>
      <sheetName val="접속슬래브집계"/>
      <sheetName val="접속슬래브철근수량집계"/>
      <sheetName val="접속슬래브산출근거"/>
      <sheetName val="옹벽일반수량집계"/>
      <sheetName val="옹벽철근수량집계"/>
      <sheetName val="라멘옹벽산출근거(W1)"/>
      <sheetName val="라멘옹벽산출근거(W2)"/>
      <sheetName val="라멘옹벽산출근거(H=8.0)"/>
      <sheetName val="라멘옹벽산출근거(H=2.078)"/>
      <sheetName val="라멘옹벽산출근거(H=3.828)"/>
      <sheetName val="표지"/>
      <sheetName val="표지 (2)"/>
      <sheetName val="표지 (3)"/>
      <sheetName val="표지 (4)"/>
      <sheetName val="표지 (5)"/>
      <sheetName val="표지 (6)"/>
      <sheetName val="삽도"/>
      <sheetName val="Sheet1"/>
      <sheetName val="Sheet2"/>
      <sheetName val="Sheet3"/>
      <sheetName val="1호인버트수량"/>
      <sheetName val="집계표"/>
      <sheetName val="RAMP B수량"/>
      <sheetName val="도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재료 (대)"/>
      <sheetName val="Sheet1"/>
      <sheetName val="Sheet2"/>
      <sheetName val="Sheet3"/>
      <sheetName val="상선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철근집계"/>
      <sheetName val="교각일반수량집계"/>
      <sheetName val="입력창"/>
      <sheetName val="S(1)"/>
      <sheetName val="S(2)"/>
      <sheetName val="S(3)"/>
      <sheetName val="S(4)"/>
      <sheetName val="S(5)"/>
      <sheetName val="H(1)"/>
      <sheetName val="H(2)"/>
      <sheetName val="H(3)"/>
      <sheetName val="H(4)"/>
      <sheetName val="H(5)"/>
      <sheetName val="TITLE"/>
      <sheetName val="picture"/>
      <sheetName val="Sheet1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적용수량"/>
      <sheetName val=" 주요자재"/>
      <sheetName val="골재"/>
      <sheetName val="타공종이기수량"/>
      <sheetName val="철근집계표"/>
      <sheetName val="철근가공"/>
      <sheetName val="라멘본체"/>
      <sheetName val="가시설 수량 집계표"/>
      <sheetName val="토공 수량 집계표"/>
      <sheetName val="석축쌓기수량집계표"/>
      <sheetName val="단면가정"/>
      <sheetName val="설계조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집계"/>
      <sheetName val="토 공(시 점)"/>
      <sheetName val="토 공(종 점)"/>
      <sheetName val="형식-2-2"/>
    </sheetNames>
    <sheetDataSet>
      <sheetData sheetId="0"/>
      <sheetData sheetId="1"/>
      <sheetData sheetId="2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단면가정"/>
      <sheetName val="부재력정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철근집계표"/>
      <sheetName val="TOTAL_BOQ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TOTAL_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-&quot;3&quot;"/>
      <sheetName val="형식-9 (2)"/>
      <sheetName val="형식-11 (2)"/>
      <sheetName val="교각-&quot;2&quot;"/>
      <sheetName val="교각&quot;&quot; (2)"/>
      <sheetName val="형식-9"/>
      <sheetName val="형식-11"/>
      <sheetName val="형식-12"/>
      <sheetName val="교각&quot;&quot;"/>
      <sheetName val="상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설계조건"/>
      <sheetName val="2. 단면형상"/>
      <sheetName val="3. 바닥판"/>
      <sheetName val="3. 바닥판 (2)"/>
      <sheetName val="설계내역(2001)"/>
      <sheetName val="BOX규격및 설계조건입력"/>
      <sheetName val="사용성검토"/>
      <sheetName val="우각부보강"/>
      <sheetName val="slab"/>
      <sheetName val="종곡선INPUT0830"/>
      <sheetName val="설계조건"/>
      <sheetName val="I.설계조건"/>
      <sheetName val="1_설계조건"/>
      <sheetName val="일위대가"/>
      <sheetName val="danga"/>
      <sheetName val="ilch"/>
      <sheetName val="I一般比"/>
      <sheetName val="정보매체A동"/>
      <sheetName val="말뚝지지력산정"/>
      <sheetName val="2.3지지력"/>
      <sheetName val="3CHBDC"/>
      <sheetName val="손익분기점 데이터"/>
      <sheetName val="1.포항"/>
      <sheetName val="범례"/>
      <sheetName val="단면가정"/>
      <sheetName val="입찰안"/>
      <sheetName val="BK-6-O-1"/>
      <sheetName val="교각1"/>
      <sheetName val="입력데이타"/>
      <sheetName val="1. 설계조건 2.단면가정 3. 하중계산"/>
      <sheetName val="DATA 입력란"/>
      <sheetName val="안정검토"/>
      <sheetName val="APT내역"/>
      <sheetName val="부대시설"/>
      <sheetName val="일반수량총괄집계표"/>
      <sheetName val="소비자가"/>
      <sheetName val="산출근거"/>
      <sheetName val="SLIDES"/>
      <sheetName val="2계산서서론부"/>
      <sheetName val="지급자재"/>
      <sheetName val="INPUT"/>
      <sheetName val="전기일위대가"/>
      <sheetName val="토공"/>
      <sheetName val="내역서"/>
      <sheetName val="1.설계기준"/>
      <sheetName val="기둥(원형)"/>
      <sheetName val="Sheet1 (2)"/>
      <sheetName val="CODE"/>
      <sheetName val="버스운행안내"/>
      <sheetName val="예방접종계획"/>
      <sheetName val="근태계획서"/>
      <sheetName val="계산근거"/>
      <sheetName val="2002상반기노임기준"/>
      <sheetName val="철근단면적"/>
      <sheetName val="INPUT(덕도방향-시점)"/>
      <sheetName val="REACTION(USE평시)"/>
      <sheetName val="REACTION(USD지진시)"/>
      <sheetName val="부대공"/>
      <sheetName val="일위대가표"/>
      <sheetName val="대비"/>
      <sheetName val="집계표"/>
      <sheetName val="국공유지및사유지"/>
      <sheetName val="물량표"/>
      <sheetName val="eq_data"/>
      <sheetName val="내용"/>
      <sheetName val="Sheet1"/>
      <sheetName val="영광토건"/>
      <sheetName val="특수선일위대가"/>
      <sheetName val="#REF"/>
      <sheetName val="공문(신)"/>
      <sheetName val="총괄표"/>
      <sheetName val="조경"/>
      <sheetName val="깨기"/>
      <sheetName val="역T형"/>
      <sheetName val="공주-교대(A1)"/>
      <sheetName val="내역서 "/>
      <sheetName val="SLAB&quot;1&quot;"/>
      <sheetName val="도근좌표"/>
      <sheetName val="공사비집계"/>
      <sheetName val="전체분 내역서(전북도) 최종"/>
      <sheetName val="조명시설"/>
      <sheetName val="이토변실(A3-LINE)"/>
      <sheetName val="노임"/>
      <sheetName val="단가조사서"/>
      <sheetName val="목차"/>
      <sheetName val="6PILE  (돌출)"/>
      <sheetName val="건축내역"/>
      <sheetName val="Y-WORK"/>
      <sheetName val="96보완계획7.12"/>
      <sheetName val="교각계산"/>
      <sheetName val="가설개략"/>
      <sheetName val="을지"/>
      <sheetName val="Sheet2"/>
      <sheetName val="Sheet3"/>
      <sheetName val="H-pile(298x299)"/>
      <sheetName val="H-pile(250x250)"/>
      <sheetName val="data"/>
      <sheetName val="부대공자재집계표"/>
      <sheetName val="수량산출"/>
      <sheetName val="포장공"/>
      <sheetName val="암거"/>
      <sheetName val="전체도급"/>
      <sheetName val="원형맨홀수량"/>
      <sheetName val="간지"/>
      <sheetName val="토적"/>
      <sheetName val="작성"/>
      <sheetName val="COPING-1"/>
      <sheetName val="역T형교대-2수량"/>
      <sheetName val="노원열병합  건축공사기성내역서"/>
      <sheetName val="WORK"/>
      <sheetName val="반중력식옹벽3.5"/>
      <sheetName val="ABUT수량-A1"/>
      <sheetName val="DATE"/>
      <sheetName val="cross beam"/>
      <sheetName val="을"/>
      <sheetName val="내역및총괄"/>
      <sheetName val="장비"/>
      <sheetName val="노무"/>
      <sheetName val="자재"/>
      <sheetName val="계약내력"/>
      <sheetName val="대전21토목내역서"/>
      <sheetName val="법면보호공내역서"/>
      <sheetName val="흄관기초"/>
      <sheetName val="답급수토공"/>
      <sheetName val="dtt0301"/>
      <sheetName val="2.단면가정"/>
      <sheetName val="뚝토공"/>
      <sheetName val="조건표"/>
      <sheetName val="기계시공"/>
      <sheetName val="날개벽(시점좌측)"/>
      <sheetName val="당진1,2호기전선관설치및접지4차공사내역서-을지"/>
      <sheetName val="예가표"/>
      <sheetName val="수량산출근거(본선)"/>
      <sheetName val="전체내역서"/>
      <sheetName val="공사비예산서(토목분)"/>
      <sheetName val="산근1"/>
      <sheetName val="3.하중산정4.지지력"/>
      <sheetName val="터파기및재료"/>
      <sheetName val="2.단면가정3.모델링"/>
      <sheetName val="Sheet5"/>
      <sheetName val="woo(mac)"/>
      <sheetName val="사각맨홀"/>
      <sheetName val="1근거"/>
      <sheetName val="상행"/>
      <sheetName val="dike도수로"/>
      <sheetName val="건축공사"/>
      <sheetName val="7.PILE  (돌출)"/>
      <sheetName val="늘음량"/>
      <sheetName val="하중계산"/>
      <sheetName val="Macro(전선)"/>
      <sheetName val="계화배수"/>
      <sheetName val="단가"/>
      <sheetName val="대치판정"/>
      <sheetName val="부하계산서"/>
      <sheetName val="심사계산"/>
      <sheetName val="심사물량"/>
      <sheetName val="케이슨산출근거(TYPE-A)"/>
      <sheetName val="하중"/>
      <sheetName val="풍하중1"/>
      <sheetName val="산근목록"/>
    </sheetNames>
    <sheetDataSet>
      <sheetData sheetId="0" refreshError="1">
        <row r="36">
          <cell r="D36">
            <v>2040000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 하중산정"/>
      <sheetName val="5.설계단면력정리 "/>
    </sheetNames>
    <sheetDataSet>
      <sheetData sheetId="0"/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1 (3)"/>
      <sheetName val="Sheet2 (3)"/>
      <sheetName val="Sheet3 (3)"/>
      <sheetName val="Sheet1 (2)"/>
      <sheetName val="주be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1 (3)"/>
      <sheetName val="Sheet2 (3)"/>
      <sheetName val="Sheet3 (3)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본선-총괄"/>
      <sheetName val="총괄(고창)"/>
      <sheetName val="총괄(순천)"/>
      <sheetName val="상부(고창)집계"/>
      <sheetName val="고창방향"/>
      <sheetName val="고창방향OUT"/>
      <sheetName val="상부(순천)집계"/>
      <sheetName val="순천방향"/>
      <sheetName val="순천방향OUT"/>
      <sheetName val="Sheet3"/>
      <sheetName val="수량집계표"/>
      <sheetName val="역T형(표준단면)"/>
      <sheetName val="역T형(일반수량)"/>
      <sheetName val="역T형(토  공)"/>
      <sheetName val="벤트(고창)집계표"/>
      <sheetName val="가설벤트"/>
      <sheetName val="벤트(순천)집계표"/>
      <sheetName val="가설벤트 (2)"/>
      <sheetName val="가도및 축도(고창)"/>
      <sheetName val="가도 및 축도수량(고창)"/>
      <sheetName val="가도및 축도(순천)"/>
      <sheetName val="가도 및 축도수량(순천)"/>
      <sheetName val="본선교대(고창)집계"/>
      <sheetName val="본선교대(순천)집계"/>
      <sheetName val="본선교대(고창방향)"/>
      <sheetName val="본선교대(순천방향)"/>
      <sheetName val="교각(고창방향)집계표"/>
      <sheetName val="고창(P4)"/>
      <sheetName val="고창(P5)"/>
      <sheetName val="고창(P6)"/>
      <sheetName val="고창(P7)"/>
      <sheetName val="고창(P8) "/>
      <sheetName val="교각(순천방향)집계표"/>
      <sheetName val="순천(P4)"/>
      <sheetName val="순천(P5)"/>
      <sheetName val="순천(P6)"/>
      <sheetName val="순천(P7)"/>
      <sheetName val="순천(P8) "/>
      <sheetName val="Sheet4"/>
      <sheetName val="고창A2집계표"/>
      <sheetName val="A2(고창방향)"/>
      <sheetName val="순천A2집계표"/>
      <sheetName val="A2(순천방향)"/>
      <sheetName val="Sheet6"/>
      <sheetName val="집계표"/>
      <sheetName val="RAG-P4"/>
      <sheetName val="RAG-P5"/>
      <sheetName val="RAG-P6"/>
      <sheetName val="RAG-P7"/>
      <sheetName val="RAG-P8"/>
      <sheetName val="집계표 (2)"/>
      <sheetName val="RAS-P4"/>
      <sheetName val="RAS-P5"/>
      <sheetName val="RAS-P6"/>
      <sheetName val="RAS-P7"/>
      <sheetName val="RAS-P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설계조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-&quot;3&quot;"/>
      <sheetName val="형식-9 (2)"/>
      <sheetName val="형식-11 (2)"/>
      <sheetName val="교각-&quot;2&quot;"/>
      <sheetName val="교각&quot;&quot; (2)"/>
      <sheetName val="형식-9"/>
      <sheetName val="형식-11"/>
      <sheetName val="형식-12"/>
      <sheetName val="교각&quot;&quo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깨기수량"/>
      <sheetName val="가도"/>
      <sheetName val="가도 (2)"/>
      <sheetName val="타공종이기수량"/>
      <sheetName val="토공집계표"/>
      <sheetName val="교대토공집계표"/>
      <sheetName val="교대(A1)"/>
      <sheetName val="교대(A2)"/>
      <sheetName val="물푸기(교대)"/>
      <sheetName val="교각토공집계표"/>
      <sheetName val="교각-1"/>
      <sheetName val="교각-2"/>
      <sheetName val="집계표(0~2)"/>
      <sheetName val="U-TYPE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"/>
      <sheetName val="철근집계"/>
      <sheetName val="하부공수량집계"/>
      <sheetName val="하부공철근집계"/>
      <sheetName val="교대수량집계"/>
      <sheetName val="교대철근집계"/>
      <sheetName val="영덕뱡향-A1"/>
      <sheetName val="영덕방향-A2"/>
      <sheetName val="교각수량집계"/>
      <sheetName val="교각철근집계"/>
      <sheetName val="영덕방향-P1(in)"/>
      <sheetName val="영덕방향-P1(out)"/>
      <sheetName val="영덕방향-P2(in)"/>
      <sheetName val="영덕방향-P2(out)"/>
      <sheetName val="토공수량집계"/>
      <sheetName val="교대토공수량집계"/>
      <sheetName val="교대토공수량집계표"/>
      <sheetName val="영덕방향-A1(토공)"/>
      <sheetName val="영덕방향-A2(토공)"/>
      <sheetName val="교각토공집계"/>
      <sheetName val="영덕방향-P1(토공)"/>
      <sheetName val="영덕방향-P2(토공)"/>
      <sheetName val="영덕방향-수량집계"/>
      <sheetName val="영덕방향-철근집계"/>
      <sheetName val="영덕방향-하부공수량집계"/>
      <sheetName val="영덕방향-하부공철근집계"/>
      <sheetName val="영덕방향-교대수량집계"/>
      <sheetName val="영덕방향-교대철근집계"/>
      <sheetName val="영덕방향-교각수량집계"/>
      <sheetName val="영덕방향-교각철근집계"/>
      <sheetName val="영덕방향-토공수량집계"/>
      <sheetName val="영덕방향-교대토공수량집계"/>
      <sheetName val="영덕방향-교대토공수량집계표"/>
      <sheetName val="영덕방향-교각토공집계"/>
      <sheetName val="단가산출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 주요자재"/>
      <sheetName val="교량공"/>
      <sheetName val="이기수량집계표"/>
      <sheetName val="철근수량집계표"/>
      <sheetName val="철근가공"/>
      <sheetName val="표지 (2)"/>
      <sheetName val="라멘본체"/>
      <sheetName val="표지 (3)"/>
      <sheetName val="호천1교토공수량 집계표"/>
      <sheetName val="라멘토공수량 집계표"/>
      <sheetName val="라멘토공도면"/>
      <sheetName val="토공시점측"/>
      <sheetName val="토공종점측"/>
      <sheetName val="표지 (4)"/>
      <sheetName val="옹벽공"/>
      <sheetName val="옹벽(RW-1)"/>
      <sheetName val="옹벽(RW-2)"/>
      <sheetName val="옹벽(RW-3)"/>
      <sheetName val="표지 (5)"/>
      <sheetName val="옹벽토공수량 집계표"/>
      <sheetName val="호천1교옹벽(RW-1)토공"/>
      <sheetName val="호천1교옹벽(RW-2)토공"/>
      <sheetName val="호천1교옹벽(RW-3)토공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서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input"/>
      <sheetName val="1.2.제원"/>
      <sheetName val="3.하중계산"/>
      <sheetName val="4.1.안정검토"/>
      <sheetName val="4.2.안정검토"/>
      <sheetName val="5.1.단면력"/>
      <sheetName val="5.4.하중조합"/>
      <sheetName val="5.5.스프링"/>
      <sheetName val="7.부재검토"/>
      <sheetName val="6.단면력도"/>
      <sheetName val="8.1.기초검토용 부재력(1)"/>
      <sheetName val="8.2.기초검토용부재력(2)"/>
      <sheetName val="8.3.기초단면력(파일)입"/>
      <sheetName val="8.4.SD30 (2)"/>
      <sheetName val="9.SHOE"/>
      <sheetName val="10.낙교방지"/>
      <sheetName val="횡방향구속"/>
    </sheetNames>
    <sheetDataSet>
      <sheetData sheetId="0" refreshError="1"/>
      <sheetData sheetId="1" refreshError="1">
        <row r="1">
          <cell r="N1">
            <v>240</v>
          </cell>
          <cell r="P1">
            <v>3000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양지교"/>
      <sheetName val="접속슬래브"/>
      <sheetName val="본체"/>
    </sheetNames>
    <sheetDataSet>
      <sheetData sheetId="0"/>
      <sheetData sheetId="1" refreshError="1">
        <row r="23">
          <cell r="D23">
            <v>2.15</v>
          </cell>
          <cell r="J23">
            <v>1</v>
          </cell>
        </row>
        <row r="24">
          <cell r="D24">
            <v>1.7</v>
          </cell>
          <cell r="J2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노임단가"/>
      <sheetName val="자재단가"/>
      <sheetName val="중기"/>
      <sheetName val="운반거리"/>
      <sheetName val="단가산출서"/>
      <sheetName val="상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마실교"/>
      <sheetName val="Sheet17"/>
      <sheetName val="INPUT"/>
      <sheetName val="차선도색현황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간지"/>
      <sheetName val="1.본체"/>
      <sheetName val="IN- PUT DATA(상시)"/>
      <sheetName val="내진설계"/>
      <sheetName val="IN- PUT DATA(내진)"/>
      <sheetName val="7.단면력도"/>
      <sheetName val="7.OUT- PUT DATA"/>
      <sheetName val="8.단면력"/>
      <sheetName val="단면설계"/>
      <sheetName val="8.4배력근"/>
      <sheetName val="9.사용성검토"/>
      <sheetName val="10.우각부"/>
      <sheetName val="11.직접기초"/>
      <sheetName val="직접기초단면설계"/>
      <sheetName val="12.피로검토"/>
      <sheetName val="13.날개벽계산(전산이용)"/>
      <sheetName val="14.접속SLAB"/>
      <sheetName val="접속SLAB단면설계"/>
      <sheetName val="PILE기초"/>
      <sheetName val="FOOTING-P단면설계"/>
      <sheetName val="PILE기초 (4EA)"/>
      <sheetName val="말뚝의지지력 (30NAp)"/>
      <sheetName val="말뚝의지지력"/>
      <sheetName val="날개벽"/>
      <sheetName val="날개벽단면설계"/>
      <sheetName val="날개벽3"/>
      <sheetName val="날개벽3단면설계"/>
      <sheetName val="날개벽4"/>
      <sheetName val="날개벽4단면설계"/>
      <sheetName val="횡방향검토"/>
      <sheetName val="횡방향구속철근"/>
      <sheetName val="13.날개벽검토"/>
      <sheetName val="고창방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대토공"/>
      <sheetName val="#REF"/>
    </sheetNames>
    <sheetDataSet>
      <sheetData sheetId="0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  <sheetName val="guard(mac)"/>
      <sheetName val="COPING"/>
      <sheetName val="3.하중산정4.지지력"/>
      <sheetName val=" 토목 처리장도급내역서 "/>
      <sheetName val="노임단가"/>
      <sheetName val="#REF"/>
      <sheetName val="조작대(1연)"/>
      <sheetName val="CODE"/>
      <sheetName val="교각1"/>
      <sheetName val="DATA"/>
      <sheetName val="BO1"/>
      <sheetName val="TYPE-A"/>
      <sheetName val="붙임8"/>
      <sheetName val="붙임8(내역)(당초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도"/>
      <sheetName val="가도수량"/>
      <sheetName val="간지"/>
      <sheetName val="총괄집계"/>
      <sheetName val="철근총괄집계"/>
      <sheetName val="슬래브 집계"/>
      <sheetName val="슬래브철근"/>
      <sheetName val="슬래브 수량"/>
      <sheetName val="교대 집계"/>
      <sheetName val="교대철근집계"/>
      <sheetName val="교대시점수량"/>
      <sheetName val="교대종점수량"/>
      <sheetName val="교각 집계"/>
      <sheetName val="교각철근"/>
      <sheetName val="교각수량"/>
      <sheetName val="토공수량총괄집계표"/>
      <sheetName val="교대시점토공"/>
      <sheetName val="교대종점토공"/>
      <sheetName val="교각토공"/>
      <sheetName val="부대공"/>
      <sheetName val="토공수량총괄집계표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단면가정"/>
      <sheetName val="전산입력자료"/>
      <sheetName val="하중조합"/>
      <sheetName val="단면력집계"/>
      <sheetName val="FOOTING1"/>
      <sheetName val="FOOTING2"/>
      <sheetName val="FOOTING3"/>
      <sheetName val="말뚝기초설계"/>
      <sheetName val="FOOTING 배근도"/>
      <sheetName val="날개벽"/>
      <sheetName val="처짐"/>
      <sheetName val="소업1교"/>
      <sheetName val="내역"/>
      <sheetName val="INPUT(덕도방향-시점)"/>
      <sheetName val="CODE"/>
      <sheetName val="손익분석"/>
      <sheetName val="교량전기"/>
      <sheetName val="직공비"/>
      <sheetName val="input"/>
      <sheetName val="COPING"/>
      <sheetName val="교각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본선 4-1~11type"/>
      <sheetName val="문전정거장"/>
      <sheetName val="환기구1~5"/>
      <sheetName val="전포정거장"/>
      <sheetName val="양압력 (2)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(중앙열)"/>
      <sheetName val="YC(외측열)"/>
      <sheetName val="날개벽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직구"/>
      <sheetName val="철근집계표"/>
      <sheetName val="보호몰탈 "/>
      <sheetName val="보호몰탈"/>
    </sheetNames>
    <sheetDataSet>
      <sheetData sheetId="0"/>
      <sheetData sheetId="1"/>
      <sheetData sheetId="2"/>
      <sheetData sheetId="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TYPE-A"/>
      <sheetName val="TYPE-B"/>
      <sheetName val="1.설계조건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o"/>
      <sheetName val="Sheet1"/>
      <sheetName val="Sheet2"/>
      <sheetName val="Sheet3"/>
      <sheetName val="#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교각계산"/>
      <sheetName val="코벨전단"/>
      <sheetName val="횡방향구속철근"/>
      <sheetName val="교좌면설계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교각계산"/>
      <sheetName val="코벨전단"/>
      <sheetName val="횡방향구속철근"/>
      <sheetName val="FOOTING단면력"/>
      <sheetName val="교좌면설계"/>
      <sheetName val="Sheet10"/>
      <sheetName val="Sheet11"/>
      <sheetName val="Sheet12"/>
      <sheetName val="Sheet13"/>
      <sheetName val="Sheet14"/>
      <sheetName val="Sheet15"/>
      <sheetName val="Sheet16"/>
      <sheetName val="VXXXXX"/>
      <sheetName val="COP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교각계산"/>
      <sheetName val="코벨전단"/>
      <sheetName val="횡방향구속철근"/>
      <sheetName val="교좌면설계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TEEL BOX 단면설계(SEC.8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결과요약"/>
      <sheetName val="목차"/>
      <sheetName val="설계기준"/>
      <sheetName val="바닥판(1)"/>
      <sheetName val="사용성검토"/>
      <sheetName val="주형"/>
      <sheetName val="하중표"/>
      <sheetName val="유효폭"/>
      <sheetName val="단면특성치"/>
      <sheetName val="INPUT"/>
      <sheetName val="부재력G12"/>
      <sheetName val="OUT-G12"/>
      <sheetName val="부재력G6"/>
      <sheetName val="OUT-G6"/>
      <sheetName val="반력집계"/>
      <sheetName val="반력"/>
      <sheetName val="바닥판(2)"/>
      <sheetName val="날개벽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계산"/>
      <sheetName val="CAPBEAM 단면검토"/>
      <sheetName val="균열검토"/>
      <sheetName val="횡방향구속철근"/>
      <sheetName val="횡방향구속철근 (2)"/>
      <sheetName val="교좌면설계"/>
      <sheetName val="말뚝의지지력"/>
      <sheetName val="말뚝의지지력 (JCT)"/>
      <sheetName val="말뚝의지지력 (30NAp)"/>
      <sheetName val="주면마찰력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EL BOX  단면설계(SEC. 2)"/>
      <sheetName val="STEEL BOX  단면설계(SEC. 3)"/>
      <sheetName val="STEEL BOX  단면설계(SEC. 5)"/>
      <sheetName val="STEEL BOX  단면설계(SEC. 6)"/>
      <sheetName val="STEEL BOX  단면설계(SEC. 7)"/>
      <sheetName val="STEEL BOX 단면설계(SEC.8)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tggwan(ma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각계산"/>
      <sheetName val="CAPBEAM 단면검토"/>
      <sheetName val="균열검토"/>
      <sheetName val="횡방향구속철근"/>
      <sheetName val="교좌면설계"/>
      <sheetName val="말뚝의지지력"/>
      <sheetName val="말뚝의지지력 (JCT)"/>
      <sheetName val="말뚝의지지력 (30NAp)"/>
      <sheetName val="주면마찰력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본선 4-1~11type"/>
      <sheetName val="문전정거장"/>
      <sheetName val="환기구1~5"/>
      <sheetName val="전포정거장"/>
      <sheetName val="양압력 (2)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HMEN"/>
      <sheetName val="#REF"/>
    </sheetNames>
    <sheetDataSet>
      <sheetData sheetId="0" refreshError="1"/>
      <sheetData sheetId="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집계"/>
      <sheetName val="JS1"/>
      <sheetName val="S1"/>
      <sheetName val="JS2"/>
      <sheetName val="S2"/>
      <sheetName val="JS3"/>
      <sheetName val="S3"/>
      <sheetName val="JS4"/>
      <sheetName val="S4"/>
      <sheetName val="JS5"/>
      <sheetName val="S5"/>
      <sheetName val="JS7"/>
      <sheetName val="S7"/>
      <sheetName val="JS8"/>
      <sheetName val="S8"/>
      <sheetName val="JS9"/>
      <sheetName val="S9"/>
      <sheetName val="JS10"/>
      <sheetName val="S10"/>
      <sheetName val="JS11"/>
      <sheetName val="S11"/>
      <sheetName val="JS12"/>
      <sheetName val="S12"/>
      <sheetName val="JS13"/>
      <sheetName val="S13"/>
      <sheetName val="JS14"/>
      <sheetName val="S14"/>
      <sheetName val="JS15"/>
      <sheetName val="S15"/>
      <sheetName val="JS16"/>
      <sheetName val="S16"/>
      <sheetName val="JS17"/>
      <sheetName val="S17"/>
      <sheetName val="JS18"/>
      <sheetName val="S18"/>
      <sheetName val="JS19"/>
      <sheetName val="S19"/>
      <sheetName val="JS20"/>
      <sheetName val="S20"/>
      <sheetName val="승강집계"/>
      <sheetName val="승강S5"/>
      <sheetName val="승강S7"/>
      <sheetName val="승강S8"/>
      <sheetName val="#REF"/>
      <sheetName val="수안보-MBR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부공"/>
      <sheetName val="수안보방향"/>
      <sheetName val="수안보-MBR1"/>
      <sheetName val="수안보-MBR2"/>
      <sheetName val="상주방향"/>
      <sheetName val="상주-MBR1"/>
      <sheetName val="상주-MBR2"/>
      <sheetName val="교각계산"/>
      <sheetName val="기초공"/>
      <sheetName val="기둥(원형)"/>
      <sheetName val="COPING"/>
      <sheetName val="3BL공동구 수량"/>
      <sheetName val="토공(우물통,기타) "/>
      <sheetName val="Sheet17"/>
      <sheetName val="5.모델링"/>
    </sheetNames>
    <sheetDataSet>
      <sheetData sheetId="0"/>
      <sheetData sheetId="1"/>
      <sheetData sheetId="2" refreshError="1">
        <row r="247">
          <cell r="AN247">
            <v>3.6099000000000001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가받침집계표"/>
      <sheetName val="2.강재재료표"/>
      <sheetName val="3.수량"/>
      <sheetName val="4.차탄천상부집께표"/>
      <sheetName val="상부재료표"/>
      <sheetName val="도장면적"/>
      <sheetName val="삼곡가교"/>
      <sheetName val="#REF"/>
      <sheetName val="배수공"/>
      <sheetName val="소업1교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가정단면"/>
      <sheetName val="하중 및 작용위치"/>
      <sheetName val="안정검토"/>
      <sheetName val="코핑설계"/>
      <sheetName val="기둥설계(주철근)"/>
      <sheetName val="기둥설계(띠철근)"/>
      <sheetName val="기초설계"/>
      <sheetName val="코핑 및 기둥의 모델링"/>
      <sheetName val="교축직각방향 기초의 모델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가정단면"/>
      <sheetName val="하중 및 작용위치"/>
      <sheetName val="안정검토용 단면력"/>
      <sheetName val="코핑설계"/>
      <sheetName val="기둥설계(주철근)"/>
      <sheetName val="기둥설계(띠철근)"/>
      <sheetName val="기초설계"/>
      <sheetName val="코핑 및 기둥의 모델링"/>
      <sheetName val="교축직각방향 기초의 모델링"/>
      <sheetName val="말뚝설계"/>
      <sheetName val="말뚝반력모델링자료"/>
      <sheetName val="간포천교각1210"/>
      <sheetName val="주철근조립도"/>
      <sheetName val="하중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화정차장"/>
      <sheetName val="집계표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설계조건"/>
      <sheetName val="2.단면"/>
      <sheetName val="3.모델"/>
      <sheetName val="4.하중"/>
      <sheetName val="5. 하중재하"/>
      <sheetName val="6. 하중조합"/>
      <sheetName val="7.전산해석결과"/>
      <sheetName val="간지"/>
      <sheetName val="우각부검토"/>
      <sheetName val="배력철근량검토"/>
      <sheetName val="주철근조립도"/>
      <sheetName val="tggwan(ma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설계조건"/>
      <sheetName val="2.단면"/>
      <sheetName val="3.모델"/>
      <sheetName val="4.하중"/>
      <sheetName val="5. 하중재하"/>
      <sheetName val="6. 하중조합"/>
      <sheetName val="7.전산해석결과"/>
      <sheetName val="7.2 철근량검토"/>
      <sheetName val="8. 안정검토"/>
      <sheetName val="기둥(원형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낙석방지집계표"/>
      <sheetName val="낙석방지책연장"/>
      <sheetName val="가드레일연장"/>
      <sheetName val="guard(mac)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chekjum</v>
          </cell>
          <cell r="C1" t="str">
            <v>chekplus</v>
          </cell>
          <cell r="E1" t="str">
            <v>chekwave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횡배수관토공단위(180)"/>
      <sheetName val="횡배수관토공단위(90)"/>
      <sheetName val="tggwan(mac)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tggwan</v>
          </cell>
        </row>
      </sheetData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상부공통집계(총괄)"/>
      <sheetName val="설계"/>
      <sheetName val="wall"/>
      <sheetName val="Front"/>
      <sheetName val="주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안보-MBR1"/>
      <sheetName val="woo(mac)"/>
    </sheet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고창방향"/>
      <sheetName val="콘_재료분리(1)"/>
      <sheetName val="woo(mac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#REF"/>
      <sheetName val="교각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측구집계"/>
      <sheetName val="안정검토"/>
    </sheetNames>
    <sheetDataSet>
      <sheetData sheetId="0" refreshError="1">
        <row r="1">
          <cell r="A1" t="str">
            <v>bs_chekjum</v>
          </cell>
          <cell r="C1" t="str">
            <v>bs_chekplus</v>
          </cell>
          <cell r="E1" t="str">
            <v>bs_chekwave</v>
          </cell>
        </row>
      </sheetData>
      <sheetData sheetId="1" refreshError="1"/>
      <sheetData sheetId="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낙석방지집계표"/>
      <sheetName val="낙석방지책연장"/>
      <sheetName val="가드레일연장"/>
    </sheetNames>
    <sheetDataSet>
      <sheetData sheetId="0" refreshError="1">
        <row r="1">
          <cell r="A1" t="str">
            <v>chekjum</v>
          </cell>
          <cell r="C1" t="str">
            <v>chekplus</v>
          </cell>
          <cell r="E1" t="str">
            <v>chekwave</v>
          </cell>
        </row>
      </sheetData>
      <sheetData sheetId="1"/>
      <sheetData sheetId="2"/>
      <sheetData sheetId="3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gwan(mac)"/>
      <sheetName val="횡배수관토공단위(180)"/>
      <sheetName val="횡배수관토공단위(90)"/>
      <sheetName val="ABUT수량-A1"/>
      <sheetName val="옹벽"/>
      <sheetName val="내역"/>
    </sheetNames>
    <sheetDataSet>
      <sheetData sheetId="0" refreshError="1">
        <row r="1">
          <cell r="A1" t="str">
            <v>tggwan</v>
          </cell>
        </row>
        <row r="2">
          <cell r="A2" t="b">
            <v>1</v>
          </cell>
        </row>
        <row r="3">
          <cell r="A3" t="b">
            <v>1</v>
          </cell>
        </row>
        <row r="4">
          <cell r="A4" t="b">
            <v>0</v>
          </cell>
        </row>
        <row r="5">
          <cell r="A5" t="b">
            <v>1</v>
          </cell>
        </row>
        <row r="6">
          <cell r="A6" t="b">
            <v>1</v>
          </cell>
        </row>
        <row r="7">
          <cell r="A7" t="b">
            <v>1</v>
          </cell>
        </row>
        <row r="8">
          <cell r="A8" t="b">
            <v>0</v>
          </cell>
        </row>
        <row r="9">
          <cell r="A9" t="b">
            <v>1</v>
          </cell>
        </row>
        <row r="10">
          <cell r="A10" t="b">
            <v>0</v>
          </cell>
        </row>
        <row r="11">
          <cell r="A11" t="b">
            <v>1</v>
          </cell>
        </row>
        <row r="12">
          <cell r="A12" t="b">
            <v>1</v>
          </cell>
        </row>
        <row r="13">
          <cell r="A13" t="b">
            <v>1</v>
          </cell>
        </row>
        <row r="14">
          <cell r="A14" t="b">
            <v>1</v>
          </cell>
        </row>
        <row r="15">
          <cell r="A15" t="b">
            <v>1</v>
          </cell>
        </row>
        <row r="16">
          <cell r="A16" t="b">
            <v>1</v>
          </cell>
        </row>
        <row r="17">
          <cell r="A17" t="b">
            <v>1</v>
          </cell>
        </row>
        <row r="18">
          <cell r="A18" t="b">
            <v>1</v>
          </cell>
        </row>
        <row r="19">
          <cell r="A19" t="b">
            <v>1</v>
          </cell>
        </row>
        <row r="20">
          <cell r="A20" t="b">
            <v>1</v>
          </cell>
        </row>
        <row r="21">
          <cell r="A21" t="b">
            <v>1</v>
          </cell>
        </row>
        <row r="22">
          <cell r="A22" t="b">
            <v>1</v>
          </cell>
        </row>
        <row r="23">
          <cell r="A23" t="b">
            <v>1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0</v>
          </cell>
        </row>
        <row r="27">
          <cell r="A27" t="b">
            <v>1</v>
          </cell>
        </row>
        <row r="28">
          <cell r="A28" t="b">
            <v>1</v>
          </cell>
        </row>
        <row r="29">
          <cell r="A29" t="b">
            <v>1</v>
          </cell>
        </row>
        <row r="30">
          <cell r="A30" t="b">
            <v>1</v>
          </cell>
        </row>
        <row r="31">
          <cell r="A31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낙석방지집계표"/>
      <sheetName val="낙석방지책연장"/>
      <sheetName val="가드레일연장"/>
    </sheetNames>
    <sheetDataSet>
      <sheetData sheetId="0" refreshError="1">
        <row r="1">
          <cell r="A1" t="str">
            <v>chekjum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석축집계 (2)"/>
      <sheetName val="석축집계"/>
      <sheetName val="석축단위"/>
      <sheetName val="연장산출(좌,우)"/>
      <sheetName val="석축재료일괄"/>
      <sheetName val="suk(mac)"/>
      <sheetName val="우각부검토"/>
      <sheetName val="7.전산해석결과"/>
      <sheetName val="4.하중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suk</v>
          </cell>
          <cell r="E1" t="str">
            <v>sukform</v>
          </cell>
          <cell r="G1" t="str">
            <v>sukpvc</v>
          </cell>
          <cell r="I1" t="str">
            <v>sukmort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"/>
      <sheetName val="수량집계표"/>
      <sheetName val="STEEL 상부 "/>
      <sheetName val="교대(시점부)"/>
      <sheetName val="교대(종점부)"/>
      <sheetName val="교각1"/>
      <sheetName val="교각2"/>
      <sheetName val="교각3"/>
      <sheetName val="철근수량"/>
      <sheetName val="시멘트모래산출"/>
      <sheetName val="Sheet5"/>
      <sheetName val="Sheet6"/>
      <sheetName val="Sheet7"/>
      <sheetName val="CO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ITEM"/>
      <sheetName val="종배수관"/>
      <sheetName val="과천MAIN"/>
      <sheetName val="설계조건"/>
      <sheetName val="날개벽(TYPE3)"/>
      <sheetName val="ABUT수량-A1"/>
      <sheetName val="현황"/>
      <sheetName val="수안보-MBR1"/>
      <sheetName val="일반공사"/>
      <sheetName val="시점교대"/>
      <sheetName val="6PILE  (돌출)"/>
      <sheetName val="기둥(원형)"/>
      <sheetName val="기초공"/>
      <sheetName val="단면 (2)"/>
      <sheetName val="차액보증"/>
      <sheetName val="JUCK"/>
      <sheetName val="노임"/>
      <sheetName val="대로근거"/>
      <sheetName val="INPUT"/>
      <sheetName val="용산1(해보)"/>
      <sheetName val="부대내역"/>
      <sheetName val="2.단면가정"/>
      <sheetName val="4.말뚝설계"/>
      <sheetName val="1.설계조건"/>
      <sheetName val="당초"/>
      <sheetName val="정부노임단가"/>
      <sheetName val="공사비예산서(토목분)"/>
      <sheetName val="터파기및재료"/>
      <sheetName val="Sheet1 _2_"/>
      <sheetName val="토목검측서"/>
      <sheetName val="조명시설"/>
      <sheetName val="U-TYPE(1)"/>
      <sheetName val="사용성검토"/>
      <sheetName val="사급자재"/>
      <sheetName val="XL4Poppy"/>
      <sheetName val="경영상태"/>
      <sheetName val="국공유지및사유지"/>
      <sheetName val="[_x0001__x000c__x000c__x0000__x0007__x0000__x0000__x0000_Ƞ࿙_x0000__x0000__x0001__x0000__x0003__x0002__x0014__x0003_"/>
      <sheetName val="내역서"/>
      <sheetName val="우각부보강"/>
      <sheetName val="000000"/>
      <sheetName val="1호맨홀토공"/>
      <sheetName val="기둥"/>
      <sheetName val="예정(3)"/>
      <sheetName val="동원(3)"/>
      <sheetName val="백호우계수"/>
      <sheetName val="J형측구단위수량"/>
      <sheetName val="교각계산"/>
      <sheetName val="원형1호맨홀토공수량"/>
      <sheetName val="수량산출"/>
      <sheetName val="지급자재"/>
      <sheetName val="바닥판"/>
      <sheetName val="Sheet17"/>
      <sheetName val="DATE"/>
      <sheetName val="노임단가"/>
      <sheetName val="#REF"/>
      <sheetName val="역T형"/>
      <sheetName val="교대(A1-A2)"/>
      <sheetName val="SLAB&quot;1&quot;"/>
      <sheetName val="재료"/>
      <sheetName val="DOHWA03"/>
      <sheetName val="IC1집계"/>
      <sheetName val="IC1목포시방향"/>
      <sheetName val="IC1목포시방향OUT"/>
      <sheetName val="IC1압해도방향"/>
      <sheetName val="IC1압해도방향OUT"/>
      <sheetName val="Baby일위대가"/>
      <sheetName val="물가시세"/>
      <sheetName val="직노"/>
      <sheetName val="배지거총재료집계표"/>
      <sheetName val="IW-LIST"/>
      <sheetName val="단위중량"/>
      <sheetName val="L형옹벽단위수량(35)"/>
      <sheetName val="금액내역서"/>
      <sheetName val="단면치수"/>
      <sheetName val="수질정화시설"/>
      <sheetName val="연결관암거"/>
      <sheetName val="예가표"/>
      <sheetName val="실행철강하도"/>
      <sheetName val="중기일위대가"/>
      <sheetName val="ilch"/>
      <sheetName val="견적대비표"/>
      <sheetName val="부하(성남)"/>
      <sheetName val="총괄내역서"/>
      <sheetName val="경비_원본"/>
      <sheetName val="관급자재"/>
      <sheetName val="5Strand-장기처짐PCI"/>
      <sheetName val="간지"/>
      <sheetName val="당촌교교총괄수량"/>
      <sheetName val="타공종이기"/>
      <sheetName val="토공총집계"/>
      <sheetName val="총집계"/>
      <sheetName val="본체총집계 "/>
      <sheetName val="콘크리트수량총집계표 "/>
      <sheetName val="총철근집계표"/>
      <sheetName val="본체총철근집계표 "/>
      <sheetName val="평택토공집계"/>
      <sheetName val="당촌교(평택토공)"/>
      <sheetName val="본체평택집계"/>
      <sheetName val="부대공평택집계 "/>
      <sheetName val="본체철근집계표(평택방향)"/>
      <sheetName val="부대공철근집계표(평택방향) "/>
      <sheetName val="평택삽도"/>
      <sheetName val="평택산근"/>
      <sheetName val="당촌교(U-TYPE)"/>
      <sheetName val="당촌교(평택방향 시점측)"/>
      <sheetName val="당촌교(평택방향 종점측)"/>
      <sheetName val="음성토공집계"/>
      <sheetName val="당촌교(음성토공)"/>
      <sheetName val="음성집계"/>
      <sheetName val="철근집계표(음성방향) "/>
      <sheetName val="음성삽도"/>
      <sheetName val="음성산근"/>
      <sheetName val="당촌교(음성방향 시점측)"/>
      <sheetName val="당촌교(음성방향 종점측)"/>
      <sheetName val="당촌교(6.0M)평택시점"/>
      <sheetName val="당촌교(5.281M)평택종점"/>
      <sheetName val="당촌교(6.0M)음성종점"/>
      <sheetName val="당촌교(5.57M)음성시점"/>
      <sheetName val="가시설 집계표"/>
      <sheetName val="가시설"/>
      <sheetName val="일반수량총괄집계"/>
      <sheetName val="맨홀수량산출"/>
      <sheetName val="마산방향"/>
      <sheetName val="진주방향"/>
      <sheetName val="견적"/>
      <sheetName val="정부노임"/>
      <sheetName val="자재목록"/>
      <sheetName val="단가"/>
      <sheetName val="입력"/>
      <sheetName val="몰탈단가"/>
      <sheetName val="CRUDE RE-bar"/>
      <sheetName val="토공(우물통,기타) "/>
      <sheetName val="09년실적"/>
      <sheetName val="일위대가"/>
      <sheetName val="일위"/>
      <sheetName val="제품단가명세표"/>
      <sheetName val="BID"/>
      <sheetName val="코드표"/>
      <sheetName val="평균터파기고(1-2,ASP)"/>
      <sheetName val="교각수량"/>
      <sheetName val="교각철근"/>
      <sheetName val="토공1(김천)"/>
      <sheetName val="토공1(남면)"/>
      <sheetName val="토공2(김천)"/>
      <sheetName val="토공2(남면)"/>
      <sheetName val="토공3(김천)"/>
      <sheetName val="토공3(남면)"/>
      <sheetName val="토공4(김천)"/>
      <sheetName val="토공4(남면)"/>
      <sheetName val="교각1(김천)"/>
      <sheetName val="교각1(남면)"/>
      <sheetName val="교각2(김천)"/>
      <sheetName val="교각2(남면)"/>
      <sheetName val="교각3(김천)"/>
      <sheetName val="교각3(남면)"/>
      <sheetName val="교각4(김천)"/>
      <sheetName val="교각4(남면)"/>
      <sheetName val="가도공수량"/>
      <sheetName val="가도공"/>
      <sheetName val="화해(함평)"/>
      <sheetName val="화해(장성)"/>
      <sheetName val="SLAB"/>
      <sheetName val="교대(A1)"/>
      <sheetName val="설산1.나"/>
      <sheetName val="본사S"/>
      <sheetName val="1-1"/>
      <sheetName val="TYPE-A"/>
      <sheetName val="아스팔트 포장총괄집계표"/>
      <sheetName val="실행대비"/>
      <sheetName val="배수공수량총집계"/>
      <sheetName val="배"/>
      <sheetName val="3BL공동구 수량"/>
      <sheetName val="01"/>
      <sheetName val="안산기계장치"/>
      <sheetName val="자재집계표"/>
      <sheetName val="유기공정"/>
      <sheetName val="설계"/>
      <sheetName val="일위대가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 refreshError="1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Sheet1 (2)"/>
      <sheetName val="ABUT수량-A1"/>
      <sheetName val="예정(3)"/>
      <sheetName val="동원(3)"/>
      <sheetName val="코드표"/>
      <sheetName val="과천MAIN"/>
      <sheetName val="기둥(원형)"/>
      <sheetName val="7.1유효폭"/>
      <sheetName val="내역서"/>
      <sheetName val="input"/>
      <sheetName val="터널조도"/>
      <sheetName val="#REF"/>
      <sheetName val="원형1호맨홀토공수량"/>
      <sheetName val="방음벽기초(H=4m)"/>
      <sheetName val="사급자재"/>
      <sheetName val="단면 (2)"/>
      <sheetName val="Sheet2"/>
      <sheetName val="설비"/>
      <sheetName val="수안보-MBR1"/>
      <sheetName val="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역T형옹벽집계표"/>
      <sheetName val="석축집계"/>
      <sheetName val="석축집계 (할증)"/>
      <sheetName val="반중력식(재료집계)"/>
      <sheetName val="구조물공총괄집계표"/>
      <sheetName val="구조물공총괄집계표 (2)"/>
      <sheetName val="구조물공총괄집계표 (3)"/>
      <sheetName val="구조물공총괄집계표 (4)"/>
      <sheetName val="yukt(mac)"/>
      <sheetName val="suk(mac)"/>
      <sheetName val="CONC(MAC)"/>
      <sheetName val="FORM(MAC)"/>
      <sheetName val="STONE(MAC)"/>
      <sheetName val="PVC(MAC)"/>
      <sheetName val="BIK(MAC)"/>
      <sheetName val="WIRE(MAC)"/>
      <sheetName val="SINCH(MAC)"/>
      <sheetName val="반중력식(재료집계) (2)"/>
      <sheetName val="4.5 휨응력"/>
      <sheetName val="설계조건"/>
      <sheetName val="3.하중계산"/>
      <sheetName val="설계흐름도"/>
      <sheetName val="터파기및재료"/>
      <sheetName val="시점부교대"/>
      <sheetName val="HVAC"/>
      <sheetName val="TDI ISBL"/>
      <sheetName val="신규일위대가"/>
      <sheetName val="tggwan(mac)"/>
      <sheetName val="1.설계조건"/>
      <sheetName val="3BL공동구 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C1" t="str">
            <v>sukcon</v>
          </cell>
          <cell r="K1" t="str">
            <v>sukjab</v>
          </cell>
          <cell r="M1" t="str">
            <v>sukgoim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ard(mac)"/>
      <sheetName val="낙석방지집계표"/>
      <sheetName val="낙석방지책연장"/>
      <sheetName val="가드레일연장"/>
    </sheetNames>
    <sheetDataSet>
      <sheetData sheetId="0" refreshError="1">
        <row r="1">
          <cell r="C1" t="str">
            <v>chekplus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수량산출"/>
      <sheetName val="수량집계"/>
      <sheetName val="노임단가"/>
      <sheetName val="자재단가"/>
      <sheetName val="중기"/>
      <sheetName val="운반거리"/>
      <sheetName val="단가산출서"/>
      <sheetName val="2.단면가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총괄집계표"/>
      <sheetName val="수량집계"/>
      <sheetName val="부대공"/>
      <sheetName val="토공집계"/>
      <sheetName val="소업1교"/>
      <sheetName val="창규ex"/>
      <sheetName val="창규ex (2)"/>
      <sheetName val="교각-집계"/>
      <sheetName val="교각수량"/>
      <sheetName val="시점(우)-날개벽"/>
      <sheetName val="시점(좌)-날개벽"/>
      <sheetName val="종점(우)-날개벽"/>
      <sheetName val="종점(좌)-날개벽"/>
      <sheetName val="접속 슬래브"/>
      <sheetName val="토공"/>
      <sheetName val="설계조건"/>
      <sheetName val="본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INPUT DATA (2)"/>
      <sheetName val="단면 (2)"/>
      <sheetName val="BOX본체수량 (2)"/>
      <sheetName val="BOX토공 (2)"/>
      <sheetName val="Sheet13"/>
      <sheetName val="Sheet14"/>
      <sheetName val="Sheet15"/>
      <sheetName val="Sheet16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기초공"/>
      <sheetName val="기둥(원형)"/>
      <sheetName val="간선계산"/>
      <sheetName val="양수장(기계)"/>
      <sheetName val="도장수량(하1)"/>
      <sheetName val="주형"/>
      <sheetName val="ABUT수량-A1"/>
      <sheetName val="D-3109"/>
      <sheetName val="산출근거"/>
      <sheetName val="유림골조"/>
      <sheetName val="교각계산"/>
      <sheetName val="2.단면가정 "/>
      <sheetName val="A-4"/>
      <sheetName val="INPUT"/>
      <sheetName val="수로교총재료집계"/>
      <sheetName val="투찰"/>
      <sheetName val="공문"/>
      <sheetName val="북방3터널"/>
      <sheetName val="관로"/>
      <sheetName val="BOX-E"/>
      <sheetName val="BQ List"/>
      <sheetName val="PipWT"/>
      <sheetName val="경비"/>
      <sheetName val="요율"/>
      <sheetName val="자재대"/>
      <sheetName val="공사내역"/>
      <sheetName val="000000"/>
      <sheetName val="ETC"/>
      <sheetName val="다곡2교"/>
      <sheetName val="교각1"/>
      <sheetName val="수로BOX(시점부)"/>
      <sheetName val="공사비예산서(토목분)"/>
      <sheetName val="COPING"/>
      <sheetName val="관로토공집계표"/>
      <sheetName val="데이타"/>
      <sheetName val="DATA"/>
      <sheetName val="data_dci"/>
      <sheetName val="data_mci"/>
      <sheetName val="behind"/>
      <sheetName val="Main"/>
      <sheetName val="포장복구집계"/>
      <sheetName val="진주방향"/>
      <sheetName val="JUCKEYK"/>
      <sheetName val="도장수량"/>
      <sheetName val="노임이"/>
      <sheetName val="Sheet1"/>
      <sheetName val="좌측"/>
      <sheetName val="도색집계"/>
      <sheetName val="Sheet3"/>
      <sheetName val="자재단가비교표"/>
      <sheetName val="실행철강하도"/>
      <sheetName val="#REF"/>
      <sheetName val="날1"/>
      <sheetName val="원내역"/>
      <sheetName val="총괄"/>
      <sheetName val="내역"/>
      <sheetName val="자재단가"/>
      <sheetName val="SLIDES"/>
      <sheetName val="BID"/>
      <sheetName val="집수정"/>
      <sheetName val="전차선로 물량표"/>
      <sheetName val="가정단면"/>
      <sheetName val=" 상부공통집계(총괄)"/>
      <sheetName val="INPUT_DATA_(2)"/>
      <sheetName val="단면_(2)"/>
      <sheetName val="BOX본체수량_(2)"/>
      <sheetName val="BOX토공_(2)"/>
      <sheetName val="1.설계조건"/>
      <sheetName val="인건비"/>
      <sheetName val="품셈"/>
      <sheetName val="입찰안"/>
      <sheetName val="단가 및 재료비"/>
      <sheetName val="CABLE SIZE-3"/>
      <sheetName val="배수내역 (2)"/>
      <sheetName val="설계조건"/>
      <sheetName val="기성2"/>
      <sheetName val="장문교(대전)"/>
      <sheetName val="AC포장수량"/>
      <sheetName val="내역서"/>
      <sheetName val="ASP포장"/>
      <sheetName val="점수계산1-2"/>
      <sheetName val="5CHBDC"/>
      <sheetName val="96보완계획7.12"/>
      <sheetName val="중기비"/>
      <sheetName val="전신환매도율"/>
      <sheetName val="준검 내역서"/>
      <sheetName val="상수도토공집계표"/>
      <sheetName val="3.공통공사대비"/>
      <sheetName val="Sheet1 (2)"/>
      <sheetName val="일위대가"/>
      <sheetName val="전계가"/>
      <sheetName val="반중력식옹벽"/>
      <sheetName val="기둥"/>
      <sheetName val="저판(버림100)"/>
      <sheetName val="공통가설"/>
      <sheetName val="부서현황"/>
      <sheetName val="소업1교"/>
      <sheetName val="2000.11월설계내역"/>
      <sheetName val="제-노임"/>
      <sheetName val="제직재"/>
      <sheetName val="양수장내역"/>
      <sheetName val="산출서양식01"/>
      <sheetName val="별표집계"/>
      <sheetName val="단가조사"/>
      <sheetName val="1호맨홀토공"/>
      <sheetName val="집계"/>
      <sheetName val="기본일위"/>
      <sheetName val="패널"/>
      <sheetName val="직노"/>
      <sheetName val="내역서2안"/>
      <sheetName val="실행내역"/>
      <sheetName val="6PILE  (돌출)"/>
      <sheetName val="EQUIP-H"/>
      <sheetName val="SLAB&quot;1&quot;"/>
      <sheetName val="변경집계표"/>
      <sheetName val="일위대가목차"/>
      <sheetName val="대비"/>
      <sheetName val="AS복구"/>
      <sheetName val="중기터파기"/>
      <sheetName val="변수값"/>
      <sheetName val="중기상차"/>
      <sheetName val="ACUNIT"/>
      <sheetName val="포장공"/>
      <sheetName val="B부대공"/>
      <sheetName val="표지"/>
      <sheetName val="노임단가"/>
      <sheetName val="수목단가"/>
      <sheetName val="시설수량표"/>
      <sheetName val="시설일위"/>
      <sheetName val="식재수량표"/>
      <sheetName val="식재일위"/>
      <sheetName val="일위목록"/>
      <sheetName val="현장관리비내역서"/>
      <sheetName val="옹벽1"/>
      <sheetName val="건식PD설치현황표"/>
      <sheetName val="단가목록"/>
      <sheetName val="총괄집계 "/>
      <sheetName val="기흥하도용"/>
      <sheetName val="금액내역서"/>
      <sheetName val="말뚝설계"/>
      <sheetName val="물질수지(2011)"/>
      <sheetName val="화산경계"/>
      <sheetName val="AAA"/>
      <sheetName val="전기일위대가"/>
      <sheetName val="장비가동"/>
      <sheetName val="CODE"/>
      <sheetName val="타공종이기"/>
      <sheetName val="예가표"/>
      <sheetName val="국공유지및사유지"/>
      <sheetName val="R.C RAHMEN 해석"/>
      <sheetName val="본체 설 계"/>
      <sheetName val="Sheet4"/>
      <sheetName val="갑지(추정)"/>
      <sheetName val="Y-WORK"/>
      <sheetName val="전체도급"/>
      <sheetName val="6.교좌면보강"/>
      <sheetName val="토사(PE)"/>
      <sheetName val="구조물포장"/>
      <sheetName val="공사비증감"/>
      <sheetName val="최적단면"/>
      <sheetName val="오수관"/>
      <sheetName val="오수관토공"/>
      <sheetName val="2.단면가정"/>
      <sheetName val="내역서(총)"/>
      <sheetName val="I.설계조건"/>
      <sheetName val="2F 회의실견적(5_14 일대)"/>
      <sheetName val="ITEM"/>
      <sheetName val="CONCRETE"/>
      <sheetName val="하수급견적대비"/>
      <sheetName val="2_단면가정_"/>
      <sheetName val="1_설계조건"/>
      <sheetName val="CABLE_SIZE-3"/>
      <sheetName val="BQ_List"/>
      <sheetName val="배수내역_(2)"/>
      <sheetName val="단가_및_재료비"/>
      <sheetName val="SLAB근거-1"/>
      <sheetName val="공사비집계"/>
      <sheetName val="단면가정"/>
      <sheetName val="설계개요"/>
      <sheetName val="옹벽"/>
      <sheetName val="1.설계기준"/>
      <sheetName val="주beam"/>
      <sheetName val="1-1"/>
      <sheetName val="카메라"/>
      <sheetName val="4)유동표"/>
      <sheetName val="부대내역"/>
      <sheetName val="guard(mac)"/>
      <sheetName val="98지급계획"/>
      <sheetName val="토공계산서(부체도로)"/>
      <sheetName val="BOX단위철근"/>
      <sheetName val="원가계산서"/>
      <sheetName val="Sheet2"/>
      <sheetName val="보현동3교종점측"/>
      <sheetName val="말뚝기초(안정검토)-외측"/>
      <sheetName val="단위수량"/>
      <sheetName val="기초INPUT"/>
      <sheetName val="일위대가(계측기설치)"/>
      <sheetName val="CTEMCOST"/>
      <sheetName val="원가"/>
      <sheetName val="2BOX본체"/>
      <sheetName val="내역서적용수량"/>
      <sheetName val="공사비내역"/>
      <sheetName val="구리토평1전기"/>
      <sheetName val="DATE"/>
      <sheetName val="7단가"/>
      <sheetName val="ⴭⴭⴭⴭⴭ"/>
      <sheetName val="노임"/>
      <sheetName val="중기"/>
      <sheetName val="제수변수량"/>
      <sheetName val="공기변수량"/>
      <sheetName val="일위대가표"/>
      <sheetName val="U-TYPE(1)"/>
      <sheetName val="주방환기"/>
      <sheetName val="106C0300"/>
      <sheetName val="적용단위길이"/>
      <sheetName val="토공"/>
      <sheetName val="수량산출"/>
      <sheetName val="총괄내역서"/>
      <sheetName val="도장"/>
      <sheetName val="INPUT-DATA"/>
      <sheetName val="협의단가"/>
      <sheetName val="철근량"/>
      <sheetName val="40총괄"/>
      <sheetName val="40집계"/>
      <sheetName val="주빔의 설계"/>
      <sheetName val="입력DATA"/>
      <sheetName val="바닥판"/>
      <sheetName val="옹벽철근"/>
      <sheetName val="sw1"/>
      <sheetName val="NOMUBI"/>
      <sheetName val="안정검토"/>
      <sheetName val="노원열병합  건축공사기성내역서"/>
      <sheetName val="표준계약서"/>
      <sheetName val="도급"/>
      <sheetName val="인사자료총집계"/>
      <sheetName val="CON포장수량"/>
      <sheetName val="맨홀토공(3)"/>
      <sheetName val="산출근거1"/>
      <sheetName val="자재 집계표"/>
      <sheetName val="기본DATA"/>
      <sheetName val="재집"/>
      <sheetName val="직재"/>
      <sheetName val="지급자재"/>
      <sheetName val="더돋기량"/>
      <sheetName val="고창방향"/>
      <sheetName val="이기(집계)"/>
      <sheetName val="2000전체분"/>
      <sheetName val="2000년1차"/>
      <sheetName val="건축내역"/>
      <sheetName val="우수공"/>
      <sheetName val="설계예산2"/>
      <sheetName val="안산기계장치"/>
      <sheetName val="자금청구"/>
      <sheetName val="예정(3)"/>
      <sheetName val="동원(3)"/>
      <sheetName val="횡배수관"/>
      <sheetName val="데리네이타현황"/>
      <sheetName val="말뚝지지력산정"/>
      <sheetName val="Sheet6"/>
      <sheetName val="마산방향"/>
      <sheetName val="플랜트 설치"/>
      <sheetName val="1호인버트수량"/>
      <sheetName val="전체내역"/>
      <sheetName val="노무비"/>
      <sheetName val="현장관리비 산출내역"/>
      <sheetName val="일  위  대  가  목  록"/>
      <sheetName val="SLAB"/>
      <sheetName val="TOT"/>
      <sheetName val="세부내역(직접인건비)"/>
      <sheetName val="wall"/>
      <sheetName val="제수변수량H2.15"/>
      <sheetName val="_공기변수량"/>
      <sheetName val="VXXXXXXX"/>
      <sheetName val="CCTV내역서"/>
      <sheetName val="수안보-MBR1"/>
      <sheetName val="목동1절주.bh01"/>
      <sheetName val="기계내역"/>
      <sheetName val="본사S"/>
      <sheetName val="설산1.나"/>
      <sheetName val="공사비총괄"/>
      <sheetName val="개요"/>
      <sheetName val="포장수량집계"/>
      <sheetName val="투찰내역"/>
      <sheetName val="집계표"/>
      <sheetName val="신공항A-9(원가수정)"/>
      <sheetName val="골재산출"/>
      <sheetName val="조명율표"/>
      <sheetName val="단면기준"/>
      <sheetName val="ENE-CAL 1"/>
      <sheetName val="공정양식(원본)"/>
      <sheetName val="터파기및재료"/>
      <sheetName val="갑지1"/>
      <sheetName val="낙석방지망현황"/>
      <sheetName val="뚝토공"/>
      <sheetName val="INPUT_DATA_(2)1"/>
      <sheetName val="단면_(2)1"/>
      <sheetName val="BOX본체수량_(2)1"/>
      <sheetName val="BOX토공_(2)1"/>
      <sheetName val="2_단면가정_1"/>
      <sheetName val="BQ_List1"/>
      <sheetName val="단가_및_재료비1"/>
      <sheetName val="대림경상68억"/>
      <sheetName val="DATA 입력란"/>
      <sheetName val="철거총괄집계"/>
      <sheetName val="철근총괄집계"/>
      <sheetName val="경비2내역"/>
      <sheetName val="차선도색현황"/>
      <sheetName val="본체"/>
      <sheetName val="경비실"/>
      <sheetName val="DANGA"/>
      <sheetName val="판"/>
      <sheetName val="재료집계(분수관)"/>
      <sheetName val="BQMPALOC"/>
      <sheetName val="SG"/>
      <sheetName val="자료"/>
      <sheetName val="Ⅴ-2.공종별내역"/>
      <sheetName val="토적표"/>
      <sheetName val="재료"/>
      <sheetName val="관음목장(제출용)자105인97.5"/>
      <sheetName val="우수"/>
      <sheetName val="5.정산서"/>
      <sheetName val="고유코드_설계"/>
      <sheetName val="정부노임단가"/>
      <sheetName val="갑지"/>
      <sheetName val="COVER"/>
      <sheetName val="토공사"/>
      <sheetName val="취수탑"/>
      <sheetName val="배수갑문"/>
      <sheetName val="반중력식옹벽3.5"/>
      <sheetName val="상행선"/>
      <sheetName val="지장물조서"/>
      <sheetName val="IN"/>
      <sheetName val="백호우계수"/>
      <sheetName val="코드표"/>
      <sheetName val="8.PILE  (돌출)"/>
      <sheetName val="맨홀토공수량"/>
      <sheetName val="수량"/>
      <sheetName val="가격조사서"/>
      <sheetName val="산출2-기기동력"/>
      <sheetName val="BOX형 교대"/>
      <sheetName val="P4-C"/>
      <sheetName val="날개벽수량표"/>
      <sheetName val="combi(wall)"/>
      <sheetName val="INPUT(덕도방향-시점)"/>
      <sheetName val="AS포장복구 "/>
      <sheetName val="¿Á¿Üµî½Å¼³"/>
      <sheetName val="설직재-1"/>
      <sheetName val="TEL"/>
      <sheetName val="전체제잡비"/>
      <sheetName val="입력자료(노무비)"/>
      <sheetName val="총괄표"/>
      <sheetName val="설계명세서(선로)"/>
      <sheetName val="Sheet5"/>
      <sheetName val="제수"/>
      <sheetName val="공기"/>
      <sheetName val="96까지"/>
      <sheetName val="97년"/>
      <sheetName val="98이후"/>
      <sheetName val="찍기"/>
      <sheetName val="ERECIN"/>
      <sheetName val="적격분석"/>
      <sheetName val="Pier 3"/>
      <sheetName val="가로등기초"/>
      <sheetName val="HANDHOLE(2)"/>
      <sheetName val="품셈TABLE"/>
      <sheetName val="PSV"/>
      <sheetName val="CVT산정"/>
      <sheetName val="시설물"/>
      <sheetName val="98수문일위"/>
      <sheetName val="교통표지판기초자료"/>
      <sheetName val="제경비"/>
      <sheetName val="실적공사비"/>
      <sheetName val="입력(K0)"/>
      <sheetName val="장비기준"/>
      <sheetName val="재료비"/>
      <sheetName val="환율"/>
      <sheetName val="직접경비"/>
      <sheetName val="자재조서"/>
      <sheetName val="7.PILE  (돌출)"/>
      <sheetName val="공주방향"/>
      <sheetName val="교대(A1)"/>
      <sheetName val="적용환율"/>
      <sheetName val="부대공"/>
      <sheetName val="전체_1설계"/>
      <sheetName val="고분전시관"/>
      <sheetName val="제출내역 (2)"/>
      <sheetName val="시화점실행"/>
      <sheetName val="토목"/>
      <sheetName val="내역서(기성청구)"/>
      <sheetName val="Regenerator  Concrete Structure"/>
      <sheetName val="XL4Poppy"/>
      <sheetName val="총수량집계표"/>
      <sheetName val="지장물건조서"/>
      <sheetName val="낙찰표"/>
      <sheetName val="방음벽기초"/>
      <sheetName val="수문일1"/>
      <sheetName val="경상비"/>
      <sheetName val="전문하도급"/>
      <sheetName val="교량전기"/>
      <sheetName val="평가데이터"/>
      <sheetName val="단가"/>
      <sheetName val="MOTOR"/>
      <sheetName val="산출내역서집계표"/>
      <sheetName val="조경"/>
      <sheetName val="BOX(1.5X1.5)"/>
      <sheetName val="석"/>
      <sheetName val="업무연락 갑지"/>
      <sheetName val="단면별연장"/>
      <sheetName val="TYPE-1"/>
      <sheetName val="기계경비일람"/>
      <sheetName val="3.하중산정4.지지력"/>
      <sheetName val="설 계"/>
      <sheetName val="이토변실(A3-LINE)"/>
      <sheetName val="토질별천공수량(2공구)"/>
      <sheetName val="조명시설"/>
      <sheetName val="단가산출2"/>
      <sheetName val="부대비율"/>
      <sheetName val="MORTAR생산및타설(1;3)"/>
      <sheetName val="MAT"/>
      <sheetName val="공사개요"/>
      <sheetName val="02자재"/>
      <sheetName val="전기"/>
      <sheetName val="Sheet17"/>
      <sheetName val="식재가격"/>
      <sheetName val="식재총괄"/>
      <sheetName val="c_balju"/>
      <sheetName val="단가표"/>
      <sheetName val="252K444"/>
      <sheetName val="변경현황"/>
      <sheetName val="markup"/>
      <sheetName val="JOIN(2span)"/>
      <sheetName val="철근량산정및사용성검토"/>
      <sheetName val="청주-교대(A1)"/>
      <sheetName val="D-623D"/>
      <sheetName val="CAL"/>
      <sheetName val="3BL공동구 수량"/>
      <sheetName val="유효폭의 계산"/>
      <sheetName val="제잡비"/>
      <sheetName val="우배수"/>
      <sheetName val="합계금액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설계기준"/>
      <sheetName val="CPM챠트"/>
      <sheetName val="수토공단위당"/>
      <sheetName val="순서도"/>
      <sheetName val="날개벽(시점좌측)"/>
      <sheetName val="전체"/>
      <sheetName val="일위대가(가설)"/>
      <sheetName val="약품공급2"/>
      <sheetName val="기별-공가용"/>
      <sheetName val="설계예산서(전체)"/>
      <sheetName val="토공정보"/>
      <sheetName val="전선"/>
      <sheetName val="화해(함평)"/>
      <sheetName val="화해(장성)"/>
      <sheetName val="FB25JN"/>
      <sheetName val="내역서(삼호)"/>
      <sheetName val="배수관 제원표(DON'T PLOT)"/>
      <sheetName val="수로관단위수량"/>
      <sheetName val="배수관설치현황"/>
      <sheetName val="배수관단위수량"/>
      <sheetName val="tggwan(mac)"/>
      <sheetName val="EACT10"/>
      <sheetName val="배수통관(좌)"/>
      <sheetName val="가시설(TYPE-A)"/>
      <sheetName val="1-1평균터파기고(1)"/>
      <sheetName val="토 목"/>
      <sheetName val="97년 추정"/>
      <sheetName val="일반전기"/>
      <sheetName val="woo(mac)"/>
      <sheetName val="내역표지"/>
      <sheetName val="배치계획"/>
      <sheetName val="준검_내역서"/>
      <sheetName val="경영상태"/>
      <sheetName val="TOTAL_BOQ"/>
      <sheetName val="단면검토"/>
      <sheetName val="BOX구조해석 설명서"/>
      <sheetName val="간지"/>
      <sheetName val="좌표단면SPRING"/>
      <sheetName val="하중산정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IMPEADENCE MAP 취수장"/>
      <sheetName val="CONUNIT"/>
      <sheetName val="상-교대(A1-A2)"/>
      <sheetName val="터널조도"/>
      <sheetName val="슬래브"/>
      <sheetName val="증감대비"/>
      <sheetName val="건축공사"/>
      <sheetName val="4.장비손료"/>
      <sheetName val="집계표(육상)"/>
      <sheetName val="음료실행"/>
      <sheetName val="설계요율"/>
      <sheetName val="입출재고현황 (2)"/>
      <sheetName val="I一般比"/>
      <sheetName val="교대(A1-A2)"/>
      <sheetName val="수량3"/>
      <sheetName val="입력값"/>
      <sheetName val="단면치수"/>
      <sheetName val="측구집계"/>
      <sheetName val="설계기준 및 하중계산"/>
      <sheetName val="단면설계"/>
      <sheetName val="설계"/>
      <sheetName val="횡날개수집"/>
      <sheetName val="변경후-SHEET"/>
      <sheetName val="기초코드"/>
      <sheetName val="비탈면보호공수량산출"/>
      <sheetName val="부대대비"/>
      <sheetName val="냉연집계"/>
      <sheetName val="용산1(해보)"/>
      <sheetName val="비계,CON'C"/>
      <sheetName val="발파유용(3)"/>
      <sheetName val="type-F"/>
      <sheetName val="장비집계"/>
      <sheetName val="낙차공산출근거"/>
      <sheetName val="을지"/>
      <sheetName val="입찰"/>
      <sheetName val="현경"/>
      <sheetName val="여흥"/>
      <sheetName val="입력"/>
      <sheetName val="DAN"/>
      <sheetName val="언양휴게소배수관 흄관설치"/>
      <sheetName val="견적대비표"/>
      <sheetName val="상부공"/>
      <sheetName val="C-직노1"/>
      <sheetName val="L형옹벽단위수량(35)"/>
      <sheetName val="전신"/>
      <sheetName val="200"/>
      <sheetName val="정렬"/>
      <sheetName val="법면단"/>
      <sheetName val="법면설면"/>
      <sheetName val="석축단"/>
      <sheetName val="법면수집"/>
      <sheetName val="석축설면"/>
      <sheetName val="유동표"/>
      <sheetName val="깎기 4구간"/>
      <sheetName val="깎기 2-3구간"/>
      <sheetName val="공사별총괄표(도급)"/>
      <sheetName val="단가산출"/>
      <sheetName val="차액보증"/>
      <sheetName val="남양시작동자105노65기1.3화1.2"/>
      <sheetName val="삼성전기"/>
      <sheetName val="경성자금"/>
      <sheetName val="조명일위"/>
      <sheetName val="금융비용"/>
      <sheetName val="수량산출서"/>
      <sheetName val="출자한도"/>
      <sheetName val="공사수행방안"/>
      <sheetName val="960318-1"/>
      <sheetName val="건축"/>
      <sheetName val="노안2지구총(시행계획)"/>
      <sheetName val="처리단락"/>
      <sheetName val="특2호하천산근"/>
      <sheetName val="특2호부관하천산근"/>
      <sheetName val="암거공"/>
      <sheetName val="방음벽 기초(H=2.0m)"/>
      <sheetName val="RAHMEN"/>
      <sheetName val="N賃率-職"/>
      <sheetName val="단위중량"/>
      <sheetName val="실행"/>
      <sheetName val="가격"/>
      <sheetName val="토공(우물통,기타) "/>
      <sheetName val="수목데이타 "/>
      <sheetName val="수목표준대가"/>
      <sheetName val="1.토공"/>
      <sheetName val="6공구(당초)"/>
      <sheetName val="토량1-1"/>
      <sheetName val="보차도낮춤경계석재료집계"/>
      <sheetName val="별표"/>
      <sheetName val="설계명세서"/>
      <sheetName val="계산내역"/>
      <sheetName val="기계경비(시간당)"/>
      <sheetName val="반중력식옹벽3_5"/>
      <sheetName val="unit 4"/>
      <sheetName val="2.계약외추가비계물량"/>
      <sheetName val="3.지하층끊어치기라스물량"/>
      <sheetName val="역T형(H=6.0) (2)"/>
      <sheetName val="역T형"/>
      <sheetName val="공작물조직표(용배수)"/>
      <sheetName val="을"/>
      <sheetName val="지계"/>
    </sheetNames>
    <sheetDataSet>
      <sheetData sheetId="0" refreshError="1"/>
      <sheetData sheetId="1" refreshError="1"/>
      <sheetData sheetId="2" refreshError="1">
        <row r="55">
          <cell r="K55">
            <v>10.872999999999999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 refreshError="1"/>
      <sheetData sheetId="507" refreshError="1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토공총괄집계"/>
      <sheetName val="U-TYPE토공"/>
      <sheetName val="교대토공집계"/>
      <sheetName val="교대토공"/>
      <sheetName val="교각토공집계"/>
      <sheetName val="교각토공"/>
      <sheetName val="타공종이월"/>
      <sheetName val="교각1"/>
      <sheetName val="총괄집계1 (3)"/>
      <sheetName val="총괄집계"/>
      <sheetName val="수량집계(대전)"/>
      <sheetName val="일반수량집계(대전)"/>
      <sheetName val="봉곡교(대전)"/>
      <sheetName val="수량집계(진주)"/>
      <sheetName val="일반수량집계 (진주)"/>
      <sheetName val="봉곡교(진주)"/>
      <sheetName val="접속 슬래브"/>
      <sheetName val="옹벽집계"/>
      <sheetName val="토공집계"/>
      <sheetName val="토공"/>
      <sheetName val="총괄-S"/>
      <sheetName val="총괄-S (2)"/>
      <sheetName val="총괄-S(30)"/>
      <sheetName val="슬래브-S(30)"/>
      <sheetName val="옹벽-S"/>
      <sheetName val="슬래브-S (40)"/>
      <sheetName val="수량집계"/>
      <sheetName val="신흥교"/>
      <sheetName val="시점(우)-날개벽"/>
      <sheetName val="시점(좌)-날개벽"/>
      <sheetName val="종점(우)-날개벽"/>
      <sheetName val="종점(좌)-날개벽"/>
      <sheetName val="옹벽(3-1)"/>
      <sheetName val="옹벽(3-2)"/>
      <sheetName val="총괄"/>
      <sheetName val="총괄 (2)"/>
      <sheetName val="총괄(30)"/>
      <sheetName val="슬래브(30)"/>
      <sheetName val="옹벽"/>
      <sheetName val="슬래브 (40)"/>
      <sheetName val="강재수량-총"/>
      <sheetName val="철근량"/>
      <sheetName val="토공수량집"/>
      <sheetName val="어곡-타공종"/>
      <sheetName val="VXXXXX"/>
      <sheetName val="표지"/>
      <sheetName val="목차"/>
      <sheetName val="1.설계조건"/>
      <sheetName val="2.1단면가정"/>
      <sheetName val="Sap2000"/>
      <sheetName val="2.5하중재하도"/>
      <sheetName val="2.7 전산입력"/>
      <sheetName val="2.7.2 단면력집계"/>
      <sheetName val="2.8 부재력도(극한)"/>
      <sheetName val="2.9 단면검토"/>
      <sheetName val="2.9.2 벽설계"/>
      <sheetName val="2.10주철근 조립도"/>
      <sheetName val="2.11정착장검토"/>
      <sheetName val="2.12 부재력도(허용)"/>
      <sheetName val="2.13 우각부 보강검토"/>
      <sheetName val="2.14 거더계산"/>
      <sheetName val="2.14.3 거더철근량산정"/>
      <sheetName val="2.14.4 사각기둥설계"/>
      <sheetName val="2.15 사용성검토"/>
      <sheetName val="2.16 부력검토"/>
      <sheetName val="XXXXXX"/>
      <sheetName val="산청"/>
      <sheetName val="수동"/>
      <sheetName val="30mpc본당수량"/>
      <sheetName val="1m당 (2)"/>
      <sheetName val="통전1교-A1토공"/>
      <sheetName val="통전1교-A2토공"/>
      <sheetName val="사천2교-A1토공"/>
      <sheetName val="사천2교-A2토공"/>
      <sheetName val="북한강교교대토공집계(1)"/>
      <sheetName val="북한강교시점측교대"/>
      <sheetName val="북한강교교대토공집계(2)"/>
      <sheetName val="북한강교종점측교대"/>
      <sheetName val="용늪교교대토공집계 "/>
      <sheetName val="용늪교시점측교대"/>
      <sheetName val="용늪교종점측교대"/>
      <sheetName val="laroux"/>
      <sheetName val="내역서"/>
      <sheetName val="총집"/>
      <sheetName val="철근집계"/>
      <sheetName val="관집"/>
      <sheetName val="횡설"/>
      <sheetName val="U형플륨집계"/>
      <sheetName val="플륨관마감"/>
      <sheetName val="플륨관"/>
      <sheetName val="횡배수평균터파기H"/>
      <sheetName val="BOX집계"/>
      <sheetName val="BOX수량"/>
      <sheetName val="잡석"/>
      <sheetName val="옹벽토공"/>
      <sheetName val="옹벽수량"/>
      <sheetName val="연장조서"/>
      <sheetName val="전단"/>
      <sheetName val="전집"/>
      <sheetName val="Sheet2"/>
      <sheetName val="Sheet3"/>
      <sheetName val="교대수량집계(당진방향)"/>
      <sheetName val="교대철근집계(당진방향)"/>
      <sheetName val="교대(당진방향)상세집계(A1)"/>
      <sheetName val="당진방향-교대(A1)"/>
      <sheetName val="날개벽(당진방향-시점)"/>
      <sheetName val="접속(당진방향,시점)"/>
      <sheetName val="옹벽(당진방향,A1)"/>
      <sheetName val="교대(당진방향)상세집계(A2)"/>
      <sheetName val="당진방향-교대(A2)"/>
      <sheetName val="날개벽(당진방향-종점)"/>
      <sheetName val="접속(당진방향,종점)"/>
      <sheetName val="옹벽(당진방향,A2)"/>
      <sheetName val="abut집계"/>
      <sheetName val="상-교대"/>
      <sheetName val="부대공집계(옛날)"/>
      <sheetName val="부대공집계표"/>
      <sheetName val="오수공"/>
      <sheetName val="우수공"/>
      <sheetName val="구내배관"/>
      <sheetName val="BYPASS날개벽"/>
      <sheetName val="교대집계"/>
      <sheetName val="내역서적용수량"/>
      <sheetName val="부대공자재"/>
      <sheetName val="자재집계표"/>
      <sheetName val="타공정이월"/>
      <sheetName val="표지판설치집계"/>
      <sheetName val="표지판 기초수량"/>
      <sheetName val="표지판기초수량산출근거"/>
      <sheetName val="시선유도시설집계"/>
      <sheetName val="시선유도수량산출"/>
      <sheetName val="차선도색수량집계표"/>
      <sheetName val="차선도색수량근거"/>
      <sheetName val="이단가드레일집계"/>
      <sheetName val="교툥안전시설"/>
      <sheetName val="AB3400"/>
      <sheetName val="AB3401"/>
      <sheetName val="감독차량비"/>
      <sheetName val="AB3402"/>
      <sheetName val="AB3403"/>
      <sheetName val="터널차량비"/>
      <sheetName val="AB3500"/>
      <sheetName val="부지임대료"/>
      <sheetName val="용수개거 내역수량집계표"/>
      <sheetName val="용수개거연장조서"/>
      <sheetName val="용수개거재료집계표"/>
      <sheetName val="용수개거단위수량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집계표"/>
      <sheetName val="화심2교(전주 시)"/>
      <sheetName val="화심2교(전주 종)"/>
      <sheetName val="화심2교(함양 시)"/>
      <sheetName val="화심2교(함양 종)"/>
      <sheetName val="민목2교(전주 시)"/>
      <sheetName val="민목2교(전주 종)"/>
      <sheetName val="민목2교(함양 시)"/>
      <sheetName val="민목2교(함양 종)"/>
      <sheetName val="총괄토공집계"/>
      <sheetName val="1 line"/>
      <sheetName val="내역적용(전체)"/>
      <sheetName val="터널공총자재693"/>
      <sheetName val="시멘트및골재수랑지계표694"/>
      <sheetName val="콘크리트695"/>
      <sheetName val="총집계표"/>
      <sheetName val="BM개착"/>
      <sheetName val="(3-1)798"/>
      <sheetName val="(3-2)799"/>
      <sheetName val="800"/>
      <sheetName val="801"/>
      <sheetName val="802"/>
      <sheetName val="803"/>
      <sheetName val="(4-1)822"/>
      <sheetName val="(4-2)823"/>
      <sheetName val="824"/>
      <sheetName val="825"/>
      <sheetName val="826"/>
      <sheetName val="827"/>
      <sheetName val="(6-1)872"/>
      <sheetName val="(6-2)873"/>
      <sheetName val="874"/>
      <sheetName val="875"/>
      <sheetName val="876"/>
      <sheetName val="877"/>
      <sheetName val="본선수량총괄집계표"/>
      <sheetName val="토공수량총괄집계표"/>
      <sheetName val="간지"/>
      <sheetName val="설계설명서"/>
      <sheetName val="물량증감내역"/>
      <sheetName val="자재"/>
      <sheetName val="공사용중기"/>
      <sheetName val="공정표(당)"/>
      <sheetName val="공정표(변)"/>
      <sheetName val="표지-1"/>
      <sheetName val="집계표(총괄)"/>
      <sheetName val="집계표(토목)"/>
      <sheetName val="제잡비산출근거"/>
      <sheetName val="1공구(내역서)"/>
      <sheetName val="관급(1공구 )"/>
      <sheetName val="2-1공구"/>
      <sheetName val="2-2공구"/>
      <sheetName val="관급(2공구)"/>
      <sheetName val="건축(재경비)"/>
      <sheetName val="건축갑"/>
      <sheetName val="건축"/>
      <sheetName val="기계(재경비)"/>
      <sheetName val="기계갑"/>
      <sheetName val="기계설비"/>
      <sheetName val="집계표(토목,비목별)"/>
      <sheetName val="표지(K1)"/>
      <sheetName val="집계표(K1,토목)"/>
      <sheetName val="1공구(K1)"/>
      <sheetName val="집계표(K1,2공구)"/>
      <sheetName val="집계표(K1,건축)"/>
      <sheetName val="집계표(K1,기계)"/>
      <sheetName val="표지(K2)"/>
      <sheetName val="집계표(K2,토목)"/>
      <sheetName val="1공구(K2)"/>
      <sheetName val="집계표(K2,2공구)"/>
      <sheetName val="집계표(K2,건축)"/>
      <sheetName val="집계표(K2,기계)"/>
      <sheetName val="표지 (2)"/>
      <sheetName val="예정공정표"/>
      <sheetName val="공사일보(4월1일)"/>
      <sheetName val="공사일보(4월2일)"/>
      <sheetName val="공사일보(4월3일)"/>
      <sheetName val="공사일보(4월4일)"/>
      <sheetName val="공사일보(4월5일)"/>
      <sheetName val="공사일보(4월6일)"/>
      <sheetName val="공사일보(4월7일)"/>
      <sheetName val="공사일보(4월8일)"/>
      <sheetName val="공사일보(4월9일)"/>
      <sheetName val="공사일보(4월10일)"/>
      <sheetName val="공사일보(4월11일)"/>
      <sheetName val="공사일보(4월12일)"/>
      <sheetName val="공사일보(4월13일)"/>
      <sheetName val="공사일보(4월14일)"/>
      <sheetName val="공사일보(4월15일)"/>
      <sheetName val="공사일보(4월16일)"/>
      <sheetName val="공사일보(4월17일)"/>
      <sheetName val="공사일보(4월18일)"/>
      <sheetName val="공사일보(4월19일)"/>
      <sheetName val="공사일보(4월20일)"/>
      <sheetName val="공사일보(4월21일)"/>
      <sheetName val="공사일보(4월22일)"/>
      <sheetName val="공사일보(4월23일)"/>
      <sheetName val="공사일보(4월24일)"/>
      <sheetName val="공사일보(4월25일)"/>
      <sheetName val="공사일보(4월26일)"/>
      <sheetName val="공사일보(4월27일)"/>
      <sheetName val="공사일보(4월28일)"/>
      <sheetName val="공사일보(4월29일)"/>
      <sheetName val="공사일보(4월30일)"/>
      <sheetName val="설계변경내용"/>
      <sheetName val="토목공사(수량증감대비표)"/>
      <sheetName val="1공구(수량증감대비표)"/>
      <sheetName val="단가조견표"/>
      <sheetName val="주요물량,자재"/>
      <sheetName val="공사기간,변경조건"/>
      <sheetName val="공정표(변경)"/>
      <sheetName val="표지-1 (2)"/>
      <sheetName val="표지-1 (3)"/>
      <sheetName val="내역갑"/>
      <sheetName val="산출내역"/>
      <sheetName val="내역"/>
      <sheetName val="관급자재대,보상비"/>
      <sheetName val="보상비"/>
      <sheetName val="설계내역서"/>
      <sheetName val="TYPE총괄집계표"/>
      <sheetName val="논리시점우측"/>
      <sheetName val="논리시점좌측"/>
      <sheetName val="논리종점우측"/>
      <sheetName val="논리종점좌측"/>
      <sheetName val="교대수량집계표"/>
      <sheetName val="교대수량"/>
      <sheetName val="기본DATA"/>
      <sheetName val="가시설공(광장부)"/>
      <sheetName val="Anchor수량"/>
      <sheetName val="MSG"/>
      <sheetName val="MSG (2)"/>
      <sheetName val="SQJ"/>
      <sheetName val="가시설공(시점부)"/>
      <sheetName val="MSG(시점부)"/>
      <sheetName val="SQJ(시점부)"/>
      <sheetName val="갑"/>
      <sheetName val="변경개요1"/>
      <sheetName val="갑 (1)"/>
      <sheetName val="원가계산서"/>
      <sheetName val="공종별집계표"/>
      <sheetName val="갑지 (2)"/>
      <sheetName val="공량서(옥외방범)"/>
      <sheetName val="단가조사서"/>
      <sheetName val="단가조사서 (업체)"/>
      <sheetName val="갑지 (3)"/>
      <sheetName val="자재총괄(증감)"/>
      <sheetName val="폐수처리장(변경)"/>
      <sheetName val="폐수처리장 (기존)"/>
      <sheetName val="갑지 (4)"/>
      <sheetName val="도면"/>
      <sheetName val="토공집계표"/>
      <sheetName val="구조물깨기수량집계"/>
      <sheetName val="교량깨기"/>
      <sheetName val="남양내역"/>
      <sheetName val="전입"/>
      <sheetName val="단면 (2)"/>
      <sheetName val="대전-교대(A1-A2)"/>
      <sheetName val="#REF"/>
      <sheetName val="000000"/>
      <sheetName val="시점부"/>
      <sheetName val="시점부토적표"/>
      <sheetName val="종점부"/>
      <sheetName val="종점부토적표"/>
      <sheetName val="정렬"/>
      <sheetName val="실행내역"/>
      <sheetName val="BOQ(전체)"/>
      <sheetName val="요율"/>
      <sheetName val="집 계 표"/>
      <sheetName val="기계내역"/>
      <sheetName val="사  업  비  수  지  예  산  서"/>
      <sheetName val="가로등내역서"/>
      <sheetName val="현황산출서"/>
      <sheetName val="간선계산"/>
      <sheetName val="전체제잡비"/>
      <sheetName val="전체_1설계"/>
      <sheetName val="绑ꣃ˞짛༏濼殃恸䁍◣"/>
      <sheetName val="INPUT"/>
      <sheetName val="당진1,2호기전선관설치및접지4차공사내역서-을지"/>
      <sheetName val="배수공"/>
      <sheetName val="도급대실행대비표"/>
      <sheetName val="골재산출"/>
      <sheetName val="CABLE SIZE-3"/>
      <sheetName val="["/>
      <sheetName val="조명시설"/>
      <sheetName val="1.취수장"/>
      <sheetName val="단면가정"/>
      <sheetName val="유동표"/>
      <sheetName val="투찰"/>
      <sheetName val="BID"/>
      <sheetName val="3.바닥판설계"/>
      <sheetName val="입찰안"/>
      <sheetName val="전차선로 물량표"/>
      <sheetName val="Sheet15"/>
      <sheetName val="위치조서"/>
      <sheetName val="type-F"/>
      <sheetName val="공주-교대(A1)"/>
      <sheetName val="apt수량"/>
      <sheetName val="성서방향-교대(A2)"/>
      <sheetName val="날개벽"/>
      <sheetName val="앉음벽 (2)"/>
      <sheetName val="교각계산"/>
      <sheetName val="수량집계표"/>
      <sheetName val="산출근거"/>
      <sheetName val="산수배수"/>
      <sheetName val="편입토지조서"/>
      <sheetName val="맨홀수량산출"/>
      <sheetName val="1호인버트수량"/>
      <sheetName val="B(함)일반수량"/>
      <sheetName val="적용토목"/>
      <sheetName val="ABUT수량-A1"/>
      <sheetName val="진주방향"/>
      <sheetName val="마산방향"/>
      <sheetName val="마산방향철근집계"/>
      <sheetName val="하수급견적대비"/>
      <sheetName val="수량명세서"/>
      <sheetName val="소방"/>
      <sheetName val="포장복구집계"/>
      <sheetName val="6공구(당초)"/>
      <sheetName val="용늪교종점측교대_x0000__x0009_ӐЀ_x0004__x0000__xdfa0_̠ӴЀF_x0000__x0010_[교대토공.XLS]"/>
      <sheetName val="용늪교종점측교대_x0000__x0000__x0000__x0000__x0000__x0000__x0000__x0000__x0000__x0009__x0000_ӐЀ_x0000__x0004__x0000__x0000__x0000__x0000__x0000__x0000__xdfa0_̠"/>
      <sheetName val="기초코드"/>
      <sheetName val="전기일위목록"/>
      <sheetName val="B부대공"/>
      <sheetName val="VXXXXXXX"/>
      <sheetName val="B2BERP"/>
      <sheetName val="품셈"/>
      <sheetName val="산출근거1"/>
      <sheetName val="일반수량집계_(진주)"/>
      <sheetName val="접속_슬래브"/>
      <sheetName val="총괄-S_(2)"/>
      <sheetName val="슬래브-S_(40)"/>
      <sheetName val="총괄집계1_(3)"/>
      <sheetName val="총괄_(2)"/>
      <sheetName val="슬래브_(40)"/>
      <sheetName val="1m당_(2)"/>
      <sheetName val="용늪교교대토공집계_"/>
      <sheetName val="1_설계조건"/>
      <sheetName val="2_1단면가정"/>
      <sheetName val="2_5하중재하도"/>
      <sheetName val="2_7_전산입력"/>
      <sheetName val="2_7_2_단면력집계"/>
      <sheetName val="2_8_부재력도(극한)"/>
      <sheetName val="2_9_단면검토"/>
      <sheetName val="2_9_2_벽설계"/>
      <sheetName val="2_10주철근_조립도"/>
      <sheetName val="2_11정착장검토"/>
      <sheetName val="2_12_부재력도(허용)"/>
      <sheetName val="2_13_우각부_보강검토"/>
      <sheetName val="2_14_거더계산"/>
      <sheetName val="2_14_3_거더철근량산정"/>
      <sheetName val="2_14_4_사각기둥설계"/>
      <sheetName val="2_15_사용성검토"/>
      <sheetName val="2_16_부력검토"/>
      <sheetName val="표지판_기초수량"/>
      <sheetName val="화심2교(전주_시)"/>
      <sheetName val="화심2교(전주_종)"/>
      <sheetName val="화심2교(함양_시)"/>
      <sheetName val="화심2교(함양_종)"/>
      <sheetName val="민목2교(전주_시)"/>
      <sheetName val="민목2교(전주_종)"/>
      <sheetName val="민목2교(함양_시)"/>
      <sheetName val="민목2교(함양_종)"/>
      <sheetName val="1_line"/>
      <sheetName val="용수개거_내역수량집계표"/>
      <sheetName val="관급(1공구_)"/>
      <sheetName val="표지_(2)"/>
      <sheetName val="표지-1_(2)"/>
      <sheetName val="표지-1_(3)"/>
      <sheetName val="MSG_(2)"/>
      <sheetName val="갑_(1)"/>
      <sheetName val="갑지_(2)"/>
      <sheetName val="단가조사서_(업체)"/>
      <sheetName val="갑지_(3)"/>
      <sheetName val="폐수처리장_(기존)"/>
      <sheetName val="갑지_(4)"/>
      <sheetName val="전차선로_물량표"/>
      <sheetName val="단면_(2)"/>
      <sheetName val="CABLE_SIZE-3"/>
      <sheetName val="집_계_표"/>
      <sheetName val="3_바닥판설계"/>
      <sheetName val="사__업__비__수__지__예__산__서"/>
      <sheetName val="앉음벽_(2)"/>
      <sheetName val="1_취수장"/>
      <sheetName val="용늪교종점측교대 ӐЀ̠ӴЀF[교대토공_XLS]"/>
      <sheetName val="수로교총재료집계"/>
      <sheetName val="토량1-1"/>
      <sheetName val="플랜트 설치"/>
      <sheetName val="주형"/>
      <sheetName val="포장공"/>
      <sheetName val="토목"/>
      <sheetName val="기자재비"/>
      <sheetName val="상수도토공집계표"/>
      <sheetName val="2.8 부재_xffff_도(_xffff_한)"/>
      <sheetName val="2._xffff_.2 벽설계"/>
      <sheetName val="일위대가(계측기설치)"/>
      <sheetName val="자재일람"/>
      <sheetName val="TEL"/>
      <sheetName val="A-4"/>
      <sheetName val="건축내역"/>
      <sheetName val="설계명세서"/>
      <sheetName val="공사비예산서(토목분)"/>
      <sheetName val="기초공"/>
      <sheetName val="기둥(원형)"/>
      <sheetName val="VXXXX"/>
      <sheetName val="명세표지"/>
      <sheetName val="명세서"/>
      <sheetName val="총집계"/>
      <sheetName val="진출콘크.푸집"/>
      <sheetName val="진출철집"/>
      <sheetName val="&lt;접속집계&gt;"/>
      <sheetName val="접속철"/>
      <sheetName val="AP슬래브"/>
      <sheetName val="전기맨홀자재집"/>
      <sheetName val="전기맨홀콘.거푸집총집 "/>
      <sheetName val="전기맨홀철근총집"/>
      <sheetName val="SLIDES"/>
      <sheetName val="도장수량(하1)"/>
      <sheetName val="원본"/>
      <sheetName val="JUCKEYK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 refreshError="1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 refreshError="1"/>
      <sheetData sheetId="459" refreshError="1"/>
      <sheetData sheetId="460"/>
      <sheetData sheetId="46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소집계"/>
      <sheetName val="기초부"/>
      <sheetName val="기둥부"/>
      <sheetName val="코핑부"/>
      <sheetName val="소집계-토공"/>
      <sheetName val="토공"/>
      <sheetName val="교각1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주형"/>
      <sheetName val="Sheet1 (2)"/>
      <sheetName val="교각계산"/>
      <sheetName val="ABUT수량-A1"/>
      <sheetName val="소업1교"/>
      <sheetName val="6PILE  (돌출)"/>
      <sheetName val="단면 (2)"/>
      <sheetName val="DATE"/>
      <sheetName val="BOX"/>
      <sheetName val="VXXXXX"/>
      <sheetName val="Sheet3"/>
      <sheetName val="내역서"/>
      <sheetName val="노임"/>
      <sheetName val="내역(영일)"/>
      <sheetName val="예정(3)"/>
      <sheetName val="동원(3)"/>
      <sheetName val="입력DATA"/>
      <sheetName val="#REF"/>
      <sheetName val="설계"/>
      <sheetName val="Sheet17"/>
      <sheetName val="자압1"/>
      <sheetName val="工완성공사율"/>
      <sheetName val="과천MAIN"/>
      <sheetName val="대로근거"/>
      <sheetName val="중로근거"/>
      <sheetName val="DATA"/>
      <sheetName val="JUCK"/>
      <sheetName val="05 BOX"/>
      <sheetName val="02 SLAB"/>
      <sheetName val="실행철강하도"/>
      <sheetName val="PIER42"/>
      <sheetName val="사급자재"/>
      <sheetName val="Sheet2"/>
      <sheetName val="1.설계조건"/>
      <sheetName val="5-단면력"/>
      <sheetName val="갑지1"/>
      <sheetName val="부하계산서"/>
      <sheetName val="예산서"/>
      <sheetName val="종배수관"/>
      <sheetName val="개요"/>
      <sheetName val="상부하중"/>
      <sheetName val="풍하중1"/>
      <sheetName val="총괄내역서"/>
      <sheetName val="정부노임단가"/>
      <sheetName val="단가산출서"/>
      <sheetName val="단가비교표"/>
      <sheetName val="수안보-MBR1"/>
      <sheetName val="터널조도"/>
      <sheetName val="설비"/>
      <sheetName val="노임단가"/>
      <sheetName val="보차도경계석"/>
      <sheetName val="단면치수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단면가정"/>
      <sheetName val="4.COPING검토(CORBEL)"/>
      <sheetName val="DATE"/>
      <sheetName val="Sheet3"/>
      <sheetName val="VXXXXXXX"/>
      <sheetName val="단면 (2)"/>
      <sheetName val="표지 (2)"/>
      <sheetName val="표지"/>
      <sheetName val="집계표(총괄)"/>
      <sheetName val="집계표(토목,비목별)"/>
      <sheetName val="집계표(토목)"/>
      <sheetName val="제잡비산출근거"/>
      <sheetName val="1공구(내역서)"/>
      <sheetName val="관급(1공구 )"/>
      <sheetName val="2-1공구"/>
      <sheetName val="2-2공구"/>
      <sheetName val="관급(2공구)"/>
      <sheetName val="건축(재경비)"/>
      <sheetName val="건축갑"/>
      <sheetName val="건축"/>
      <sheetName val="기계(재경비)"/>
      <sheetName val="기계갑"/>
      <sheetName val="기계설비"/>
      <sheetName val="SLAB&quot;1&quot;"/>
      <sheetName val="조작대(1연)"/>
      <sheetName val="교각1"/>
      <sheetName val="DATA"/>
      <sheetName val="직공비"/>
      <sheetName val="전기"/>
      <sheetName val="INPUT(덕도방향-시점)"/>
      <sheetName val="PIER44"/>
      <sheetName val="단위수량"/>
      <sheetName val="기둥"/>
      <sheetName val="저판(버림100)"/>
      <sheetName val="설계조건"/>
      <sheetName val="3.하중산정4.지지력"/>
      <sheetName val="통합"/>
      <sheetName val="내역"/>
      <sheetName val="3CHBDC"/>
      <sheetName val="마산방향철근집계"/>
      <sheetName val="진주방향"/>
      <sheetName val="마산방향"/>
      <sheetName val="11.우각부 보강"/>
      <sheetName val="input"/>
      <sheetName val="ITB COST"/>
      <sheetName val="1.설계조건"/>
      <sheetName val="Macro(전선)"/>
      <sheetName val="TB-내역서"/>
      <sheetName val="6PILE  (돌출)"/>
      <sheetName val="노임단가"/>
      <sheetName val="시중노임단가"/>
      <sheetName val="CODE"/>
      <sheetName val="공통가설"/>
      <sheetName val="단가"/>
      <sheetName val="Back"/>
      <sheetName val="날개벽(시점좌측)"/>
      <sheetName val="guard(mac)"/>
      <sheetName val="CONUNIT"/>
      <sheetName val="CON포장수량"/>
      <sheetName val="포장공"/>
      <sheetName val="CABdata"/>
      <sheetName val="수량산출"/>
      <sheetName val="부하계산서"/>
      <sheetName val="토공"/>
      <sheetName val="원형1호맨홀토공수량"/>
      <sheetName val="2.가정단면"/>
      <sheetName val="단위중량"/>
      <sheetName val="데이타"/>
      <sheetName val="역T형"/>
      <sheetName val="터파기및재료"/>
      <sheetName val="BID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말뚝지지력산정"/>
      <sheetName val="PSCbeam설계"/>
      <sheetName val="내역서(총)"/>
      <sheetName val="인건-측정"/>
      <sheetName val="총괄표"/>
      <sheetName val="용산1(해보)"/>
      <sheetName val="부재치수입력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정부노임단가"/>
      <sheetName val="배수장공사비"/>
      <sheetName val="갑지"/>
      <sheetName val="내역서"/>
      <sheetName val="SLAB"/>
      <sheetName val="주형"/>
      <sheetName val="ABUT수량-A1"/>
      <sheetName val="정보매체A동"/>
      <sheetName val="인사자료총집계"/>
      <sheetName val="찍기"/>
      <sheetName val="토공총괄표"/>
      <sheetName val="교량data"/>
      <sheetName val="부대공Ⅱ"/>
      <sheetName val="지급자재"/>
      <sheetName val="1-1"/>
      <sheetName val="암거공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COL"/>
      <sheetName val="COL-T"/>
      <sheetName val="저판(버림100)"/>
      <sheetName val="기둥"/>
      <sheetName val="COPING"/>
      <sheetName val="토공 (1단)"/>
      <sheetName val="기둥부"/>
      <sheetName val="설계조건"/>
      <sheetName val="안정계산"/>
      <sheetName val="단면검토"/>
      <sheetName val="1-1"/>
      <sheetName val="보차도경계석"/>
      <sheetName val="Sheet17"/>
      <sheetName val="1.설계조건"/>
      <sheetName val="기둥(원형)"/>
      <sheetName val="PIER2"/>
      <sheetName val="Sheet1"/>
      <sheetName val="설계설명서"/>
      <sheetName val="설계변경내용"/>
      <sheetName val="토목공사(수량증감대비표)"/>
      <sheetName val="1공구(수량증감대비표)"/>
      <sheetName val="단가조견표"/>
      <sheetName val="말뚝지지력산정"/>
      <sheetName val="Sheet2"/>
      <sheetName val="내역서"/>
      <sheetName val="자재단가"/>
      <sheetName val="입찰안"/>
      <sheetName val="IN "/>
      <sheetName val="정부노임단가"/>
      <sheetName val="기초공"/>
      <sheetName val="주형"/>
      <sheetName val="BLOCK(1)"/>
      <sheetName val="cost"/>
      <sheetName val="안정검토"/>
      <sheetName val="TYPE-A"/>
      <sheetName val="ABUT수량-A1"/>
      <sheetName val="날개벽수량표"/>
      <sheetName val="소업1교"/>
      <sheetName val="공주-교대(A1)"/>
      <sheetName val="바닥판"/>
      <sheetName val="역T형"/>
      <sheetName val="MFAB"/>
      <sheetName val="MFRT"/>
      <sheetName val="MPKG"/>
      <sheetName val="MPRD"/>
      <sheetName val="SLAB"/>
      <sheetName val="단면가정"/>
      <sheetName val="내역"/>
      <sheetName val="안정검토(온1)"/>
      <sheetName val="토지조서"/>
      <sheetName val="Macro(차단기)"/>
      <sheetName val="3련 BOX"/>
      <sheetName val="횡배위치"/>
      <sheetName val="H-pile(298x299)"/>
      <sheetName val="H-pile(250x250)"/>
      <sheetName val="001"/>
      <sheetName val="부하LOAD"/>
      <sheetName val="양식"/>
      <sheetName val="3BL공동구 수량"/>
      <sheetName val="경비산출"/>
      <sheetName val="횡배수관"/>
      <sheetName val="WORK"/>
      <sheetName val="노임단가"/>
      <sheetName val="ⴭⴭⴭⴭ"/>
      <sheetName val="골재산출"/>
      <sheetName val="부하계산서"/>
      <sheetName val="공문"/>
      <sheetName val="내역서 "/>
      <sheetName val="배수공 주요자재 집계표"/>
      <sheetName val="수량산출"/>
      <sheetName val="원형1호맨홀토공수량"/>
      <sheetName val="토 적 표"/>
      <sheetName val="FOOTING단면력"/>
      <sheetName val="MBR9"/>
      <sheetName val="6PILE  (돌출)"/>
      <sheetName val="JUCK"/>
      <sheetName val="DATE"/>
      <sheetName val="특별교실"/>
      <sheetName val="다이꾸"/>
      <sheetName val="MOTOR"/>
      <sheetName val="piping"/>
      <sheetName val="적용단위길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COPING"/>
      <sheetName val="여방토공 "/>
      <sheetName val="조명시설"/>
      <sheetName val="플랜트 설치"/>
      <sheetName val="집계표"/>
      <sheetName val="9GNG운반"/>
      <sheetName val="준검 내역서"/>
      <sheetName val="T13(P68~72,78)"/>
      <sheetName val="TOTAL"/>
      <sheetName val="단가산출서"/>
      <sheetName val="터파기및재료"/>
      <sheetName val="원가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집계(다곡2교)"/>
      <sheetName val="토공집계(다곡2교)"/>
      <sheetName val="상부공집계"/>
      <sheetName val="다곡2교"/>
      <sheetName val="시점(우)-날개벽"/>
      <sheetName val="옹벽(1-1)"/>
      <sheetName val="옹벽집계"/>
      <sheetName val="옹벽(2-2,변단면)"/>
      <sheetName val="옹벽(2-2,직단면)"/>
      <sheetName val="토공집계(2)"/>
      <sheetName val="토공집계"/>
      <sheetName val="토공산출"/>
      <sheetName val="수량집계"/>
      <sheetName val="교대(A1)"/>
      <sheetName val="단가산출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근집계"/>
      <sheetName val="북후P1-일집-서후"/>
      <sheetName val="북후P1-토집-서후"/>
      <sheetName val="북후P1-일-서후"/>
      <sheetName val="북후P1-일집-평은"/>
      <sheetName val="북후P1-토집-평은"/>
      <sheetName val="북후P1-일-평은"/>
      <sheetName val="북후P2-일집-서후"/>
      <sheetName val="북후P2-토집-서후"/>
      <sheetName val="북후P2-일-서후"/>
      <sheetName val="북후P2-일집-평은"/>
      <sheetName val="북후P2-토집-평은"/>
      <sheetName val="북후P2-일-평은"/>
      <sheetName val="집계표"/>
      <sheetName val="북후1교-철근집계"/>
      <sheetName val="다곡2교"/>
      <sheetName val="교각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집계"/>
      <sheetName val="수량집계(1)"/>
      <sheetName val="일반수량집계"/>
      <sheetName val="토공집계"/>
      <sheetName val="다곡2교"/>
      <sheetName val="접속 슬래브"/>
      <sheetName val="옹벽집계"/>
      <sheetName val="토공"/>
      <sheetName val="총괄-S"/>
      <sheetName val="총괄-S (2)"/>
      <sheetName val="총괄-S(30)"/>
      <sheetName val="슬래브-S(30)"/>
      <sheetName val="옹벽-S"/>
      <sheetName val="슬래브-S (40)"/>
      <sheetName val="BLOCK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4공구 타공종"/>
      <sheetName val="장곡교 타공종"/>
      <sheetName val="봉암교 타공종"/>
      <sheetName val="중보교 타공종"/>
      <sheetName val="해목교 타공종"/>
      <sheetName val="안상언 타공종"/>
      <sheetName val="용정1 타공종"/>
      <sheetName val="용정2 타공종"/>
      <sheetName val="상용교 타공종"/>
      <sheetName val="용소교 타공종"/>
      <sheetName val="군도교 타공종"/>
      <sheetName val="임도교 타공종 "/>
      <sheetName val="두리티 타공종"/>
      <sheetName val="상보 타공종 "/>
      <sheetName val="본리-타공종"/>
      <sheetName val="귀평-타공종"/>
      <sheetName val="R-A1-타공종"/>
      <sheetName val="R-A2-타공종"/>
      <sheetName val="R-D-타공종"/>
      <sheetName val="R-F-타공종"/>
      <sheetName val="방호벽"/>
      <sheetName val="laroux"/>
      <sheetName val="간지2"/>
      <sheetName val="교대수량집계"/>
      <sheetName val="교대1"/>
      <sheetName val="날개벽"/>
      <sheetName val="접속슬래브"/>
      <sheetName val="Sheet1"/>
      <sheetName val="Sheet2"/>
      <sheetName val="Sheet3"/>
      <sheetName val="#REF"/>
      <sheetName val="XXXXXX"/>
      <sheetName val="산청"/>
      <sheetName val="수동"/>
      <sheetName val="30mpc본당수량"/>
      <sheetName val="1m당 (2)"/>
      <sheetName val="총괄"/>
      <sheetName val="교대수량집계(당진방향)"/>
      <sheetName val="교대철근집계(당진방향)"/>
      <sheetName val="교대(당진방향)상세집계(A1)"/>
      <sheetName val="당진방향-교대(A1)"/>
      <sheetName val="날개벽(당진방향-시점)"/>
      <sheetName val="접속(당진방향,시점)"/>
      <sheetName val="옹벽(당진방향,A1)"/>
      <sheetName val="교대(당진방향)상세집계(A2)"/>
      <sheetName val="당진방향-교대(A2)"/>
      <sheetName val="날개벽(당진방향-종점)"/>
      <sheetName val="접속(당진방향,종점)"/>
      <sheetName val="옹벽(당진방향,A2)"/>
      <sheetName val="내역서적용수량"/>
      <sheetName val="타공종이기수량"/>
      <sheetName val="집계표"/>
      <sheetName val="토적집계표"/>
      <sheetName val="토공유동표"/>
      <sheetName val="토적표(LINE-1)"/>
      <sheetName val="토적표(LINE-2)"/>
      <sheetName val="사토"/>
      <sheetName val="줄파기단위수량"/>
      <sheetName val="폐기물처리"/>
      <sheetName val="구조물깨기및이설집계"/>
      <sheetName val="깨기및절단집계표"/>
      <sheetName val="기존포장깨기및절단(LINE-1)"/>
      <sheetName val="기존포장깨기및절단(LINE-2)"/>
      <sheetName val="흄관철거단위수량"/>
      <sheetName val="보차도경계석철거단위수량"/>
      <sheetName val="보차도경계석철거단위수량(2)"/>
      <sheetName val="보도경계석철거단위수량"/>
      <sheetName val="호안블럭철거단위수량"/>
      <sheetName val="빗물받이조서"/>
      <sheetName val="빗물받이철거단위수량"/>
      <sheetName val="이설수량(LINE-1-1)"/>
      <sheetName val="이설수량(LINE-1-2)"/>
      <sheetName val="이설수량(LINE-1-3)"/>
      <sheetName val="이설수량(LINE-2-1)"/>
      <sheetName val="이설수량(LINE-2-2)"/>
      <sheetName val="간이흙막이"/>
      <sheetName val="품질시험비"/>
      <sheetName val="관사급자재"/>
      <sheetName val="수량집계"/>
      <sheetName val="구조물수량집계"/>
      <sheetName val="철근집계"/>
      <sheetName val="침사지"/>
      <sheetName val="최초침전지"/>
      <sheetName val="DNR반응조"/>
      <sheetName val="최종침전지"/>
      <sheetName val="유입유량계실"/>
      <sheetName val="초침분배조"/>
      <sheetName val="UV소독조"/>
      <sheetName val="유출유량계실"/>
      <sheetName val="공동구"/>
      <sheetName val="옹벽"/>
      <sheetName val="교량공"/>
      <sheetName val="내역서"/>
      <sheetName val="총집"/>
      <sheetName val="관집"/>
      <sheetName val="횡설"/>
      <sheetName val="U형플륨집계"/>
      <sheetName val="플륨관마감"/>
      <sheetName val="플륨관"/>
      <sheetName val="횡배수평균터파기H"/>
      <sheetName val="BOX집계"/>
      <sheetName val="BOX수량"/>
      <sheetName val="잡석"/>
      <sheetName val="옹벽집계"/>
      <sheetName val="옹벽토공"/>
      <sheetName val="옹벽수량"/>
      <sheetName val="연장조서"/>
      <sheetName val="전단"/>
      <sheetName val="전집"/>
      <sheetName val="부대공자재"/>
      <sheetName val="자재집계표"/>
      <sheetName val="타공정이월"/>
      <sheetName val="표지판설치집계"/>
      <sheetName val="표지판 기초수량"/>
      <sheetName val="표지판기초수량산출근거"/>
      <sheetName val="시선유도시설집계"/>
      <sheetName val="시선유도수량산출"/>
      <sheetName val="차선도색수량집계표"/>
      <sheetName val="차선도색수량근거"/>
      <sheetName val="이단가드레일집계"/>
      <sheetName val="교툥안전시설"/>
      <sheetName val="목   차"/>
      <sheetName val="표지"/>
      <sheetName val="수량집계표"/>
      <sheetName val="내역적용수량"/>
      <sheetName val="구조물공수량총괄집계"/>
      <sheetName val="구조물공주요자재집계"/>
      <sheetName val="구조물공콘크리트,몰탈,그라우팅 집계표"/>
      <sheetName val="구조물시멘트및골재량산출"/>
      <sheetName val="철근집계표"/>
      <sheetName val="구조물철근집계표(고강)"/>
      <sheetName val="구조물철근집계표(연강)"/>
      <sheetName val="교대일반수량집계"/>
      <sheetName val="교각철근집계표"/>
      <sheetName val="슬래브철근집계표"/>
      <sheetName val="교각집계표"/>
      <sheetName val="슬래브"/>
      <sheetName val="교대철근집계"/>
      <sheetName val="접속슬래브철근집계"/>
      <sheetName val="접속집계"/>
      <sheetName val="접속시종점"/>
      <sheetName val="교각P1,2,6,7"/>
      <sheetName val="교각P4"/>
      <sheetName val="교각P3,5"/>
      <sheetName val="11.기타공"/>
      <sheetName val="laroux1"/>
      <sheetName val="기성연장"/>
      <sheetName val="수량산출서"/>
      <sheetName val="계산하기위한집계표"/>
      <sheetName val="내역적용(전체)"/>
      <sheetName val="터널공 (2)"/>
      <sheetName val="터널공"/>
      <sheetName val="steel rib (2)"/>
      <sheetName val="steel rib"/>
      <sheetName val="패턴 총괄"/>
      <sheetName val="패턴1총괄"/>
      <sheetName val="패턴1상행선"/>
      <sheetName val="패턴1하행선"/>
      <sheetName val="패턴2총괄"/>
      <sheetName val="패턴2상행선"/>
      <sheetName val="패턴2하행선"/>
      <sheetName val="패턴3총괄"/>
      <sheetName val="패턴3상행선"/>
      <sheetName val="패턴3하행선"/>
      <sheetName val="패턴4총괄"/>
      <sheetName val="패턴4상행선"/>
      <sheetName val="패턴4하행선"/>
      <sheetName val="패턴5총괄"/>
      <sheetName val="패턴5상행선"/>
      <sheetName val="패턴5하행선"/>
      <sheetName val="패턴6총괄"/>
      <sheetName val="패턴6상행선"/>
      <sheetName val="패턴6하행선"/>
      <sheetName val="비상주차대총괄"/>
      <sheetName val="비상주차대상행선"/>
      <sheetName val="비상주차대하행선"/>
      <sheetName val="피난연락갱총괄"/>
      <sheetName val="피난연락갱"/>
      <sheetName val="터널부대"/>
      <sheetName val="원형1호맨홀토공수량"/>
      <sheetName val="변경이유서"/>
      <sheetName val="적용대상교량"/>
      <sheetName val="INPUT"/>
      <sheetName val="가시설공(종점부2)"/>
      <sheetName val="SQJ(종점부2)"/>
      <sheetName val="제잡비"/>
      <sheetName val="실행"/>
      <sheetName val="투찰"/>
      <sheetName val="표지 (2)"/>
      <sheetName val="집계표(총괄)"/>
      <sheetName val="집계표(토목,비목별)"/>
      <sheetName val="집계표(토목)"/>
      <sheetName val="제잡비산출근거"/>
      <sheetName val="1공구(내역서)"/>
      <sheetName val="관급(1공구 )"/>
      <sheetName val="2-1공구"/>
      <sheetName val="2-2공구"/>
      <sheetName val="관급(2공구)"/>
      <sheetName val="건축(재경비)"/>
      <sheetName val="건축갑"/>
      <sheetName val="건축"/>
      <sheetName val="기계(재경비)"/>
      <sheetName val="기계갑"/>
      <sheetName val="기계설비"/>
      <sheetName val="표지(K1)"/>
      <sheetName val="집계표(K1,토목)"/>
      <sheetName val="1공구(K1)"/>
      <sheetName val="집계표(K1,2공구)"/>
      <sheetName val="집계표(K1,건축)"/>
      <sheetName val="집계표(K1,기계)"/>
      <sheetName val="표지(K2)"/>
      <sheetName val="집계표(K2,토목)"/>
      <sheetName val="1공구(K2)"/>
      <sheetName val="집계표(K2,2공구)"/>
      <sheetName val="집계표(K2,건축)"/>
      <sheetName val="집계표(K2,기계)"/>
      <sheetName val="설계설명서"/>
      <sheetName val="설계변경내용"/>
      <sheetName val="토목공사(수량증감대비표)"/>
      <sheetName val="1공구(수량증감대비표)"/>
      <sheetName val="단가조견표"/>
      <sheetName val="사업량"/>
      <sheetName val="공사비증감(전체)"/>
      <sheetName val="수량및공사비증감현황"/>
      <sheetName val="주요설계변경사항(전체)"/>
      <sheetName val="공사비증감(3차2회변경)"/>
      <sheetName val="수량및공사비증감현황(3차분2회변경)"/>
      <sheetName val="인건비"/>
      <sheetName val="자재일위(경)"/>
      <sheetName val="총괄표"/>
      <sheetName val="교각1"/>
      <sheetName val="단가"/>
      <sheetName val="대전-교대(A1-A2)"/>
      <sheetName val="설계서(본관)"/>
      <sheetName val="물가시세"/>
      <sheetName val="일위대가표"/>
      <sheetName val="AS포장복구 "/>
      <sheetName val="내역"/>
      <sheetName val="BID"/>
      <sheetName val="설계기준"/>
      <sheetName val="IGI-SU"/>
      <sheetName val="내역표지"/>
      <sheetName val="토적표"/>
      <sheetName val="배수공수집"/>
      <sheetName val="단위수량"/>
      <sheetName val="내역1"/>
      <sheetName val="중기사용료산출근거"/>
      <sheetName val="단가 및 재료비"/>
      <sheetName val="일위대가"/>
      <sheetName val="사급자재"/>
      <sheetName val="해평견적"/>
      <sheetName val="도급"/>
      <sheetName val="부대내역"/>
      <sheetName val="부대공집계표"/>
      <sheetName val="소비자가"/>
      <sheetName val="중기조종사 단위단가"/>
      <sheetName val="터파기및재료"/>
      <sheetName val="일(4)"/>
      <sheetName val="평가데이터"/>
      <sheetName val="정공공사"/>
      <sheetName val="실행대비"/>
      <sheetName val="다곡2교"/>
      <sheetName val="8. 안정검토"/>
      <sheetName val="3.바닥판설계"/>
      <sheetName val="SORCE1"/>
      <sheetName val="기둥(원형)"/>
      <sheetName val="입력란"/>
      <sheetName val="97노임단가"/>
      <sheetName val="상부공"/>
      <sheetName val="시점교대"/>
      <sheetName val="N賃率-職"/>
      <sheetName val="I一般比"/>
      <sheetName val="실행내역"/>
      <sheetName val="설직재-1"/>
      <sheetName val="대구-교대(A1)"/>
      <sheetName val="노임"/>
      <sheetName val="견적단가"/>
      <sheetName val="자재단가"/>
      <sheetName val="노임단가"/>
      <sheetName val="지수"/>
      <sheetName val="토사(PE)"/>
      <sheetName val="대로근거"/>
      <sheetName val="대창(함평)"/>
      <sheetName val="대창(장성)"/>
      <sheetName val="대창(함평)-창열"/>
      <sheetName val="건축내역서"/>
      <sheetName val="설비내역서"/>
      <sheetName val="전기내역서"/>
      <sheetName val="ABUT수량-A1"/>
      <sheetName val="단면치수"/>
      <sheetName val="제출내역 (2)"/>
      <sheetName val="기초단가"/>
      <sheetName val="1.설계조건"/>
      <sheetName val="0.단가"/>
      <sheetName val="기계경비산출기준"/>
      <sheetName val="결합부검토"/>
      <sheetName val="지급자재"/>
      <sheetName val="입력자료"/>
      <sheetName val="설계내역"/>
      <sheetName val="98수문일위"/>
      <sheetName val="중사"/>
      <sheetName val="도장 및 용접 수량"/>
      <sheetName val="공사비명세서"/>
      <sheetName val="STBOX"/>
      <sheetName val="환율"/>
      <sheetName val="T13(P68~72,78)"/>
      <sheetName val="용수개거 내역수량집계표"/>
      <sheetName val="전기"/>
      <sheetName val="기성내역"/>
      <sheetName val="INPUTDATA"/>
      <sheetName val="type-F"/>
      <sheetName val="준공조서갑지"/>
      <sheetName val="사  업  비  수  지  예  산  서"/>
      <sheetName val="정렬"/>
      <sheetName val="조명시설"/>
      <sheetName val="밸브설치"/>
      <sheetName val="원가"/>
      <sheetName val="데이타"/>
      <sheetName val="식재인부"/>
      <sheetName val="실행철강하도"/>
      <sheetName val="1단계"/>
      <sheetName val="배수장토목공사비"/>
      <sheetName val="수문일1"/>
      <sheetName val="우수받이"/>
      <sheetName val="기본단가표"/>
      <sheetName val="DATE"/>
      <sheetName val="관급"/>
      <sheetName val="날개벽수량표"/>
      <sheetName val="A-4"/>
      <sheetName val="자재단가비교표"/>
      <sheetName val="간선계산"/>
      <sheetName val="입찰안"/>
      <sheetName val="수량산출"/>
      <sheetName val="BOQ(전체)"/>
      <sheetName val="가도공"/>
      <sheetName val="소업1교"/>
      <sheetName val="가시설수량"/>
      <sheetName val="데리네이타현황"/>
      <sheetName val="SLAB&quot;1&quot;"/>
      <sheetName val="H-PILE수량집계"/>
      <sheetName val="3.하중산정4.지지력"/>
      <sheetName val="노무비단가"/>
      <sheetName val="적점"/>
      <sheetName val="치수표"/>
      <sheetName val="3련 BOX"/>
      <sheetName val="단가비교표"/>
      <sheetName val="교대(A1)"/>
      <sheetName val="견적서"/>
      <sheetName val="전력구구조물산근"/>
      <sheetName val="암거단위"/>
      <sheetName val="횡 연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 (4)"/>
      <sheetName val="토공총괄"/>
      <sheetName val="간지 (5)"/>
      <sheetName val="토집A"/>
      <sheetName val="A1-DA"/>
      <sheetName val="A2-DA"/>
      <sheetName val="A1-DJ"/>
      <sheetName val="A2-DJ"/>
      <sheetName val="간지 (6)"/>
      <sheetName val="토집P"/>
      <sheetName val="P1-DA"/>
      <sheetName val="P2-DA"/>
      <sheetName val="P3-DA"/>
      <sheetName val="P4-DA"/>
      <sheetName val="P1-DJ"/>
      <sheetName val="P2-DJ"/>
      <sheetName val="P3-DJ"/>
      <sheetName val="P4-DJ"/>
      <sheetName val="P5-DJ"/>
      <sheetName val="주형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근집계"/>
      <sheetName val="북후P1-일집-서후"/>
      <sheetName val="북후P1-토집-서후"/>
      <sheetName val="북후P1-일-서후"/>
      <sheetName val="북후P1-일집-평은"/>
      <sheetName val="북후P1-토집-평은"/>
      <sheetName val="북후P1-일-평은"/>
      <sheetName val="북후P2-일집-서후"/>
      <sheetName val="북후P2-토집-서후"/>
      <sheetName val="북후P2-일-서후"/>
      <sheetName val="북후P2-일집-평은"/>
      <sheetName val="북후P2-토집-평은"/>
      <sheetName val="북후P2-일-평은"/>
      <sheetName val="집계표"/>
      <sheetName val="북후1교-철근집계"/>
      <sheetName val="주be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근집계"/>
      <sheetName val="북후P1-일집-서후"/>
      <sheetName val="북후P1-토집-서후"/>
      <sheetName val="북후P1-일-서후"/>
      <sheetName val="북후P1-일집-평은"/>
      <sheetName val="북후P1-토집-평은"/>
      <sheetName val="북후P1-일-평은"/>
      <sheetName val="북후P2-일집-서후"/>
      <sheetName val="북후P2-토집-서후"/>
      <sheetName val="북후P2-일-서후"/>
      <sheetName val="북후P2-일집-평은"/>
      <sheetName val="북후P2-토집-평은"/>
      <sheetName val="북후P2-일-평은"/>
      <sheetName val="집계표"/>
      <sheetName val="북후1교-철근집계"/>
      <sheetName val="Sheet1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"/>
      <sheetName val="총괄집계(다곡2교)"/>
      <sheetName val="토공집계(다곡2교)"/>
      <sheetName val="총괄집계(다곡3교)"/>
      <sheetName val="토공집계(다곡3교)"/>
      <sheetName val="총괄집계(호성교)"/>
      <sheetName val="토공집계(호성교)"/>
      <sheetName val="총괄집계(봉곡교)"/>
      <sheetName val="토공집계(봉곡교)"/>
      <sheetName val="총괄집계(마산교)"/>
      <sheetName val="토공집계(마산교)"/>
      <sheetName val="총괄집계(갉곿교)"/>
      <sheetName val="XXXXXX"/>
      <sheetName val="산청"/>
      <sheetName val="수동"/>
      <sheetName val="30mpc본당수량"/>
      <sheetName val="1m당 (2)"/>
      <sheetName val="총괄"/>
      <sheetName val="Sheet1"/>
      <sheetName val="Sheet2"/>
      <sheetName val="Sheet3"/>
      <sheetName val="내역서적용수량"/>
      <sheetName val="부대공자재"/>
      <sheetName val="자재집계표"/>
      <sheetName val="타공정이월"/>
      <sheetName val="표지판설치집계"/>
      <sheetName val="표지판 기초수량"/>
      <sheetName val="표지판기초수량산출근거"/>
      <sheetName val="시선유도시설집계"/>
      <sheetName val="시선유도수량산출"/>
      <sheetName val="차선도색수량집계표"/>
      <sheetName val="차선도색수량근거"/>
      <sheetName val="이단가드레일집계"/>
      <sheetName val="교툥안전시설"/>
      <sheetName val="내역적용(전체)"/>
      <sheetName val="터널공총자재693"/>
      <sheetName val="시멘트및골재수랑지계표694"/>
      <sheetName val="콘크리트695"/>
      <sheetName val="총집계표"/>
      <sheetName val="BM개착"/>
      <sheetName val="(3-1)798"/>
      <sheetName val="(3-2)799"/>
      <sheetName val="800"/>
      <sheetName val="801"/>
      <sheetName val="802"/>
      <sheetName val="803"/>
      <sheetName val="(4-1)822"/>
      <sheetName val="(4-2)823"/>
      <sheetName val="824"/>
      <sheetName val="825"/>
      <sheetName val="826"/>
      <sheetName val="827"/>
      <sheetName val="(6-1)872"/>
      <sheetName val="(6-2)873"/>
      <sheetName val="874"/>
      <sheetName val="875"/>
      <sheetName val="876"/>
      <sheetName val="877"/>
      <sheetName val="본선수량총괄집계표"/>
      <sheetName val="토공수량총괄집계표"/>
      <sheetName val="교대(A1)"/>
      <sheetName val="품질시험비"/>
      <sheetName val="관사급자재"/>
      <sheetName val="수량집계"/>
      <sheetName val="구조물수량집계"/>
      <sheetName val="철근집계"/>
      <sheetName val="침사지"/>
      <sheetName val="최초침전지"/>
      <sheetName val="DNR반응조"/>
      <sheetName val="최종침전지"/>
      <sheetName val="유입유량계실"/>
      <sheetName val="초침분배조"/>
      <sheetName val="UV소독조"/>
      <sheetName val="유출유량계실"/>
      <sheetName val="공동구"/>
      <sheetName val="옹벽"/>
      <sheetName val="교량공"/>
      <sheetName val="laroux"/>
      <sheetName val="내역서"/>
      <sheetName val="총집"/>
      <sheetName val="관집"/>
      <sheetName val="횡설"/>
      <sheetName val="U형플륨집계"/>
      <sheetName val="플륨관마감"/>
      <sheetName val="플륨관"/>
      <sheetName val="횡배수평균터파기H"/>
      <sheetName val="BOX집계"/>
      <sheetName val="BOX수량"/>
      <sheetName val="잡석"/>
      <sheetName val="옹벽집계"/>
      <sheetName val="옹벽토공"/>
      <sheetName val="옹벽수량"/>
      <sheetName val="연장조서"/>
      <sheetName val="전단"/>
      <sheetName val="전집"/>
      <sheetName val="공사비증감현황(감본사)"/>
      <sheetName val="표지"/>
      <sheetName val="설계설명서"/>
      <sheetName val="주요물량"/>
      <sheetName val="자재"/>
      <sheetName val="공사기간,변경조건"/>
      <sheetName val="공정표"/>
      <sheetName val="표지-1"/>
      <sheetName val="표지-1 (2)"/>
      <sheetName val="표지-1 (3)"/>
      <sheetName val="내역갑"/>
      <sheetName val="산출내역"/>
      <sheetName val="내역"/>
      <sheetName val="군통신"/>
      <sheetName val="관급자재대,보상비"/>
      <sheetName val="공사비증감현황(실정보고자료)"/>
      <sheetName val="수량증감현황(실정보고자료)"/>
      <sheetName val="딱지"/>
      <sheetName val="Sheet4"/>
      <sheetName val="집계표"/>
      <sheetName val="45,46"/>
      <sheetName val="#REF"/>
      <sheetName val="자재일람"/>
      <sheetName val="슬래브"/>
      <sheetName val="철근수량집계표"/>
      <sheetName val="상선(SS1~25)슬래브1"/>
      <sheetName val="상선(SS26)"/>
      <sheetName val="다곡2교"/>
      <sheetName val="토공집계"/>
      <sheetName val="부산 시점"/>
      <sheetName val="부산 종점"/>
      <sheetName val="창원 시점"/>
      <sheetName val="창원 종점"/>
      <sheetName val="갑지"/>
      <sheetName val="계약"/>
      <sheetName val="기초및구체공"/>
      <sheetName val="상-교대(A1-A2)"/>
      <sheetName val="플랜트 설치"/>
      <sheetName val="Sheet1 (2)"/>
      <sheetName val="DATE"/>
      <sheetName val="목포방향"/>
      <sheetName val="BOQ(전체)"/>
      <sheetName val="터파기및재료"/>
      <sheetName val="Macro1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 (4)"/>
      <sheetName val="토공총괄"/>
      <sheetName val="간지 (5)"/>
      <sheetName val="토집A"/>
      <sheetName val="A1"/>
      <sheetName val="A2"/>
      <sheetName val="간지 (6)"/>
      <sheetName val="토집P"/>
      <sheetName val="P1"/>
      <sheetName val="P2"/>
      <sheetName val="P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집계"/>
      <sheetName val="A1일반"/>
      <sheetName val="A1-날개벽1"/>
      <sheetName val="A1-날개벽2"/>
      <sheetName val="A1-APP"/>
      <sheetName val="토공집계"/>
      <sheetName val="토공"/>
      <sheetName val="2.단면가정"/>
      <sheetName val="다곡2교"/>
      <sheetName val="산출근거(S4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옹벽집계"/>
      <sheetName val="BLOCK(1)"/>
      <sheetName val="BLOCK(2)"/>
      <sheetName val="BLOCK(3)"/>
      <sheetName val="BLOCK(4)"/>
      <sheetName val="바닥판(1)"/>
      <sheetName val="3BL공동구 수량"/>
      <sheetName val="설계조건"/>
      <sheetName val="안정계산"/>
      <sheetName val="단면검토"/>
      <sheetName val="고창방향"/>
      <sheetName val="교각1"/>
      <sheetName val="내역1"/>
      <sheetName val="소업1교"/>
      <sheetName val="본체"/>
      <sheetName val="COPING"/>
      <sheetName val="날개벽"/>
      <sheetName val="가도공"/>
      <sheetName val="슬래브"/>
    </sheetNames>
    <sheetDataSet>
      <sheetData sheetId="0"/>
      <sheetData sheetId="1" refreshError="1">
        <row r="33">
          <cell r="D33">
            <v>3.6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"/>
      <sheetName val="토공집계"/>
      <sheetName val="RAMP-A교"/>
      <sheetName val="시점(우)-날개벽"/>
      <sheetName val="시점(좌)-날개벽"/>
      <sheetName val="종점(우)-날개벽"/>
      <sheetName val="종점(좌)-날개벽"/>
      <sheetName val="옹벽집계"/>
      <sheetName val="옹벽(1-1)"/>
      <sheetName val="옹벽(1-2)"/>
      <sheetName val="옹벽(2-1)"/>
      <sheetName val="옹벽(2-2)"/>
      <sheetName val="옹벽(3-1)"/>
      <sheetName val="옹벽(3-2)"/>
      <sheetName val="옹벽(4-1)"/>
      <sheetName val="옹벽(4-2)"/>
      <sheetName val="토공"/>
      <sheetName val="#REF"/>
      <sheetName val="BLOCK(1)"/>
      <sheetName val="Sheet1"/>
      <sheetName val="교각1"/>
      <sheetName val="우각부보강"/>
      <sheetName val="본체"/>
      <sheetName val="우수공"/>
      <sheetName val="왕십리방향"/>
      <sheetName val="가도공"/>
      <sheetName val="5.단면설계"/>
      <sheetName val="2.단면가정 "/>
      <sheetName val="통합"/>
      <sheetName val="부대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철근집계"/>
      <sheetName val="일반수량집계"/>
      <sheetName val="3-3본체"/>
      <sheetName val="중3-3날개벽"/>
      <sheetName val="중3-3접속 슬래브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내측입력"/>
      <sheetName val="외측입력"/>
      <sheetName val="내측결과"/>
      <sheetName val="외측결과"/>
      <sheetName val="목차"/>
      <sheetName val="단면가정"/>
      <sheetName val="슬래브"/>
      <sheetName val="설계조건"/>
      <sheetName val="사용성검토 "/>
      <sheetName val="주beam"/>
      <sheetName val="활하중 집계"/>
      <sheetName val="단면력 집계"/>
      <sheetName val="휨응력"/>
      <sheetName val="시공단계별응력"/>
      <sheetName val="PRESTRESS "/>
      <sheetName val="연결부설계"/>
      <sheetName val="가로보설계"/>
      <sheetName val="SHOE용량산정"/>
      <sheetName val="신축량산정(2연속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표지"/>
      <sheetName val="내역서"/>
      <sheetName val="주요(총괄)"/>
      <sheetName val="구조물공주요"/>
      <sheetName val="타설"/>
      <sheetName val="이기"/>
      <sheetName val="토공(총괄)"/>
      <sheetName val="총괄집계"/>
      <sheetName val="철근총괄"/>
      <sheetName val="토공집계"/>
      <sheetName val="시점부토공"/>
      <sheetName val="종점부토공"/>
      <sheetName val="깨기수량"/>
      <sheetName val="일반집계"/>
      <sheetName val="철근집계"/>
      <sheetName val="라멘"/>
      <sheetName val="라멘 (2)"/>
      <sheetName val="교명주"/>
      <sheetName val="주beam"/>
      <sheetName val="단면가정"/>
      <sheetName val="부재력정리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대문 내부EV(부대공)BOQ"/>
      <sheetName val="동대문 내부(부대공) -EV(1)"/>
      <sheetName val="동대문 내부(부대공) -EV(2)"/>
    </sheetNames>
    <sheetDataSet>
      <sheetData sheetId="0"/>
      <sheetData sheetId="1"/>
      <sheetData sheetId="2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본체"/>
      <sheetName val="사용성검토"/>
      <sheetName val="상판벽체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  <sheetName val="TYPE-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본체"/>
      <sheetName val="변단면집계"/>
      <sheetName val="가도공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설계조건"/>
      <sheetName val="2.단면가정"/>
      <sheetName val="3.하중계산"/>
      <sheetName val="4.모델링"/>
      <sheetName val="5.하중재하"/>
      <sheetName val="6.단면력도"/>
      <sheetName val="7.단면력 집계"/>
      <sheetName val="8.단면검토"/>
      <sheetName val="9.연결부 검토"/>
      <sheetName val="10.지반지지력 검토"/>
    </sheetNames>
    <sheetDataSet>
      <sheetData sheetId="0"/>
      <sheetData sheetId="1"/>
      <sheetData sheetId="2"/>
      <sheetData sheetId="3" refreshError="1">
        <row r="14">
          <cell r="AN14">
            <v>14</v>
          </cell>
          <cell r="AP14">
            <v>26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수량집계표"/>
      <sheetName val="상선"/>
      <sheetName val="하선"/>
      <sheetName val="2.단면가정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갈전7교 교량 일반수량 집계표 표지"/>
      <sheetName val="갈전7교 교량 일반수량 집계표"/>
      <sheetName val="갈전7교 교량 철근수량 집계표"/>
      <sheetName val="갈전7교 본체 일반수량 집계표"/>
      <sheetName val="갈전7교 본체 산출근거"/>
      <sheetName val="갈전7교 방호벽 일반수량 집계표"/>
      <sheetName val="갈전7교 난간기초(L1) 산출근거"/>
      <sheetName val="갈전7교 난간기초(L4) 산출근거"/>
      <sheetName val="갈전7교 접속슬래브 일반수량 집계표"/>
      <sheetName val="갈전7교 시점 접속슬래브 산출근거"/>
      <sheetName val="갈전7교 종점 접속슬래브 산출근거"/>
    </sheetNames>
    <sheetDataSet>
      <sheetData sheetId="0"/>
      <sheetData sheetId="1">
        <row r="3">
          <cell r="H3">
            <v>464.94</v>
          </cell>
        </row>
        <row r="4">
          <cell r="I4">
            <v>963.06700000000001</v>
          </cell>
        </row>
        <row r="6">
          <cell r="H6">
            <v>81.367999999999995</v>
          </cell>
        </row>
        <row r="9">
          <cell r="H9">
            <v>28.209</v>
          </cell>
        </row>
        <row r="10">
          <cell r="H10">
            <v>38.465000000000003</v>
          </cell>
        </row>
        <row r="11">
          <cell r="I11">
            <v>1492.6289999999999</v>
          </cell>
        </row>
        <row r="15">
          <cell r="H15">
            <v>2245.0569999999998</v>
          </cell>
        </row>
        <row r="16">
          <cell r="H16">
            <v>200</v>
          </cell>
        </row>
        <row r="17">
          <cell r="H17">
            <v>739.88300000000004</v>
          </cell>
        </row>
        <row r="18">
          <cell r="H18">
            <v>1142.713</v>
          </cell>
        </row>
        <row r="19">
          <cell r="H19">
            <v>1111.9380000000001</v>
          </cell>
        </row>
        <row r="20">
          <cell r="H20">
            <v>507.22500000000002</v>
          </cell>
        </row>
        <row r="21">
          <cell r="H21">
            <v>359.113</v>
          </cell>
        </row>
        <row r="22">
          <cell r="H22">
            <v>672.47400000000005</v>
          </cell>
        </row>
        <row r="23">
          <cell r="H23">
            <v>23.267000000000003</v>
          </cell>
        </row>
        <row r="25">
          <cell r="H25">
            <v>145.93700000000001</v>
          </cell>
        </row>
        <row r="28">
          <cell r="H28">
            <v>507.22500000000002</v>
          </cell>
        </row>
        <row r="29">
          <cell r="H29">
            <v>507.22500000000002</v>
          </cell>
        </row>
        <row r="30">
          <cell r="H30">
            <v>760.83799999999997</v>
          </cell>
        </row>
        <row r="31">
          <cell r="H31">
            <v>507.22500000000002</v>
          </cell>
        </row>
        <row r="32">
          <cell r="H32">
            <v>1</v>
          </cell>
        </row>
        <row r="33">
          <cell r="H33">
            <v>1</v>
          </cell>
        </row>
        <row r="34">
          <cell r="H34">
            <v>1</v>
          </cell>
        </row>
        <row r="35">
          <cell r="H35">
            <v>32.064999999999998</v>
          </cell>
        </row>
        <row r="36">
          <cell r="H36">
            <v>4</v>
          </cell>
        </row>
        <row r="37">
          <cell r="H37">
            <v>4</v>
          </cell>
        </row>
        <row r="38">
          <cell r="H38">
            <v>86</v>
          </cell>
        </row>
        <row r="39">
          <cell r="H39">
            <v>32.58</v>
          </cell>
        </row>
        <row r="40">
          <cell r="H40">
            <v>35.704000000000001</v>
          </cell>
        </row>
        <row r="41">
          <cell r="H41">
            <v>5021.5200000000004</v>
          </cell>
        </row>
        <row r="42">
          <cell r="H42">
            <v>4582.3</v>
          </cell>
        </row>
        <row r="43">
          <cell r="H43">
            <v>101.7</v>
          </cell>
        </row>
        <row r="44">
          <cell r="H44">
            <v>56.9</v>
          </cell>
        </row>
        <row r="45">
          <cell r="H45">
            <v>838.35900000000004</v>
          </cell>
        </row>
        <row r="46">
          <cell r="H46">
            <v>126.474</v>
          </cell>
        </row>
        <row r="47">
          <cell r="H47">
            <v>208</v>
          </cell>
        </row>
        <row r="48">
          <cell r="H48">
            <v>208</v>
          </cell>
        </row>
        <row r="49">
          <cell r="H49">
            <v>2</v>
          </cell>
        </row>
        <row r="50">
          <cell r="H50">
            <v>6</v>
          </cell>
        </row>
        <row r="51">
          <cell r="H51">
            <v>6</v>
          </cell>
        </row>
        <row r="52">
          <cell r="H52">
            <v>6</v>
          </cell>
        </row>
        <row r="55">
          <cell r="H55">
            <v>331.95299999999997</v>
          </cell>
        </row>
      </sheetData>
      <sheetData sheetId="2">
        <row r="17">
          <cell r="M17">
            <v>60.944000000000003</v>
          </cell>
        </row>
        <row r="19">
          <cell r="M19">
            <v>51.283999999999999</v>
          </cell>
        </row>
        <row r="21">
          <cell r="M21">
            <v>20.417999999999999</v>
          </cell>
        </row>
        <row r="23">
          <cell r="M23">
            <v>30.885000000000002</v>
          </cell>
        </row>
        <row r="25">
          <cell r="M25">
            <v>5.6760000000000002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수량 토공 집계표"/>
      <sheetName val="시점측 토공 산출근거"/>
      <sheetName val="종점측 토공 산출근거"/>
      <sheetName val="Sheet1"/>
    </sheetNames>
    <sheetDataSet>
      <sheetData sheetId="0">
        <row r="3">
          <cell r="G3">
            <v>1748.1309999999999</v>
          </cell>
        </row>
        <row r="4">
          <cell r="G4">
            <v>3111.0600000000004</v>
          </cell>
        </row>
        <row r="5">
          <cell r="G5">
            <v>334.53899999999999</v>
          </cell>
        </row>
        <row r="6">
          <cell r="G6">
            <v>433.572</v>
          </cell>
        </row>
        <row r="7">
          <cell r="G7">
            <v>1199.905</v>
          </cell>
        </row>
        <row r="8">
          <cell r="G8">
            <v>3818.1849999999999</v>
          </cell>
        </row>
        <row r="9">
          <cell r="G9">
            <v>1375.5450000000001</v>
          </cell>
        </row>
        <row r="10">
          <cell r="G10">
            <v>486.58300000000003</v>
          </cell>
        </row>
        <row r="11">
          <cell r="G11">
            <v>291.05799999999999</v>
          </cell>
        </row>
      </sheetData>
      <sheetData sheetId="1"/>
      <sheetData sheetId="2"/>
      <sheetData sheetId="3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간지"/>
      <sheetName val="간지(가축도)"/>
      <sheetName val="가축도집계"/>
      <sheetName val="갈전7교"/>
    </sheetNames>
    <sheetDataSet>
      <sheetData sheetId="0"/>
      <sheetData sheetId="1"/>
      <sheetData sheetId="2">
        <row r="4">
          <cell r="G4">
            <v>242</v>
          </cell>
        </row>
        <row r="5">
          <cell r="G5">
            <v>114</v>
          </cell>
        </row>
        <row r="6">
          <cell r="G6">
            <v>38.5</v>
          </cell>
        </row>
        <row r="7">
          <cell r="G7">
            <v>33</v>
          </cell>
        </row>
        <row r="9">
          <cell r="G9">
            <v>242</v>
          </cell>
        </row>
      </sheetData>
      <sheetData sheetId="3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0-1)가시설 수량 집계표"/>
      <sheetName val="0-2) 가시설 자재 집계표"/>
      <sheetName val="시점"/>
      <sheetName val="종점"/>
    </sheetNames>
    <sheetDataSet>
      <sheetData sheetId="0"/>
      <sheetData sheetId="1">
        <row r="19">
          <cell r="H19">
            <v>6888.84</v>
          </cell>
        </row>
        <row r="21">
          <cell r="H21">
            <v>6888.84</v>
          </cell>
        </row>
        <row r="22">
          <cell r="H22">
            <v>2</v>
          </cell>
        </row>
        <row r="23">
          <cell r="H23">
            <v>2</v>
          </cell>
        </row>
        <row r="24">
          <cell r="H24">
            <v>22</v>
          </cell>
        </row>
        <row r="25">
          <cell r="H25">
            <v>6888.84</v>
          </cell>
        </row>
        <row r="26">
          <cell r="H26">
            <v>8</v>
          </cell>
        </row>
        <row r="30">
          <cell r="H30">
            <v>8</v>
          </cell>
        </row>
        <row r="31">
          <cell r="H31">
            <v>32</v>
          </cell>
        </row>
        <row r="33">
          <cell r="H33">
            <v>24</v>
          </cell>
        </row>
        <row r="34">
          <cell r="H34">
            <v>16</v>
          </cell>
        </row>
        <row r="36">
          <cell r="H36">
            <v>144</v>
          </cell>
        </row>
        <row r="37">
          <cell r="H37">
            <v>72</v>
          </cell>
        </row>
        <row r="38">
          <cell r="H38">
            <v>72</v>
          </cell>
        </row>
        <row r="39">
          <cell r="H39">
            <v>16</v>
          </cell>
        </row>
        <row r="40">
          <cell r="H40">
            <v>16</v>
          </cell>
        </row>
        <row r="41">
          <cell r="H41">
            <v>16</v>
          </cell>
        </row>
        <row r="42">
          <cell r="H42">
            <v>88</v>
          </cell>
        </row>
        <row r="43">
          <cell r="H43">
            <v>16</v>
          </cell>
        </row>
        <row r="44">
          <cell r="H44">
            <v>16</v>
          </cell>
        </row>
        <row r="46">
          <cell r="H46">
            <v>195</v>
          </cell>
        </row>
        <row r="47">
          <cell r="H47">
            <v>752</v>
          </cell>
        </row>
        <row r="48">
          <cell r="H48">
            <v>8</v>
          </cell>
        </row>
        <row r="49">
          <cell r="H49">
            <v>64</v>
          </cell>
        </row>
        <row r="53">
          <cell r="H53">
            <v>6.1980000000000004</v>
          </cell>
        </row>
        <row r="54">
          <cell r="H54">
            <v>104.22199999999999</v>
          </cell>
        </row>
        <row r="55">
          <cell r="H55">
            <v>458.89100000000002</v>
          </cell>
        </row>
        <row r="56">
          <cell r="H56">
            <v>3.089</v>
          </cell>
        </row>
        <row r="57">
          <cell r="H57">
            <v>3.6539999999999999</v>
          </cell>
        </row>
        <row r="58">
          <cell r="H58">
            <v>1.1200000000000001</v>
          </cell>
        </row>
        <row r="59">
          <cell r="H59">
            <v>14.507999999999999</v>
          </cell>
        </row>
        <row r="67">
          <cell r="H67">
            <v>8</v>
          </cell>
        </row>
        <row r="68">
          <cell r="H68">
            <v>8</v>
          </cell>
        </row>
        <row r="69">
          <cell r="H69">
            <v>28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FF00"/>
  </sheetPr>
  <dimension ref="D2:AB13"/>
  <sheetViews>
    <sheetView showZeros="0" view="pageBreakPreview" zoomScale="60" zoomScaleNormal="100" workbookViewId="0">
      <selection activeCell="Z5" sqref="Z5"/>
    </sheetView>
  </sheetViews>
  <sheetFormatPr defaultColWidth="3.77734375" defaultRowHeight="15" customHeight="1"/>
  <cols>
    <col min="1" max="16384" width="3.77734375" style="4"/>
  </cols>
  <sheetData>
    <row r="2" spans="4:28" ht="15" customHeight="1" thickBot="1"/>
    <row r="3" spans="4:28" ht="15" customHeight="1" thickTop="1">
      <c r="X3" s="4" t="s">
        <v>247</v>
      </c>
      <c r="Z3" s="500" t="s">
        <v>1061</v>
      </c>
      <c r="AA3" s="501"/>
      <c r="AB3" s="502"/>
    </row>
    <row r="4" spans="4:28" ht="15" customHeight="1" thickBot="1">
      <c r="Z4" s="503"/>
      <c r="AA4" s="504"/>
      <c r="AB4" s="505"/>
    </row>
    <row r="5" spans="4:28" ht="15" customHeight="1" thickTop="1"/>
    <row r="10" spans="4:28" ht="15" customHeight="1">
      <c r="D10" s="494" t="str">
        <f>Z3</f>
        <v>갈전7교</v>
      </c>
      <c r="E10" s="495"/>
      <c r="F10" s="495"/>
      <c r="G10" s="495"/>
      <c r="H10" s="495"/>
      <c r="I10" s="495"/>
      <c r="J10" s="495"/>
      <c r="K10" s="495"/>
      <c r="L10" s="495"/>
      <c r="M10" s="495"/>
      <c r="N10" s="495"/>
      <c r="O10" s="495"/>
      <c r="P10" s="495"/>
      <c r="Q10" s="495"/>
      <c r="R10" s="496"/>
    </row>
    <row r="11" spans="4:28" ht="15" customHeight="1">
      <c r="D11" s="497"/>
      <c r="E11" s="498"/>
      <c r="F11" s="498"/>
      <c r="G11" s="498"/>
      <c r="H11" s="498"/>
      <c r="I11" s="498"/>
      <c r="J11" s="498"/>
      <c r="K11" s="498"/>
      <c r="L11" s="498"/>
      <c r="M11" s="498"/>
      <c r="N11" s="498"/>
      <c r="O11" s="498"/>
      <c r="P11" s="498"/>
      <c r="Q11" s="498"/>
      <c r="R11" s="499"/>
    </row>
    <row r="12" spans="4:28" ht="15" customHeight="1">
      <c r="D12" s="497"/>
      <c r="E12" s="498"/>
      <c r="F12" s="498"/>
      <c r="G12" s="498"/>
      <c r="H12" s="498"/>
      <c r="I12" s="498"/>
      <c r="J12" s="498"/>
      <c r="K12" s="498"/>
      <c r="L12" s="498"/>
      <c r="M12" s="498"/>
      <c r="N12" s="498"/>
      <c r="O12" s="498"/>
      <c r="P12" s="498"/>
      <c r="Q12" s="498"/>
      <c r="R12" s="499"/>
    </row>
    <row r="13" spans="4:28" ht="15" customHeight="1">
      <c r="D13" s="497"/>
      <c r="E13" s="498"/>
      <c r="F13" s="498"/>
      <c r="G13" s="498"/>
      <c r="H13" s="498"/>
      <c r="I13" s="498"/>
      <c r="J13" s="498"/>
      <c r="K13" s="498"/>
      <c r="L13" s="498"/>
      <c r="M13" s="498"/>
      <c r="N13" s="498"/>
      <c r="O13" s="498"/>
      <c r="P13" s="498"/>
      <c r="Q13" s="498"/>
      <c r="R13" s="499"/>
    </row>
  </sheetData>
  <mergeCells count="2">
    <mergeCell ref="D10:R13"/>
    <mergeCell ref="Z3:AB4"/>
  </mergeCells>
  <phoneticPr fontId="21" type="noConversion"/>
  <pageMargins left="0.51181102362204722" right="0.51181102362204722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Y701"/>
  <sheetViews>
    <sheetView showZeros="0" view="pageBreakPreview" zoomScale="60" zoomScaleNormal="100" workbookViewId="0">
      <selection activeCell="AR11" sqref="AR11"/>
    </sheetView>
  </sheetViews>
  <sheetFormatPr defaultRowHeight="13.5"/>
  <cols>
    <col min="1" max="25" width="2.77734375" style="3" customWidth="1"/>
    <col min="26" max="16384" width="8.88671875" style="3"/>
  </cols>
  <sheetData>
    <row r="1" spans="1:25" ht="20.100000000000001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0.10000000000000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10000000000000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0.10000000000000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0.10000000000000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0.10000000000000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0.10000000000000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0.100000000000001" customHeight="1">
      <c r="A8" s="506" t="s">
        <v>244</v>
      </c>
      <c r="B8" s="507"/>
      <c r="C8" s="507"/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7"/>
      <c r="U8" s="507"/>
      <c r="V8" s="507"/>
      <c r="W8" s="507"/>
      <c r="X8" s="507"/>
      <c r="Y8" s="507"/>
    </row>
    <row r="9" spans="1:25" ht="20.100000000000001" customHeight="1">
      <c r="A9" s="507"/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</row>
    <row r="10" spans="1:25" ht="20.100000000000001" customHeight="1">
      <c r="A10" s="507"/>
      <c r="B10" s="507"/>
      <c r="C10" s="507"/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</row>
    <row r="11" spans="1:25" ht="20.100000000000001" customHeight="1">
      <c r="A11" s="507"/>
      <c r="B11" s="507"/>
      <c r="C11" s="507"/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</row>
    <row r="12" spans="1:25" ht="20.10000000000000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10000000000000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0.10000000000000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0.10000000000000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0.10000000000000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0.10000000000000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0.10000000000000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0.10000000000000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0.10000000000000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0.10000000000000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0.10000000000000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0.10000000000000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0.10000000000000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0.10000000000000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0.10000000000000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0.10000000000000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0.10000000000000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0.10000000000000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.10000000000000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0.10000000000000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.10000000000000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0.10000000000000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0.10000000000000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0.10000000000000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0.10000000000000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0.10000000000000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0.10000000000000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0.10000000000000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0.10000000000000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0.10000000000000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0.10000000000000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0.10000000000000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0.10000000000000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0.10000000000000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0.10000000000000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0.10000000000000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0.10000000000000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0.10000000000000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0.10000000000000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0.10000000000000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0.10000000000000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0.10000000000000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0.10000000000000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0.10000000000000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.10000000000000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.10000000000000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0.10000000000000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0.10000000000000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0.10000000000000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0.10000000000000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0.10000000000000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0.10000000000000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0.10000000000000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0.10000000000000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0.10000000000000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0.10000000000000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0.10000000000000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0.10000000000000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0.10000000000000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0.10000000000000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0.10000000000000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0.10000000000000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0.10000000000000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0.10000000000000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0.10000000000000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0.10000000000000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0.10000000000000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0.10000000000000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0.10000000000000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0.10000000000000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0.10000000000000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0.10000000000000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0.10000000000000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0.10000000000000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0.10000000000000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0.10000000000000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0.10000000000000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0.10000000000000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0.10000000000000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0.10000000000000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0.10000000000000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0.10000000000000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0.10000000000000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0.10000000000000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0.10000000000000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0.10000000000000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0.10000000000000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0.10000000000000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0.10000000000000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0.10000000000000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0.10000000000000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0.10000000000000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0.10000000000000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0.10000000000000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0.10000000000000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0.10000000000000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0.10000000000000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0.10000000000000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0.10000000000000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0.10000000000000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0.10000000000000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0.10000000000000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0.10000000000000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0.10000000000000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0.10000000000000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0.10000000000000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0.10000000000000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0.10000000000000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0.10000000000000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0.10000000000000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0.10000000000000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0.10000000000000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0.10000000000000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0.10000000000000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0.10000000000000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0.10000000000000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0.10000000000000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0.100000000000001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0.10000000000000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0.10000000000000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0.10000000000000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0.10000000000000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0.100000000000001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0.100000000000001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.100000000000001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0.100000000000001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0.100000000000001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0.10000000000000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0.10000000000000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0.10000000000000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0.100000000000001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0.10000000000000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0.10000000000000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0.10000000000000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0.10000000000000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0.100000000000001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0.10000000000000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0.10000000000000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0.100000000000001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0.10000000000000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0.10000000000000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0.10000000000000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0.10000000000000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0.100000000000001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0.10000000000000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0.10000000000000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0.100000000000001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0.10000000000000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0.10000000000000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0.10000000000000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0.10000000000000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0.100000000000001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0.10000000000000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.10000000000000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0.100000000000001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0.10000000000000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0.10000000000000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0.10000000000000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0.10000000000000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0.100000000000001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0.10000000000000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0.10000000000000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0.100000000000001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0.100000000000001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0.100000000000001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0.100000000000001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0.100000000000001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0.10000000000000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0.10000000000000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0.10000000000000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0.10000000000000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0.100000000000001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0.10000000000000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0.100000000000001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0.100000000000001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0.100000000000001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0.100000000000001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0.100000000000001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0.100000000000001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0.100000000000001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0.100000000000001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0.100000000000001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0.100000000000001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0.100000000000001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0.100000000000001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0.100000000000001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0.100000000000001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0.100000000000001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0.100000000000001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0.10000000000000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0.100000000000001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0.100000000000001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0.100000000000001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0.100000000000001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0.100000000000001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0.100000000000001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0.100000000000001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0.100000000000001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0.100000000000001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0.100000000000001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0.100000000000001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0.100000000000001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0.100000000000001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0.100000000000001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0.100000000000001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0.10000000000000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0.10000000000000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0.10000000000000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0.100000000000001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0.100000000000001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0.10000000000000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0.100000000000001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0.100000000000001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0.100000000000001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0.10000000000000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0.10000000000000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0.100000000000001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0.100000000000001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0.100000000000001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0.100000000000001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0.100000000000001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0.100000000000001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0.100000000000001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0.100000000000001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0.100000000000001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0.100000000000001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0.100000000000001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0.100000000000001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0.100000000000001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0.100000000000001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0.100000000000001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0.100000000000001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0.100000000000001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0.100000000000001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0.100000000000001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0.100000000000001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0.100000000000001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0.100000000000001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0.100000000000001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0.100000000000001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0.100000000000001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0.100000000000001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0.10000000000000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0.100000000000001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0.100000000000001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0.100000000000001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0.100000000000001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0.100000000000001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0.100000000000001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0.100000000000001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0.10000000000000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0.100000000000001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0.10000000000000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0.100000000000001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0.100000000000001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0.100000000000001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0.100000000000001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0.100000000000001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0.100000000000001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0.10000000000000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0.100000000000001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0.100000000000001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0.100000000000001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0.100000000000001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0.100000000000001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0.100000000000001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0.100000000000001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0.100000000000001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0.100000000000001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0.100000000000001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0.100000000000001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0.100000000000001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0.100000000000001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0.100000000000001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0.100000000000001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0.100000000000001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0.100000000000001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0.100000000000001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0.100000000000001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0.100000000000001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0.100000000000001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0.100000000000001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0.100000000000001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0.100000000000001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0.100000000000001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0.100000000000001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0.100000000000001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0.100000000000001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0.100000000000001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0.100000000000001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0.100000000000001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0.100000000000001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0.100000000000001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0.100000000000001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0.10000000000000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0.100000000000001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0.100000000000001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0.100000000000001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0.100000000000001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0.100000000000001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0.100000000000001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0.100000000000001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0.100000000000001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0.100000000000001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0.100000000000001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0.100000000000001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0.10000000000000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0.100000000000001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0.100000000000001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0.100000000000001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0.100000000000001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0.100000000000001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0.100000000000001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0.100000000000001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0.100000000000001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0.100000000000001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0.100000000000001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0.100000000000001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0.100000000000001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0.100000000000001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0.100000000000001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0.100000000000001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0.100000000000001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0.100000000000001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0.100000000000001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0.100000000000001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0.10000000000000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0.100000000000001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0.100000000000001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0.100000000000001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0.100000000000001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0.100000000000001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0.100000000000001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0.100000000000001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0.100000000000001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0.100000000000001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0.100000000000001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0.100000000000001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0.100000000000001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0.100000000000001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0.100000000000001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0.100000000000001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0.100000000000001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0.100000000000001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0.100000000000001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0.100000000000001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0.100000000000001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0.100000000000001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0.100000000000001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0.10000000000000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0.100000000000001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0.100000000000001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0.100000000000001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0.100000000000001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0.100000000000001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0.100000000000001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0.100000000000001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0.100000000000001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0.100000000000001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0.100000000000001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0.100000000000001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0.100000000000001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0.100000000000001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0.100000000000001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0.100000000000001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0.100000000000001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0.10000000000000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0.100000000000001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0.100000000000001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0.100000000000001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0.100000000000001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0.100000000000001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0.100000000000001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0.100000000000001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0.100000000000001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0.100000000000001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0.100000000000001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0.100000000000001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0.100000000000001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0.100000000000001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0.100000000000001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0.100000000000001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0.100000000000001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0.100000000000001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0.100000000000001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0.100000000000001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0.100000000000001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0.100000000000001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0.100000000000001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0.100000000000001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0.100000000000001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0.100000000000001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0.100000000000001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0.10000000000000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0.100000000000001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0.100000000000001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0.100000000000001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0.100000000000001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0.100000000000001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0.100000000000001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0.100000000000001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0.100000000000001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0.100000000000001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0.100000000000001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0.100000000000001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0.100000000000001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0.100000000000001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0.100000000000001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0.100000000000001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0.100000000000001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0.100000000000001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0.100000000000001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0.100000000000001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0.100000000000001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0.100000000000001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0.100000000000001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0.100000000000001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0.10000000000000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0.100000000000001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0.100000000000001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0.100000000000001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0.100000000000001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0.100000000000001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0.100000000000001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0.100000000000001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0.100000000000001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0.100000000000001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0.100000000000001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0.100000000000001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0.100000000000001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0.100000000000001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0.100000000000001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0.100000000000001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0.100000000000001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0.100000000000001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0.100000000000001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0.100000000000001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0.10000000000000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0.100000000000001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0.100000000000001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0.100000000000001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0.100000000000001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0.100000000000001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0.100000000000001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0.100000000000001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0.100000000000001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0.100000000000001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0.100000000000001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0.100000000000001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0.100000000000001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0.100000000000001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0.100000000000001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0.100000000000001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0.100000000000001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0.100000000000001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0.100000000000001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0.10000000000000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0.100000000000001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0.100000000000001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0.100000000000001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0.100000000000001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0.100000000000001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0.100000000000001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0.100000000000001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0.100000000000001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0.100000000000001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0.100000000000001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0.100000000000001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0.100000000000001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0.100000000000001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0.100000000000001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0.100000000000001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0.100000000000001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0.100000000000001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0.100000000000001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0.100000000000001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0.100000000000001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0.100000000000001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0.100000000000001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0.100000000000001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0.10000000000000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0.100000000000001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0.100000000000001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0.100000000000001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0.100000000000001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0.100000000000001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0.100000000000001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0.100000000000001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0.100000000000001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0.100000000000001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0.100000000000001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0.100000000000001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0.100000000000001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0.100000000000001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0.100000000000001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0.100000000000001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0.10000000000000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0.100000000000001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0.100000000000001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0.100000000000001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0.100000000000001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0.100000000000001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0.100000000000001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0.100000000000001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0.100000000000001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0.100000000000001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0.100000000000001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0.100000000000001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0.100000000000001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0.100000000000001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0.100000000000001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0.100000000000001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0.100000000000001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0.100000000000001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0.100000000000001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0.100000000000001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0.100000000000001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0.100000000000001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0.100000000000001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0.100000000000001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0.100000000000001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0.100000000000001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0.100000000000001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0.100000000000001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0.10000000000000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0.100000000000001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0.100000000000001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0.100000000000001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0.100000000000001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0.100000000000001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0.100000000000001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0.100000000000001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0.100000000000001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0.100000000000001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0.100000000000001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0.100000000000001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0.100000000000001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0.100000000000001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0.100000000000001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0.100000000000001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0.100000000000001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0.100000000000001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0.10000000000000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0.100000000000001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0.100000000000001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0.100000000000001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0.100000000000001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0.100000000000001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0.100000000000001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0.100000000000001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0.100000000000001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0.100000000000001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0.100000000000001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0.100000000000001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0.100000000000001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0.10000000000000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0.100000000000001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0.100000000000001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0.100000000000001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0.100000000000001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0.100000000000001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0.100000000000001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0.100000000000001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0.100000000000001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0.100000000000001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0.100000000000001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0.100000000000001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0.10000000000000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0.100000000000001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0.100000000000001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0.100000000000001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0.100000000000001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0.100000000000001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0.100000000000001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0.100000000000001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0.100000000000001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0.100000000000001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0.100000000000001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0.100000000000001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0.100000000000001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0.100000000000001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0.100000000000001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0.100000000000001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0.100000000000001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0.100000000000001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0.100000000000001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0.100000000000001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0.100000000000001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0.100000000000001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0.100000000000001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0.100000000000001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0.100000000000001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0.100000000000001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0.100000000000001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0.10000000000000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0.100000000000001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0.100000000000001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0.100000000000001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0.100000000000001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0.100000000000001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0.100000000000001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0.100000000000001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0.100000000000001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0.100000000000001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0.100000000000001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0.100000000000001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0.100000000000001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0.100000000000001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0.100000000000001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0.100000000000001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0.100000000000001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0.100000000000001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0.100000000000001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0.10000000000000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0.100000000000001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0.100000000000001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0.100000000000001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0.100000000000001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0.100000000000001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0.100000000000001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0.100000000000001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0.100000000000001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0.100000000000001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0.100000000000001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0.100000000000001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0.100000000000001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0.100000000000001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0.100000000000001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0.100000000000001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0.100000000000001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0.100000000000001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0.100000000000001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0.100000000000001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0.100000000000001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0.100000000000001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0.100000000000001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0.100000000000001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0.10000000000000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0.100000000000001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0.100000000000001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0.100000000000001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0.100000000000001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0.100000000000001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0.100000000000001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0.100000000000001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0.100000000000001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0.100000000000001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0.100000000000001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0.100000000000001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0.100000000000001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0.100000000000001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0.100000000000001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0.100000000000001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0.100000000000001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0.100000000000001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0.100000000000001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0.100000000000001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0.100000000000001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0.100000000000001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0.10000000000000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0.100000000000001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0.100000000000001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0.100000000000001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0.100000000000001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0.100000000000001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0.100000000000001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0.100000000000001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0.100000000000001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0.100000000000001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0.100000000000001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0.100000000000001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0.100000000000001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0.100000000000001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0.100000000000001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0.100000000000001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0.100000000000001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0.10000000000000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0.100000000000001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0.100000000000001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0.100000000000001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0.100000000000001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0.100000000000001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0.100000000000001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0.100000000000001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0.100000000000001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0.100000000000001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</sheetData>
  <mergeCells count="1">
    <mergeCell ref="A8:Y11"/>
  </mergeCells>
  <phoneticPr fontId="7" type="noConversion"/>
  <printOptions horizontalCentered="1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/>
  <dimension ref="A1:O506"/>
  <sheetViews>
    <sheetView showZeros="0" view="pageBreakPreview" zoomScaleNormal="100" zoomScaleSheetLayoutView="100" workbookViewId="0">
      <selection activeCell="G132" sqref="G132"/>
    </sheetView>
  </sheetViews>
  <sheetFormatPr defaultRowHeight="20.100000000000001" customHeight="1"/>
  <cols>
    <col min="1" max="1" width="3.109375" style="310" customWidth="1"/>
    <col min="2" max="2" width="4.77734375" style="310" customWidth="1"/>
    <col min="3" max="3" width="23.21875" style="40" customWidth="1"/>
    <col min="4" max="4" width="21.44140625" style="40" customWidth="1"/>
    <col min="5" max="5" width="4.21875" style="241" bestFit="1" customWidth="1"/>
    <col min="6" max="6" width="9.33203125" style="40" customWidth="1"/>
    <col min="7" max="7" width="9.33203125" style="38" customWidth="1"/>
    <col min="8" max="8" width="11.5546875" style="38" bestFit="1" customWidth="1"/>
    <col min="9" max="9" width="6.77734375" style="38" customWidth="1"/>
    <col min="10" max="10" width="2.88671875" style="38" bestFit="1" customWidth="1"/>
    <col min="11" max="14" width="2.77734375" style="38" customWidth="1"/>
    <col min="15" max="16384" width="8.88671875" style="38"/>
  </cols>
  <sheetData>
    <row r="1" spans="1:14" s="33" customFormat="1" ht="20.100000000000001" customHeight="1">
      <c r="A1" s="508" t="s">
        <v>480</v>
      </c>
      <c r="B1" s="509"/>
      <c r="C1" s="510"/>
      <c r="D1" s="29" t="s">
        <v>286</v>
      </c>
      <c r="E1" s="30" t="s">
        <v>287</v>
      </c>
      <c r="F1" s="31" t="str">
        <f>+간지!Z3</f>
        <v>갈전7교</v>
      </c>
      <c r="G1" s="30" t="s">
        <v>288</v>
      </c>
      <c r="H1" s="32" t="s">
        <v>289</v>
      </c>
    </row>
    <row r="2" spans="1:14" s="256" customFormat="1" ht="18" customHeight="1">
      <c r="A2" s="296" t="s">
        <v>711</v>
      </c>
      <c r="B2" s="250" t="s">
        <v>290</v>
      </c>
      <c r="C2" s="251"/>
      <c r="D2" s="251"/>
      <c r="E2" s="252" t="s">
        <v>204</v>
      </c>
      <c r="F2" s="253"/>
      <c r="G2" s="254"/>
      <c r="H2" s="255"/>
      <c r="J2" s="360"/>
      <c r="K2" s="360"/>
      <c r="L2" s="360"/>
      <c r="M2" s="360"/>
      <c r="N2" s="360"/>
    </row>
    <row r="3" spans="1:14" s="262" customFormat="1" ht="18" customHeight="1">
      <c r="A3" s="297" t="str">
        <f>A2</f>
        <v>1.</v>
      </c>
      <c r="B3" s="298" t="str">
        <f>IF(J3&gt;9,CONCATENATE(J3,"."),CONCATENATE("0",J3,"."))</f>
        <v>01.</v>
      </c>
      <c r="C3" s="257" t="s">
        <v>291</v>
      </c>
      <c r="D3" s="257"/>
      <c r="E3" s="258"/>
      <c r="F3" s="259"/>
      <c r="G3" s="260"/>
      <c r="H3" s="261"/>
      <c r="J3" s="363">
        <f>SUM($K$3:K3)</f>
        <v>1</v>
      </c>
      <c r="K3" s="355">
        <v>1</v>
      </c>
      <c r="L3" s="355"/>
      <c r="M3" s="355"/>
      <c r="N3" s="361" t="str">
        <f>IF(K3="",IF(L3="","숨김","1"),"1")</f>
        <v>1</v>
      </c>
    </row>
    <row r="4" spans="1:14" s="35" customFormat="1" ht="18" hidden="1" customHeight="1">
      <c r="A4" s="299"/>
      <c r="B4" s="300" t="str">
        <f t="shared" ref="B4:B73" si="0">IF(M4="",CONCATENATE(L4,"."),CONCATENATE(L4,"-",M4,"."))</f>
        <v>.</v>
      </c>
      <c r="C4" s="201" t="s">
        <v>783</v>
      </c>
      <c r="D4" s="201"/>
      <c r="E4" s="202"/>
      <c r="F4" s="203"/>
      <c r="G4" s="204"/>
      <c r="H4" s="34"/>
      <c r="J4" s="363">
        <f>SUM($K$3:K4)</f>
        <v>1</v>
      </c>
      <c r="K4" s="356"/>
      <c r="L4" s="356"/>
      <c r="M4" s="356"/>
      <c r="N4" s="361" t="str">
        <f t="shared" ref="N4:N75" si="1">IF(K4="",IF(L4="","숨김","1"),"1")</f>
        <v>숨김</v>
      </c>
    </row>
    <row r="5" spans="1:14" s="35" customFormat="1" ht="18" hidden="1" customHeight="1">
      <c r="A5" s="299"/>
      <c r="B5" s="300" t="str">
        <f t="shared" si="0"/>
        <v>.</v>
      </c>
      <c r="C5" s="201" t="s">
        <v>784</v>
      </c>
      <c r="D5" s="201"/>
      <c r="E5" s="202" t="s">
        <v>4</v>
      </c>
      <c r="F5" s="203">
        <f>토공총괄집계표!H4</f>
        <v>0</v>
      </c>
      <c r="G5" s="201">
        <f t="shared" ref="G5:G112" si="2">SUM(F5:F5)</f>
        <v>0</v>
      </c>
      <c r="H5" s="34"/>
      <c r="J5" s="363">
        <f>SUM($K$3:K5)</f>
        <v>1</v>
      </c>
      <c r="K5" s="356"/>
      <c r="L5" s="356"/>
      <c r="M5" s="356"/>
      <c r="N5" s="361" t="str">
        <f t="shared" si="1"/>
        <v>숨김</v>
      </c>
    </row>
    <row r="6" spans="1:14" s="35" customFormat="1" ht="18" hidden="1" customHeight="1">
      <c r="A6" s="299"/>
      <c r="B6" s="300" t="str">
        <f t="shared" si="0"/>
        <v>.</v>
      </c>
      <c r="C6" s="201" t="s">
        <v>292</v>
      </c>
      <c r="D6" s="201"/>
      <c r="E6" s="202"/>
      <c r="F6" s="203"/>
      <c r="G6" s="204"/>
      <c r="H6" s="34"/>
      <c r="J6" s="363">
        <f>SUM($K$3:K6)</f>
        <v>1</v>
      </c>
      <c r="K6" s="356"/>
      <c r="L6" s="356"/>
      <c r="M6" s="356"/>
      <c r="N6" s="361" t="str">
        <f t="shared" si="1"/>
        <v>숨김</v>
      </c>
    </row>
    <row r="7" spans="1:14" s="35" customFormat="1" ht="18" customHeight="1">
      <c r="A7" s="299"/>
      <c r="B7" s="300" t="str">
        <f t="shared" si="0"/>
        <v>a.</v>
      </c>
      <c r="C7" s="201" t="s">
        <v>293</v>
      </c>
      <c r="D7" s="201" t="s">
        <v>479</v>
      </c>
      <c r="E7" s="202" t="s">
        <v>4</v>
      </c>
      <c r="F7" s="203">
        <f>+토공총괄집계표!H7</f>
        <v>1748.1309999999999</v>
      </c>
      <c r="G7" s="201">
        <f t="shared" si="2"/>
        <v>1748.1309999999999</v>
      </c>
      <c r="H7" s="34"/>
      <c r="J7" s="363">
        <f>SUM($K$3:K7)</f>
        <v>1</v>
      </c>
      <c r="K7" s="356"/>
      <c r="L7" s="356" t="s">
        <v>942</v>
      </c>
      <c r="M7" s="356"/>
      <c r="N7" s="361" t="str">
        <f t="shared" si="1"/>
        <v>1</v>
      </c>
    </row>
    <row r="8" spans="1:14" s="35" customFormat="1" ht="18" hidden="1" customHeight="1">
      <c r="A8" s="299"/>
      <c r="B8" s="300" t="str">
        <f t="shared" si="0"/>
        <v>.</v>
      </c>
      <c r="C8" s="201" t="s">
        <v>293</v>
      </c>
      <c r="D8" s="201" t="s">
        <v>257</v>
      </c>
      <c r="E8" s="202" t="s">
        <v>4</v>
      </c>
      <c r="F8" s="203">
        <f>+토공총괄집계표!H8</f>
        <v>0</v>
      </c>
      <c r="G8" s="201">
        <f t="shared" si="2"/>
        <v>0</v>
      </c>
      <c r="H8" s="34"/>
      <c r="J8" s="363">
        <f>SUM($K$3:K8)</f>
        <v>1</v>
      </c>
      <c r="K8" s="356"/>
      <c r="L8" s="356"/>
      <c r="M8" s="356"/>
      <c r="N8" s="361" t="str">
        <f t="shared" si="1"/>
        <v>숨김</v>
      </c>
    </row>
    <row r="9" spans="1:14" s="35" customFormat="1" ht="18" hidden="1" customHeight="1">
      <c r="A9" s="299"/>
      <c r="B9" s="300" t="str">
        <f t="shared" si="0"/>
        <v>.</v>
      </c>
      <c r="C9" s="201" t="s">
        <v>295</v>
      </c>
      <c r="D9" s="201" t="s">
        <v>479</v>
      </c>
      <c r="E9" s="202" t="s">
        <v>4</v>
      </c>
      <c r="F9" s="203">
        <f>+토공총괄집계표!H9</f>
        <v>0</v>
      </c>
      <c r="G9" s="201">
        <f t="shared" si="2"/>
        <v>0</v>
      </c>
      <c r="H9" s="34"/>
      <c r="J9" s="363">
        <f>SUM($K$3:K9)</f>
        <v>1</v>
      </c>
      <c r="K9" s="356"/>
      <c r="L9" s="356"/>
      <c r="M9" s="356"/>
      <c r="N9" s="361" t="str">
        <f t="shared" si="1"/>
        <v>숨김</v>
      </c>
    </row>
    <row r="10" spans="1:14" s="35" customFormat="1" ht="18" hidden="1" customHeight="1">
      <c r="A10" s="299"/>
      <c r="B10" s="300" t="str">
        <f t="shared" si="0"/>
        <v>.</v>
      </c>
      <c r="C10" s="201" t="s">
        <v>295</v>
      </c>
      <c r="D10" s="201" t="s">
        <v>257</v>
      </c>
      <c r="E10" s="202" t="s">
        <v>4</v>
      </c>
      <c r="F10" s="203">
        <f>+토공총괄집계표!H10</f>
        <v>0</v>
      </c>
      <c r="G10" s="201">
        <f t="shared" si="2"/>
        <v>0</v>
      </c>
      <c r="H10" s="34"/>
      <c r="J10" s="363">
        <f>SUM($K$3:K10)</f>
        <v>1</v>
      </c>
      <c r="K10" s="356"/>
      <c r="L10" s="356"/>
      <c r="M10" s="356"/>
      <c r="N10" s="361" t="str">
        <f t="shared" si="1"/>
        <v>숨김</v>
      </c>
    </row>
    <row r="11" spans="1:14" s="35" customFormat="1" ht="18" hidden="1" customHeight="1">
      <c r="A11" s="299"/>
      <c r="B11" s="300" t="str">
        <f t="shared" si="0"/>
        <v>.</v>
      </c>
      <c r="C11" s="201" t="s">
        <v>296</v>
      </c>
      <c r="D11" s="201" t="s">
        <v>479</v>
      </c>
      <c r="E11" s="202" t="s">
        <v>4</v>
      </c>
      <c r="F11" s="203">
        <f>+토공총괄집계표!H11</f>
        <v>0</v>
      </c>
      <c r="G11" s="201">
        <f t="shared" si="2"/>
        <v>0</v>
      </c>
      <c r="H11" s="34"/>
      <c r="J11" s="363">
        <f>SUM($K$3:K11)</f>
        <v>1</v>
      </c>
      <c r="K11" s="356"/>
      <c r="L11" s="356"/>
      <c r="M11" s="356"/>
      <c r="N11" s="361" t="str">
        <f t="shared" si="1"/>
        <v>숨김</v>
      </c>
    </row>
    <row r="12" spans="1:14" s="35" customFormat="1" ht="18" hidden="1" customHeight="1">
      <c r="A12" s="299"/>
      <c r="B12" s="300" t="str">
        <f t="shared" si="0"/>
        <v>.</v>
      </c>
      <c r="C12" s="201" t="s">
        <v>296</v>
      </c>
      <c r="D12" s="201" t="s">
        <v>257</v>
      </c>
      <c r="E12" s="202" t="s">
        <v>4</v>
      </c>
      <c r="F12" s="203">
        <f>+토공총괄집계표!H12</f>
        <v>0</v>
      </c>
      <c r="G12" s="201">
        <f t="shared" si="2"/>
        <v>0</v>
      </c>
      <c r="H12" s="34"/>
      <c r="J12" s="363">
        <f>SUM($K$3:K12)</f>
        <v>1</v>
      </c>
      <c r="K12" s="356"/>
      <c r="L12" s="356"/>
      <c r="M12" s="356"/>
      <c r="N12" s="361" t="str">
        <f t="shared" si="1"/>
        <v>숨김</v>
      </c>
    </row>
    <row r="13" spans="1:14" s="35" customFormat="1" ht="18" customHeight="1">
      <c r="A13" s="299"/>
      <c r="B13" s="300" t="str">
        <f t="shared" si="0"/>
        <v>b-1.</v>
      </c>
      <c r="C13" s="201" t="s">
        <v>297</v>
      </c>
      <c r="D13" s="201" t="s">
        <v>479</v>
      </c>
      <c r="E13" s="202" t="s">
        <v>4</v>
      </c>
      <c r="F13" s="203">
        <f>+토공총괄집계표!H13</f>
        <v>3111.0600000000004</v>
      </c>
      <c r="G13" s="201">
        <f t="shared" si="2"/>
        <v>3111.0600000000004</v>
      </c>
      <c r="H13" s="34"/>
      <c r="J13" s="363">
        <f>SUM($K$3:K13)</f>
        <v>1</v>
      </c>
      <c r="K13" s="356"/>
      <c r="L13" s="356" t="s">
        <v>943</v>
      </c>
      <c r="M13" s="356">
        <v>1</v>
      </c>
      <c r="N13" s="361" t="str">
        <f t="shared" si="1"/>
        <v>1</v>
      </c>
    </row>
    <row r="14" spans="1:14" s="35" customFormat="1" ht="18" customHeight="1">
      <c r="A14" s="299"/>
      <c r="B14" s="300" t="str">
        <f t="shared" si="0"/>
        <v>b-2.</v>
      </c>
      <c r="C14" s="201" t="s">
        <v>297</v>
      </c>
      <c r="D14" s="201" t="s">
        <v>257</v>
      </c>
      <c r="E14" s="202" t="s">
        <v>4</v>
      </c>
      <c r="F14" s="203">
        <f>+토공총괄집계표!H14</f>
        <v>334.53899999999999</v>
      </c>
      <c r="G14" s="201">
        <f t="shared" si="2"/>
        <v>334.53899999999999</v>
      </c>
      <c r="H14" s="34"/>
      <c r="J14" s="363">
        <f>SUM($K$3:K14)</f>
        <v>1</v>
      </c>
      <c r="K14" s="356"/>
      <c r="L14" s="356" t="s">
        <v>943</v>
      </c>
      <c r="M14" s="356">
        <v>2</v>
      </c>
      <c r="N14" s="361" t="str">
        <f t="shared" si="1"/>
        <v>1</v>
      </c>
    </row>
    <row r="15" spans="1:14" s="35" customFormat="1" ht="18" hidden="1" customHeight="1">
      <c r="A15" s="299"/>
      <c r="B15" s="300" t="str">
        <f t="shared" si="0"/>
        <v>.</v>
      </c>
      <c r="C15" s="201" t="s">
        <v>298</v>
      </c>
      <c r="D15" s="201" t="s">
        <v>205</v>
      </c>
      <c r="E15" s="202" t="s">
        <v>4</v>
      </c>
      <c r="F15" s="203"/>
      <c r="G15" s="201">
        <f t="shared" si="2"/>
        <v>0</v>
      </c>
      <c r="H15" s="34"/>
      <c r="J15" s="363">
        <f>SUM($K$3:K15)</f>
        <v>1</v>
      </c>
      <c r="K15" s="356"/>
      <c r="L15" s="356"/>
      <c r="M15" s="356"/>
      <c r="N15" s="361" t="str">
        <f>IF(K15="",IF(L15="","숨김","1"),"1")</f>
        <v>숨김</v>
      </c>
    </row>
    <row r="16" spans="1:14" s="35" customFormat="1" ht="18" hidden="1" customHeight="1">
      <c r="A16" s="299"/>
      <c r="B16" s="300" t="str">
        <f t="shared" si="0"/>
        <v>.</v>
      </c>
      <c r="C16" s="201" t="s">
        <v>298</v>
      </c>
      <c r="D16" s="201" t="s">
        <v>294</v>
      </c>
      <c r="E16" s="202" t="s">
        <v>4</v>
      </c>
      <c r="F16" s="203"/>
      <c r="G16" s="201">
        <f t="shared" si="2"/>
        <v>0</v>
      </c>
      <c r="H16" s="34"/>
      <c r="J16" s="363">
        <f>SUM($K$3:K16)</f>
        <v>1</v>
      </c>
      <c r="K16" s="356"/>
      <c r="L16" s="356"/>
      <c r="M16" s="356"/>
      <c r="N16" s="361" t="str">
        <f>IF(K16="",IF(L16="","숨김","1"),"1")</f>
        <v>숨김</v>
      </c>
    </row>
    <row r="17" spans="1:14" s="35" customFormat="1" ht="18" hidden="1" customHeight="1">
      <c r="A17" s="299"/>
      <c r="B17" s="300" t="str">
        <f t="shared" si="0"/>
        <v>.</v>
      </c>
      <c r="C17" s="36" t="s">
        <v>299</v>
      </c>
      <c r="D17" s="201" t="s">
        <v>479</v>
      </c>
      <c r="E17" s="202" t="s">
        <v>4</v>
      </c>
      <c r="F17" s="203">
        <f>토공총괄집계표!H15</f>
        <v>0</v>
      </c>
      <c r="G17" s="201">
        <f t="shared" si="2"/>
        <v>0</v>
      </c>
      <c r="H17" s="34"/>
      <c r="J17" s="363">
        <f>SUM($K$3:K17)</f>
        <v>1</v>
      </c>
      <c r="K17" s="356"/>
      <c r="L17" s="356"/>
      <c r="M17" s="356"/>
      <c r="N17" s="361" t="str">
        <f t="shared" si="1"/>
        <v>숨김</v>
      </c>
    </row>
    <row r="18" spans="1:14" s="35" customFormat="1" ht="18" hidden="1" customHeight="1">
      <c r="A18" s="299"/>
      <c r="B18" s="300" t="str">
        <f t="shared" si="0"/>
        <v>.</v>
      </c>
      <c r="C18" s="36" t="s">
        <v>299</v>
      </c>
      <c r="D18" s="201" t="s">
        <v>257</v>
      </c>
      <c r="E18" s="202" t="s">
        <v>4</v>
      </c>
      <c r="F18" s="203">
        <f>토공총괄집계표!H16</f>
        <v>0</v>
      </c>
      <c r="G18" s="201">
        <f t="shared" si="2"/>
        <v>0</v>
      </c>
      <c r="H18" s="34"/>
      <c r="J18" s="363">
        <f>SUM($K$3:K18)</f>
        <v>1</v>
      </c>
      <c r="K18" s="356"/>
      <c r="L18" s="356"/>
      <c r="M18" s="356"/>
      <c r="N18" s="361" t="str">
        <f t="shared" si="1"/>
        <v>숨김</v>
      </c>
    </row>
    <row r="19" spans="1:14" s="35" customFormat="1" ht="18" hidden="1" customHeight="1">
      <c r="A19" s="299"/>
      <c r="B19" s="300" t="str">
        <f t="shared" si="0"/>
        <v>.</v>
      </c>
      <c r="C19" s="201" t="s">
        <v>300</v>
      </c>
      <c r="D19" s="201"/>
      <c r="E19" s="202" t="s">
        <v>8</v>
      </c>
      <c r="F19" s="203">
        <f>+토공총괄집계표!H28</f>
        <v>0</v>
      </c>
      <c r="G19" s="201">
        <f t="shared" si="2"/>
        <v>0</v>
      </c>
      <c r="H19" s="34"/>
      <c r="J19" s="363">
        <f>SUM($K$3:K19)</f>
        <v>1</v>
      </c>
      <c r="K19" s="356"/>
      <c r="L19" s="356"/>
      <c r="M19" s="356"/>
      <c r="N19" s="361" t="str">
        <f t="shared" si="1"/>
        <v>숨김</v>
      </c>
    </row>
    <row r="20" spans="1:14" s="35" customFormat="1" ht="18" customHeight="1">
      <c r="A20" s="299"/>
      <c r="B20" s="300" t="str">
        <f t="shared" si="0"/>
        <v>c.</v>
      </c>
      <c r="C20" s="201" t="s">
        <v>301</v>
      </c>
      <c r="D20" s="201" t="s">
        <v>597</v>
      </c>
      <c r="E20" s="202" t="s">
        <v>4</v>
      </c>
      <c r="F20" s="203">
        <f>+토공총괄집계표!H17</f>
        <v>3818.1849999999999</v>
      </c>
      <c r="G20" s="201">
        <f>SUM(F20:F20)</f>
        <v>3818.1849999999999</v>
      </c>
      <c r="H20" s="34"/>
      <c r="J20" s="363">
        <f>SUM($K$3:K20)</f>
        <v>1</v>
      </c>
      <c r="K20" s="356"/>
      <c r="L20" s="356" t="s">
        <v>944</v>
      </c>
      <c r="M20" s="356"/>
      <c r="N20" s="361" t="str">
        <f t="shared" si="1"/>
        <v>1</v>
      </c>
    </row>
    <row r="21" spans="1:14" s="35" customFormat="1" ht="18" customHeight="1">
      <c r="A21" s="299"/>
      <c r="B21" s="300" t="str">
        <f>IF(M21="",CONCATENATE(L21,"."),CONCATENATE(L21,"-",M21,"."))</f>
        <v>d.</v>
      </c>
      <c r="C21" s="201" t="s">
        <v>302</v>
      </c>
      <c r="D21" s="201"/>
      <c r="E21" s="202" t="s">
        <v>303</v>
      </c>
      <c r="F21" s="203">
        <f>토공총괄집계표!H29</f>
        <v>433.572</v>
      </c>
      <c r="G21" s="201">
        <f>SUM(F21:F21)</f>
        <v>433.572</v>
      </c>
      <c r="H21" s="34"/>
      <c r="J21" s="363">
        <f>SUM($K$3:K21)</f>
        <v>1</v>
      </c>
      <c r="K21" s="356"/>
      <c r="L21" s="356" t="s">
        <v>945</v>
      </c>
      <c r="M21" s="356"/>
      <c r="N21" s="361" t="str">
        <f>IF(K21="",IF(L21="","숨김","1"),"1")</f>
        <v>1</v>
      </c>
    </row>
    <row r="22" spans="1:14" s="35" customFormat="1" ht="18" hidden="1" customHeight="1">
      <c r="A22" s="299"/>
      <c r="B22" s="300" t="str">
        <f t="shared" si="0"/>
        <v>.</v>
      </c>
      <c r="C22" s="201" t="s">
        <v>300</v>
      </c>
      <c r="D22" s="201"/>
      <c r="E22" s="202" t="s">
        <v>8</v>
      </c>
      <c r="F22" s="203">
        <f>토공총괄집계표!H28</f>
        <v>0</v>
      </c>
      <c r="G22" s="201">
        <f>SUM(F22:F22)</f>
        <v>0</v>
      </c>
      <c r="H22" s="34"/>
      <c r="J22" s="363">
        <f>SUM($K$3:K22)</f>
        <v>1</v>
      </c>
      <c r="K22" s="356"/>
      <c r="L22" s="356"/>
      <c r="M22" s="356"/>
      <c r="N22" s="361" t="str">
        <f t="shared" si="1"/>
        <v>숨김</v>
      </c>
    </row>
    <row r="23" spans="1:14" s="35" customFormat="1" ht="18" hidden="1" customHeight="1">
      <c r="A23" s="299"/>
      <c r="B23" s="300" t="str">
        <f t="shared" si="0"/>
        <v>.</v>
      </c>
      <c r="C23" s="201" t="s">
        <v>551</v>
      </c>
      <c r="D23" s="201" t="s">
        <v>552</v>
      </c>
      <c r="E23" s="202" t="s">
        <v>4</v>
      </c>
      <c r="F23" s="203">
        <f>토공총괄집계표!H45</f>
        <v>0</v>
      </c>
      <c r="G23" s="201">
        <f t="shared" si="2"/>
        <v>0</v>
      </c>
      <c r="H23" s="34"/>
      <c r="I23" s="287"/>
      <c r="J23" s="363">
        <f>SUM($K$3:K23)</f>
        <v>1</v>
      </c>
      <c r="K23" s="356"/>
      <c r="L23" s="356"/>
      <c r="M23" s="356"/>
      <c r="N23" s="361" t="str">
        <f t="shared" si="1"/>
        <v>숨김</v>
      </c>
    </row>
    <row r="24" spans="1:14" s="35" customFormat="1" ht="18" hidden="1" customHeight="1">
      <c r="A24" s="299"/>
      <c r="B24" s="300" t="str">
        <f t="shared" si="0"/>
        <v>.</v>
      </c>
      <c r="C24" s="201" t="s">
        <v>553</v>
      </c>
      <c r="D24" s="201" t="s">
        <v>554</v>
      </c>
      <c r="E24" s="202" t="s">
        <v>8</v>
      </c>
      <c r="F24" s="203">
        <f>F23</f>
        <v>0</v>
      </c>
      <c r="G24" s="201">
        <f t="shared" si="2"/>
        <v>0</v>
      </c>
      <c r="H24" s="34"/>
      <c r="I24" s="287"/>
      <c r="J24" s="363">
        <f>SUM($K$3:K24)</f>
        <v>1</v>
      </c>
      <c r="K24" s="356"/>
      <c r="L24" s="356"/>
      <c r="M24" s="356"/>
      <c r="N24" s="361" t="str">
        <f t="shared" si="1"/>
        <v>숨김</v>
      </c>
    </row>
    <row r="25" spans="1:14" s="35" customFormat="1" ht="18" hidden="1" customHeight="1">
      <c r="A25" s="299"/>
      <c r="B25" s="300" t="str">
        <f t="shared" si="0"/>
        <v>.</v>
      </c>
      <c r="C25" s="201" t="s">
        <v>708</v>
      </c>
      <c r="D25" s="201" t="s">
        <v>712</v>
      </c>
      <c r="E25" s="202" t="s">
        <v>4</v>
      </c>
      <c r="F25" s="203">
        <f>토공총괄집계표!H51</f>
        <v>0</v>
      </c>
      <c r="G25" s="201">
        <f t="shared" ref="G25:G31" si="3">SUM(F25:F25)</f>
        <v>0</v>
      </c>
      <c r="H25" s="34"/>
      <c r="I25" s="287"/>
      <c r="J25" s="363">
        <f>SUM($K$3:K25)</f>
        <v>1</v>
      </c>
      <c r="K25" s="356"/>
      <c r="L25" s="356"/>
      <c r="M25" s="356"/>
      <c r="N25" s="361" t="str">
        <f t="shared" si="1"/>
        <v>숨김</v>
      </c>
    </row>
    <row r="26" spans="1:14" s="35" customFormat="1" ht="18" hidden="1" customHeight="1">
      <c r="A26" s="299"/>
      <c r="B26" s="300" t="str">
        <f t="shared" si="0"/>
        <v>.</v>
      </c>
      <c r="C26" s="201" t="s">
        <v>917</v>
      </c>
      <c r="D26" s="201"/>
      <c r="E26" s="202" t="s">
        <v>4</v>
      </c>
      <c r="F26" s="203">
        <f>토공총괄집계표!H30</f>
        <v>0</v>
      </c>
      <c r="G26" s="201">
        <f t="shared" si="3"/>
        <v>0</v>
      </c>
      <c r="H26" s="34"/>
      <c r="I26" s="287"/>
      <c r="J26" s="363">
        <f>SUM($K$3:K26)</f>
        <v>1</v>
      </c>
      <c r="K26" s="356"/>
      <c r="L26" s="356"/>
      <c r="M26" s="356"/>
      <c r="N26" s="361" t="str">
        <f t="shared" si="1"/>
        <v>숨김</v>
      </c>
    </row>
    <row r="27" spans="1:14" s="262" customFormat="1" ht="20.100000000000001" customHeight="1">
      <c r="A27" s="301" t="str">
        <f>A75</f>
        <v>1.</v>
      </c>
      <c r="B27" s="298" t="str">
        <f>IF(J27&gt;9,CONCATENATE(J27,"."),CONCATENATE("0",J27,"."))</f>
        <v>02.</v>
      </c>
      <c r="C27" s="257" t="s">
        <v>1164</v>
      </c>
      <c r="D27" s="257"/>
      <c r="E27" s="258"/>
      <c r="F27" s="259"/>
      <c r="G27" s="257">
        <f t="shared" si="3"/>
        <v>0</v>
      </c>
      <c r="H27" s="261"/>
      <c r="J27" s="363">
        <f>SUM($K$3:K27)</f>
        <v>2</v>
      </c>
      <c r="K27" s="355">
        <v>1</v>
      </c>
      <c r="L27" s="355"/>
      <c r="M27" s="355"/>
      <c r="N27" s="361" t="str">
        <f>IF(K27="",IF(L27="","숨김","1"),"1")</f>
        <v>1</v>
      </c>
    </row>
    <row r="28" spans="1:14" s="35" customFormat="1" ht="20.100000000000001" customHeight="1">
      <c r="A28" s="299"/>
      <c r="B28" s="300" t="str">
        <f>IF(M28="",CONCATENATE(L28,"."),CONCATENATE(L28,"-",M28,"."))</f>
        <v>a.</v>
      </c>
      <c r="C28" s="201" t="s">
        <v>1165</v>
      </c>
      <c r="D28" s="201" t="s">
        <v>1166</v>
      </c>
      <c r="E28" s="202" t="s">
        <v>38</v>
      </c>
      <c r="F28" s="203">
        <v>560</v>
      </c>
      <c r="G28" s="201">
        <f t="shared" si="3"/>
        <v>560</v>
      </c>
      <c r="H28" s="34"/>
      <c r="J28" s="363">
        <f>SUM($K$3:K28)</f>
        <v>2</v>
      </c>
      <c r="K28" s="356"/>
      <c r="L28" s="356" t="s">
        <v>942</v>
      </c>
      <c r="M28" s="356"/>
      <c r="N28" s="361" t="str">
        <f>IF(K28="",IF(L28="","숨김","1"),"1")</f>
        <v>1</v>
      </c>
    </row>
    <row r="29" spans="1:14" s="35" customFormat="1" ht="20.100000000000001" customHeight="1">
      <c r="A29" s="299"/>
      <c r="B29" s="300" t="str">
        <f>IF(M29="",CONCATENATE(L29,"."),CONCATENATE(L29,"-",M29,"."))</f>
        <v>b.</v>
      </c>
      <c r="C29" s="201" t="s">
        <v>1167</v>
      </c>
      <c r="D29" s="201" t="s">
        <v>1168</v>
      </c>
      <c r="E29" s="202" t="s">
        <v>38</v>
      </c>
      <c r="F29" s="203">
        <v>112</v>
      </c>
      <c r="G29" s="201">
        <f t="shared" si="3"/>
        <v>112</v>
      </c>
      <c r="H29" s="34"/>
      <c r="J29" s="363">
        <f>SUM($K$3:K29)</f>
        <v>2</v>
      </c>
      <c r="K29" s="356"/>
      <c r="L29" s="356" t="s">
        <v>943</v>
      </c>
      <c r="M29" s="356"/>
      <c r="N29" s="361" t="str">
        <f>IF(K29="",IF(L29="","숨김","1"),"1")</f>
        <v>1</v>
      </c>
    </row>
    <row r="30" spans="1:14" s="35" customFormat="1" ht="20.100000000000001" customHeight="1">
      <c r="A30" s="299"/>
      <c r="B30" s="300" t="str">
        <f>IF(M30="",CONCATENATE(L30,"."),CONCATENATE(L30,"-",M30,"."))</f>
        <v>c.</v>
      </c>
      <c r="C30" s="201" t="s">
        <v>1169</v>
      </c>
      <c r="D30" s="201" t="s">
        <v>1170</v>
      </c>
      <c r="E30" s="202" t="s">
        <v>208</v>
      </c>
      <c r="F30" s="203">
        <v>28</v>
      </c>
      <c r="G30" s="201">
        <f t="shared" si="3"/>
        <v>28</v>
      </c>
      <c r="H30" s="34"/>
      <c r="J30" s="363">
        <f>SUM($K$3:K30)</f>
        <v>2</v>
      </c>
      <c r="K30" s="356"/>
      <c r="L30" s="356" t="s">
        <v>944</v>
      </c>
      <c r="M30" s="356"/>
      <c r="N30" s="361" t="str">
        <f>IF(K30="",IF(L30="","숨김","1"),"1")</f>
        <v>1</v>
      </c>
    </row>
    <row r="31" spans="1:14" s="35" customFormat="1" ht="20.100000000000001" hidden="1" customHeight="1">
      <c r="A31" s="299"/>
      <c r="B31" s="300" t="str">
        <f>IF(M31="",CONCATENATE(L31,"."),CONCATENATE(L31,"-",M31,"."))</f>
        <v>.</v>
      </c>
      <c r="C31" s="201" t="s">
        <v>1171</v>
      </c>
      <c r="D31" s="201" t="s">
        <v>1172</v>
      </c>
      <c r="E31" s="202" t="s">
        <v>382</v>
      </c>
      <c r="F31" s="203"/>
      <c r="G31" s="201">
        <f t="shared" si="3"/>
        <v>0</v>
      </c>
      <c r="H31" s="34"/>
      <c r="J31" s="363">
        <f>SUM($K$3:K31)</f>
        <v>2</v>
      </c>
      <c r="K31" s="356"/>
      <c r="L31" s="356"/>
      <c r="M31" s="356"/>
      <c r="N31" s="361" t="str">
        <f>IF(K31="",IF(L31="","숨김","1"),"1")</f>
        <v>숨김</v>
      </c>
    </row>
    <row r="32" spans="1:14" s="35" customFormat="1" ht="18" customHeight="1">
      <c r="A32" s="301" t="str">
        <f>A2</f>
        <v>1.</v>
      </c>
      <c r="B32" s="298" t="str">
        <f>IF(J32&gt;9,CONCATENATE(J32,"."),CONCATENATE("0",J32,"."))</f>
        <v>03.</v>
      </c>
      <c r="C32" s="257" t="s">
        <v>683</v>
      </c>
      <c r="D32" s="257"/>
      <c r="E32" s="258"/>
      <c r="F32" s="259"/>
      <c r="G32" s="257"/>
      <c r="H32" s="261"/>
      <c r="I32" s="287"/>
      <c r="J32" s="363">
        <f>SUM($K$3:K32)</f>
        <v>3</v>
      </c>
      <c r="K32" s="356">
        <v>1</v>
      </c>
      <c r="L32" s="356"/>
      <c r="M32" s="356"/>
      <c r="N32" s="361" t="str">
        <f t="shared" si="1"/>
        <v>1</v>
      </c>
    </row>
    <row r="33" spans="1:14" s="35" customFormat="1" ht="18" customHeight="1">
      <c r="A33" s="326"/>
      <c r="B33" s="300" t="str">
        <f t="shared" si="0"/>
        <v>a-1.</v>
      </c>
      <c r="C33" s="201" t="s">
        <v>781</v>
      </c>
      <c r="D33" s="201" t="s">
        <v>782</v>
      </c>
      <c r="E33" s="202"/>
      <c r="F33" s="203"/>
      <c r="G33" s="201"/>
      <c r="H33" s="34"/>
      <c r="I33" s="287"/>
      <c r="J33" s="363">
        <f>SUM($K$3:K33)</f>
        <v>3</v>
      </c>
      <c r="K33" s="356"/>
      <c r="L33" s="356" t="s">
        <v>942</v>
      </c>
      <c r="M33" s="356">
        <v>1</v>
      </c>
      <c r="N33" s="361" t="str">
        <f t="shared" si="1"/>
        <v>1</v>
      </c>
    </row>
    <row r="34" spans="1:14" s="35" customFormat="1" ht="18" customHeight="1">
      <c r="A34" s="326"/>
      <c r="B34" s="300" t="str">
        <f t="shared" si="0"/>
        <v>a-2.</v>
      </c>
      <c r="C34" s="201" t="s">
        <v>667</v>
      </c>
      <c r="D34" s="201"/>
      <c r="E34" s="202" t="s">
        <v>12</v>
      </c>
      <c r="F34" s="203">
        <f>구조물공총괄집계표!G131</f>
        <v>5021.5200000000004</v>
      </c>
      <c r="G34" s="201">
        <f t="shared" ref="G34:G39" si="4">SUM(F34:F34)</f>
        <v>5021.5200000000004</v>
      </c>
      <c r="H34" s="34"/>
      <c r="I34" s="287"/>
      <c r="J34" s="363">
        <f>SUM($K$3:K34)</f>
        <v>3</v>
      </c>
      <c r="K34" s="356"/>
      <c r="L34" s="356" t="s">
        <v>942</v>
      </c>
      <c r="M34" s="356">
        <v>2</v>
      </c>
      <c r="N34" s="361" t="str">
        <f t="shared" si="1"/>
        <v>1</v>
      </c>
    </row>
    <row r="35" spans="1:14" s="35" customFormat="1" ht="18" customHeight="1">
      <c r="A35" s="326"/>
      <c r="B35" s="300" t="str">
        <f t="shared" si="0"/>
        <v>a-3.</v>
      </c>
      <c r="C35" s="201" t="s">
        <v>684</v>
      </c>
      <c r="D35" s="201"/>
      <c r="E35" s="202" t="s">
        <v>12</v>
      </c>
      <c r="F35" s="203">
        <f>구조물공총괄집계표!G132+구조물공총괄집계표!G133+구조물공총괄집계표!G134</f>
        <v>4740.8999999999996</v>
      </c>
      <c r="G35" s="201">
        <f t="shared" si="4"/>
        <v>4740.8999999999996</v>
      </c>
      <c r="H35" s="34"/>
      <c r="I35" s="287"/>
      <c r="J35" s="363">
        <f>SUM($K$3:K35)</f>
        <v>3</v>
      </c>
      <c r="K35" s="356"/>
      <c r="L35" s="356" t="s">
        <v>942</v>
      </c>
      <c r="M35" s="356">
        <v>3</v>
      </c>
      <c r="N35" s="361" t="str">
        <f t="shared" si="1"/>
        <v>1</v>
      </c>
    </row>
    <row r="36" spans="1:14" s="35" customFormat="1" ht="18" customHeight="1">
      <c r="A36" s="326"/>
      <c r="B36" s="300" t="str">
        <f t="shared" si="0"/>
        <v>a-4.</v>
      </c>
      <c r="C36" s="201" t="s">
        <v>668</v>
      </c>
      <c r="D36" s="201"/>
      <c r="E36" s="202" t="s">
        <v>207</v>
      </c>
      <c r="F36" s="203">
        <f>구조물공총괄집계표!G137</f>
        <v>208</v>
      </c>
      <c r="G36" s="201">
        <f t="shared" si="4"/>
        <v>208</v>
      </c>
      <c r="H36" s="34"/>
      <c r="I36" s="287"/>
      <c r="J36" s="363">
        <f>SUM($K$3:K36)</f>
        <v>3</v>
      </c>
      <c r="K36" s="356"/>
      <c r="L36" s="356" t="s">
        <v>942</v>
      </c>
      <c r="M36" s="356">
        <v>4</v>
      </c>
      <c r="N36" s="361" t="str">
        <f t="shared" si="1"/>
        <v>1</v>
      </c>
    </row>
    <row r="37" spans="1:14" s="35" customFormat="1" ht="18" customHeight="1">
      <c r="A37" s="326"/>
      <c r="B37" s="300" t="str">
        <f t="shared" si="0"/>
        <v>a-5.</v>
      </c>
      <c r="C37" s="201" t="s">
        <v>669</v>
      </c>
      <c r="D37" s="201"/>
      <c r="E37" s="202" t="s">
        <v>207</v>
      </c>
      <c r="F37" s="203">
        <f>구조물공총괄집계표!G138</f>
        <v>208</v>
      </c>
      <c r="G37" s="201">
        <f t="shared" si="4"/>
        <v>208</v>
      </c>
      <c r="H37" s="34"/>
      <c r="I37" s="329"/>
      <c r="J37" s="363">
        <f>SUM($K$3:K37)</f>
        <v>3</v>
      </c>
      <c r="K37" s="356"/>
      <c r="L37" s="356" t="s">
        <v>942</v>
      </c>
      <c r="M37" s="356">
        <v>5</v>
      </c>
      <c r="N37" s="361" t="str">
        <f t="shared" si="1"/>
        <v>1</v>
      </c>
    </row>
    <row r="38" spans="1:14" s="35" customFormat="1" ht="18" hidden="1" customHeight="1">
      <c r="A38" s="326"/>
      <c r="B38" s="300" t="str">
        <f t="shared" si="0"/>
        <v>.</v>
      </c>
      <c r="C38" s="201" t="s">
        <v>670</v>
      </c>
      <c r="D38" s="201"/>
      <c r="E38" s="202" t="s">
        <v>4</v>
      </c>
      <c r="F38" s="203">
        <f>구조물공총괄집계표!G135+구조물공총괄집계표!G136</f>
        <v>964.83300000000008</v>
      </c>
      <c r="G38" s="201">
        <f t="shared" si="4"/>
        <v>964.83300000000008</v>
      </c>
      <c r="H38" s="34"/>
      <c r="I38" s="287"/>
      <c r="J38" s="363">
        <f>SUM($K$3:K38)</f>
        <v>3</v>
      </c>
      <c r="K38" s="356"/>
      <c r="L38" s="356"/>
      <c r="M38" s="356"/>
      <c r="N38" s="361" t="str">
        <f t="shared" si="1"/>
        <v>숨김</v>
      </c>
    </row>
    <row r="39" spans="1:14" s="35" customFormat="1" ht="18" hidden="1" customHeight="1">
      <c r="A39" s="326"/>
      <c r="B39" s="300" t="str">
        <f t="shared" si="0"/>
        <v>.</v>
      </c>
      <c r="C39" s="201" t="s">
        <v>674</v>
      </c>
      <c r="D39" s="201" t="s">
        <v>675</v>
      </c>
      <c r="E39" s="202" t="s">
        <v>673</v>
      </c>
      <c r="F39" s="325"/>
      <c r="G39" s="201">
        <f t="shared" si="4"/>
        <v>0</v>
      </c>
      <c r="H39" s="34"/>
      <c r="I39" s="287"/>
      <c r="J39" s="363">
        <f>SUM($K$3:K39)</f>
        <v>3</v>
      </c>
      <c r="K39" s="356"/>
      <c r="L39" s="356"/>
      <c r="M39" s="356"/>
      <c r="N39" s="361" t="str">
        <f t="shared" si="1"/>
        <v>숨김</v>
      </c>
    </row>
    <row r="40" spans="1:14" s="35" customFormat="1" ht="18" hidden="1" customHeight="1">
      <c r="A40" s="326"/>
      <c r="B40" s="300" t="str">
        <f t="shared" si="0"/>
        <v>.</v>
      </c>
      <c r="C40" s="201" t="s">
        <v>781</v>
      </c>
      <c r="D40" s="201" t="s">
        <v>733</v>
      </c>
      <c r="E40" s="202"/>
      <c r="F40" s="325"/>
      <c r="G40" s="201"/>
      <c r="H40" s="34"/>
      <c r="I40" s="287"/>
      <c r="J40" s="363">
        <f>SUM($K$3:K40)</f>
        <v>3</v>
      </c>
      <c r="K40" s="356"/>
      <c r="L40" s="356"/>
      <c r="M40" s="356"/>
      <c r="N40" s="361" t="str">
        <f t="shared" si="1"/>
        <v>숨김</v>
      </c>
    </row>
    <row r="41" spans="1:14" s="35" customFormat="1" ht="18" hidden="1" customHeight="1">
      <c r="A41" s="326"/>
      <c r="B41" s="300" t="str">
        <f t="shared" si="0"/>
        <v>.</v>
      </c>
      <c r="C41" s="201" t="s">
        <v>667</v>
      </c>
      <c r="D41" s="201"/>
      <c r="E41" s="202" t="s">
        <v>12</v>
      </c>
      <c r="F41" s="203">
        <f>구조물공총괄집계표!G141</f>
        <v>0</v>
      </c>
      <c r="G41" s="201">
        <f t="shared" ref="G41:G53" si="5">SUM(F41:F41)</f>
        <v>0</v>
      </c>
      <c r="H41" s="34"/>
      <c r="I41" s="287"/>
      <c r="J41" s="363">
        <f>SUM($K$3:K41)</f>
        <v>3</v>
      </c>
      <c r="K41" s="356"/>
      <c r="L41" s="356"/>
      <c r="M41" s="356"/>
      <c r="N41" s="361" t="str">
        <f t="shared" si="1"/>
        <v>숨김</v>
      </c>
    </row>
    <row r="42" spans="1:14" s="35" customFormat="1" ht="18" hidden="1" customHeight="1">
      <c r="A42" s="326"/>
      <c r="B42" s="300" t="str">
        <f t="shared" si="0"/>
        <v>.</v>
      </c>
      <c r="C42" s="201" t="s">
        <v>684</v>
      </c>
      <c r="D42" s="201"/>
      <c r="E42" s="202" t="s">
        <v>12</v>
      </c>
      <c r="F42" s="203">
        <f>구조물공총괄집계표!G142+구조물공총괄집계표!G143+구조물공총괄집계표!G144</f>
        <v>0</v>
      </c>
      <c r="G42" s="201">
        <f t="shared" si="5"/>
        <v>0</v>
      </c>
      <c r="H42" s="34"/>
      <c r="I42" s="287"/>
      <c r="J42" s="363">
        <f>SUM($K$3:K42)</f>
        <v>3</v>
      </c>
      <c r="K42" s="356"/>
      <c r="L42" s="356"/>
      <c r="M42" s="356"/>
      <c r="N42" s="361" t="str">
        <f t="shared" si="1"/>
        <v>숨김</v>
      </c>
    </row>
    <row r="43" spans="1:14" s="35" customFormat="1" ht="18" hidden="1" customHeight="1">
      <c r="A43" s="326"/>
      <c r="B43" s="300" t="str">
        <f t="shared" si="0"/>
        <v>.</v>
      </c>
      <c r="C43" s="201" t="s">
        <v>668</v>
      </c>
      <c r="D43" s="201"/>
      <c r="E43" s="202" t="s">
        <v>207</v>
      </c>
      <c r="F43" s="203">
        <f>구조물공총괄집계표!G147</f>
        <v>0</v>
      </c>
      <c r="G43" s="201">
        <f t="shared" si="5"/>
        <v>0</v>
      </c>
      <c r="H43" s="34"/>
      <c r="I43" s="287"/>
      <c r="J43" s="363">
        <f>SUM($K$3:K43)</f>
        <v>3</v>
      </c>
      <c r="K43" s="356"/>
      <c r="L43" s="356"/>
      <c r="M43" s="356"/>
      <c r="N43" s="361" t="str">
        <f t="shared" si="1"/>
        <v>숨김</v>
      </c>
    </row>
    <row r="44" spans="1:14" s="35" customFormat="1" ht="18" hidden="1" customHeight="1">
      <c r="A44" s="326"/>
      <c r="B44" s="300" t="str">
        <f t="shared" si="0"/>
        <v>.</v>
      </c>
      <c r="C44" s="201" t="s">
        <v>669</v>
      </c>
      <c r="D44" s="201"/>
      <c r="E44" s="202" t="s">
        <v>207</v>
      </c>
      <c r="F44" s="203"/>
      <c r="G44" s="201">
        <f t="shared" si="5"/>
        <v>0</v>
      </c>
      <c r="H44" s="34"/>
      <c r="I44" s="329"/>
      <c r="J44" s="363">
        <f>SUM($K$3:K44)</f>
        <v>3</v>
      </c>
      <c r="K44" s="356"/>
      <c r="L44" s="356"/>
      <c r="M44" s="356"/>
      <c r="N44" s="361" t="str">
        <f t="shared" si="1"/>
        <v>숨김</v>
      </c>
    </row>
    <row r="45" spans="1:14" s="35" customFormat="1" ht="18" hidden="1" customHeight="1">
      <c r="A45" s="326"/>
      <c r="B45" s="300" t="str">
        <f t="shared" si="0"/>
        <v>.</v>
      </c>
      <c r="C45" s="201" t="s">
        <v>670</v>
      </c>
      <c r="D45" s="201"/>
      <c r="E45" s="202" t="s">
        <v>4</v>
      </c>
      <c r="F45" s="203">
        <f>구조물공총괄집계표!G145+구조물공총괄집계표!G146</f>
        <v>0</v>
      </c>
      <c r="G45" s="201">
        <f t="shared" si="5"/>
        <v>0</v>
      </c>
      <c r="H45" s="34"/>
      <c r="I45" s="287"/>
      <c r="J45" s="363">
        <f>SUM($K$3:K45)</f>
        <v>3</v>
      </c>
      <c r="K45" s="356"/>
      <c r="L45" s="356"/>
      <c r="M45" s="356"/>
      <c r="N45" s="361" t="str">
        <f t="shared" si="1"/>
        <v>숨김</v>
      </c>
    </row>
    <row r="46" spans="1:14" s="35" customFormat="1" ht="18" hidden="1" customHeight="1">
      <c r="A46" s="326"/>
      <c r="B46" s="300" t="str">
        <f t="shared" si="0"/>
        <v>.</v>
      </c>
      <c r="C46" s="201" t="s">
        <v>674</v>
      </c>
      <c r="D46" s="201" t="s">
        <v>675</v>
      </c>
      <c r="E46" s="202" t="s">
        <v>108</v>
      </c>
      <c r="F46" s="325"/>
      <c r="G46" s="201">
        <f t="shared" si="5"/>
        <v>0</v>
      </c>
      <c r="H46" s="34"/>
      <c r="I46" s="287"/>
      <c r="J46" s="363">
        <f>SUM($K$3:K46)</f>
        <v>3</v>
      </c>
      <c r="K46" s="356"/>
      <c r="L46" s="356"/>
      <c r="M46" s="356"/>
      <c r="N46" s="361" t="str">
        <f t="shared" si="1"/>
        <v>숨김</v>
      </c>
    </row>
    <row r="47" spans="1:14" s="35" customFormat="1" ht="18" customHeight="1">
      <c r="A47" s="301" t="str">
        <f>A32</f>
        <v>1.</v>
      </c>
      <c r="B47" s="298" t="str">
        <f>IF(J47&gt;9,CONCATENATE(J47,"."),CONCATENATE("0",J47,"."))</f>
        <v>04.</v>
      </c>
      <c r="C47" s="257" t="s">
        <v>814</v>
      </c>
      <c r="D47" s="257"/>
      <c r="E47" s="258"/>
      <c r="F47" s="259"/>
      <c r="G47" s="257">
        <f t="shared" si="5"/>
        <v>0</v>
      </c>
      <c r="H47" s="261"/>
      <c r="I47" s="287"/>
      <c r="J47" s="363">
        <f>SUM($K$3:K47)</f>
        <v>4</v>
      </c>
      <c r="K47" s="356">
        <v>1</v>
      </c>
      <c r="L47" s="356"/>
      <c r="M47" s="356"/>
      <c r="N47" s="361" t="str">
        <f t="shared" si="1"/>
        <v>1</v>
      </c>
    </row>
    <row r="48" spans="1:14" s="35" customFormat="1" ht="18" hidden="1" customHeight="1">
      <c r="A48" s="326"/>
      <c r="B48" s="300" t="str">
        <f t="shared" si="0"/>
        <v>.</v>
      </c>
      <c r="C48" s="201" t="s">
        <v>676</v>
      </c>
      <c r="D48" s="201"/>
      <c r="E48" s="202" t="s">
        <v>108</v>
      </c>
      <c r="F48" s="203">
        <f>구조물공총괄집계표!G125</f>
        <v>0</v>
      </c>
      <c r="G48" s="201">
        <f t="shared" si="5"/>
        <v>0</v>
      </c>
      <c r="H48" s="34"/>
      <c r="I48" s="287"/>
      <c r="J48" s="363">
        <f>SUM($K$3:K48)</f>
        <v>4</v>
      </c>
      <c r="K48" s="356"/>
      <c r="L48" s="356"/>
      <c r="M48" s="356"/>
      <c r="N48" s="361" t="str">
        <f t="shared" si="1"/>
        <v>숨김</v>
      </c>
    </row>
    <row r="49" spans="1:14" s="35" customFormat="1" ht="18" customHeight="1">
      <c r="A49" s="326"/>
      <c r="B49" s="300" t="str">
        <f t="shared" si="0"/>
        <v>a-1.</v>
      </c>
      <c r="C49" s="201" t="s">
        <v>671</v>
      </c>
      <c r="D49" s="491" t="s">
        <v>1143</v>
      </c>
      <c r="E49" s="202" t="s">
        <v>208</v>
      </c>
      <c r="F49" s="203">
        <f>구조물공총괄집계표!G127</f>
        <v>6</v>
      </c>
      <c r="G49" s="201">
        <f t="shared" si="5"/>
        <v>6</v>
      </c>
      <c r="H49" s="34"/>
      <c r="I49" s="287"/>
      <c r="J49" s="363">
        <f>SUM($K$3:K49)</f>
        <v>4</v>
      </c>
      <c r="K49" s="356"/>
      <c r="L49" s="356" t="s">
        <v>942</v>
      </c>
      <c r="M49" s="356">
        <v>1</v>
      </c>
      <c r="N49" s="361" t="str">
        <f t="shared" si="1"/>
        <v>1</v>
      </c>
    </row>
    <row r="50" spans="1:14" s="35" customFormat="1" ht="18" customHeight="1">
      <c r="A50" s="326"/>
      <c r="B50" s="300" t="str">
        <f>IF(M50="",CONCATENATE(L50,"."),CONCATENATE(L50,"-",M50,"."))</f>
        <v>a-2.</v>
      </c>
      <c r="C50" s="201" t="s">
        <v>671</v>
      </c>
      <c r="D50" s="491" t="s">
        <v>1144</v>
      </c>
      <c r="E50" s="202" t="s">
        <v>208</v>
      </c>
      <c r="F50" s="203">
        <f>구조물공총괄집계표!G128</f>
        <v>6</v>
      </c>
      <c r="G50" s="201">
        <f>SUM(F50:F50)</f>
        <v>6</v>
      </c>
      <c r="H50" s="34"/>
      <c r="I50" s="287"/>
      <c r="J50" s="363">
        <f>SUM($K$3:K50)</f>
        <v>4</v>
      </c>
      <c r="K50" s="356"/>
      <c r="L50" s="356" t="s">
        <v>942</v>
      </c>
      <c r="M50" s="356">
        <v>2</v>
      </c>
      <c r="N50" s="361" t="str">
        <f>IF(K50="",IF(L50="","숨김","1"),"1")</f>
        <v>1</v>
      </c>
    </row>
    <row r="51" spans="1:14" s="35" customFormat="1" ht="18" customHeight="1">
      <c r="A51" s="326"/>
      <c r="B51" s="300" t="str">
        <f>IF(M51="",CONCATENATE(L51,"."),CONCATENATE(L51,"-",M51,"."))</f>
        <v>a-3.</v>
      </c>
      <c r="C51" s="201" t="s">
        <v>671</v>
      </c>
      <c r="D51" s="491" t="s">
        <v>1145</v>
      </c>
      <c r="E51" s="202" t="s">
        <v>208</v>
      </c>
      <c r="F51" s="203">
        <f>구조물공총괄집계표!G129</f>
        <v>6</v>
      </c>
      <c r="G51" s="201">
        <f>SUM(F51:F51)</f>
        <v>6</v>
      </c>
      <c r="H51" s="34"/>
      <c r="I51" s="287"/>
      <c r="J51" s="363">
        <f>SUM($K$3:K51)</f>
        <v>4</v>
      </c>
      <c r="K51" s="356"/>
      <c r="L51" s="356" t="s">
        <v>942</v>
      </c>
      <c r="M51" s="356">
        <v>3</v>
      </c>
      <c r="N51" s="361" t="str">
        <f>IF(K51="",IF(L51="","숨김","1"),"1")</f>
        <v>1</v>
      </c>
    </row>
    <row r="52" spans="1:14" s="35" customFormat="1" ht="18" customHeight="1">
      <c r="A52" s="326"/>
      <c r="B52" s="300" t="str">
        <f t="shared" si="0"/>
        <v>b.</v>
      </c>
      <c r="C52" s="201" t="s">
        <v>672</v>
      </c>
      <c r="D52" s="201"/>
      <c r="E52" s="202" t="s">
        <v>208</v>
      </c>
      <c r="F52" s="203">
        <f>구조물공총괄집계표!G126</f>
        <v>2</v>
      </c>
      <c r="G52" s="201">
        <f t="shared" si="5"/>
        <v>2</v>
      </c>
      <c r="H52" s="34"/>
      <c r="I52" s="287"/>
      <c r="J52" s="363">
        <f>SUM($K$3:K52)</f>
        <v>4</v>
      </c>
      <c r="K52" s="356"/>
      <c r="L52" s="356" t="s">
        <v>943</v>
      </c>
      <c r="M52" s="356"/>
      <c r="N52" s="361" t="str">
        <f t="shared" si="1"/>
        <v>1</v>
      </c>
    </row>
    <row r="53" spans="1:14" s="35" customFormat="1" ht="18" hidden="1" customHeight="1">
      <c r="A53" s="326"/>
      <c r="B53" s="300" t="str">
        <f t="shared" si="0"/>
        <v>.</v>
      </c>
      <c r="C53" s="201" t="s">
        <v>748</v>
      </c>
      <c r="D53" s="201"/>
      <c r="E53" s="202" t="s">
        <v>208</v>
      </c>
      <c r="F53" s="203">
        <f>구조물공총괄집계표!G130</f>
        <v>0</v>
      </c>
      <c r="G53" s="201">
        <f t="shared" si="5"/>
        <v>0</v>
      </c>
      <c r="H53" s="34"/>
      <c r="I53" s="287"/>
      <c r="J53" s="363">
        <f>SUM($K$3:K53)</f>
        <v>4</v>
      </c>
      <c r="K53" s="356"/>
      <c r="L53" s="356"/>
      <c r="M53" s="356"/>
      <c r="N53" s="361" t="str">
        <f t="shared" si="1"/>
        <v>숨김</v>
      </c>
    </row>
    <row r="54" spans="1:14" s="35" customFormat="1" ht="18" customHeight="1">
      <c r="A54" s="301" t="str">
        <f>A47</f>
        <v>1.</v>
      </c>
      <c r="B54" s="298" t="str">
        <f>IF(J54&gt;9,CONCATENATE(J54,"."),CONCATENATE("0",J54,"."))</f>
        <v>05.</v>
      </c>
      <c r="C54" s="257" t="s">
        <v>1054</v>
      </c>
      <c r="D54" s="257" t="s">
        <v>1146</v>
      </c>
      <c r="E54" s="258" t="s">
        <v>38</v>
      </c>
      <c r="F54" s="259">
        <f>구조물공총괄집계표!G139</f>
        <v>331.95299999999997</v>
      </c>
      <c r="G54" s="257">
        <f>SUM(F54:F54)</f>
        <v>331.95299999999997</v>
      </c>
      <c r="H54" s="261"/>
      <c r="I54" s="287"/>
      <c r="J54" s="363">
        <f>SUM($K$3:K54)</f>
        <v>5</v>
      </c>
      <c r="K54" s="356">
        <v>1</v>
      </c>
      <c r="L54" s="356"/>
      <c r="M54" s="356"/>
      <c r="N54" s="361" t="str">
        <f>IF(K54="",IF(L54="","숨김","1"),"1")</f>
        <v>1</v>
      </c>
    </row>
    <row r="55" spans="1:14" s="262" customFormat="1" ht="18" hidden="1" customHeight="1">
      <c r="A55" s="301" t="str">
        <f>A54</f>
        <v>1.</v>
      </c>
      <c r="B55" s="298" t="str">
        <f>IF(J55&gt;9,CONCATENATE(J55,"."),CONCATENATE("0",J55,"."))</f>
        <v>05.</v>
      </c>
      <c r="C55" s="257" t="s">
        <v>599</v>
      </c>
      <c r="D55" s="257"/>
      <c r="E55" s="258"/>
      <c r="F55" s="259"/>
      <c r="G55" s="257">
        <f t="shared" si="2"/>
        <v>0</v>
      </c>
      <c r="H55" s="261"/>
      <c r="J55" s="363">
        <f>SUM($K$3:K55)</f>
        <v>5</v>
      </c>
      <c r="K55" s="355"/>
      <c r="L55" s="355"/>
      <c r="M55" s="355"/>
      <c r="N55" s="361" t="str">
        <f t="shared" si="1"/>
        <v>숨김</v>
      </c>
    </row>
    <row r="56" spans="1:14" s="28" customFormat="1" ht="18" hidden="1" customHeight="1">
      <c r="A56" s="299"/>
      <c r="B56" s="300" t="str">
        <f t="shared" si="0"/>
        <v>.</v>
      </c>
      <c r="C56" s="201" t="s">
        <v>600</v>
      </c>
      <c r="D56" s="201" t="s">
        <v>601</v>
      </c>
      <c r="E56" s="202" t="s">
        <v>12</v>
      </c>
      <c r="F56" s="203">
        <f>구조물공총괄집계표!G153</f>
        <v>0</v>
      </c>
      <c r="G56" s="201">
        <f t="shared" si="2"/>
        <v>0</v>
      </c>
      <c r="H56" s="34"/>
      <c r="J56" s="363">
        <f>SUM($K$3:K56)</f>
        <v>5</v>
      </c>
      <c r="K56" s="357"/>
      <c r="L56" s="357"/>
      <c r="M56" s="357"/>
      <c r="N56" s="361" t="str">
        <f t="shared" si="1"/>
        <v>숨김</v>
      </c>
    </row>
    <row r="57" spans="1:14" s="28" customFormat="1" ht="18" hidden="1" customHeight="1">
      <c r="A57" s="299"/>
      <c r="B57" s="300" t="str">
        <f t="shared" si="0"/>
        <v>.</v>
      </c>
      <c r="C57" s="201" t="s">
        <v>602</v>
      </c>
      <c r="D57" s="201" t="s">
        <v>601</v>
      </c>
      <c r="E57" s="202" t="s">
        <v>12</v>
      </c>
      <c r="F57" s="203">
        <f>구조물공총괄집계표!G154+구조물공총괄집계표!G155</f>
        <v>0</v>
      </c>
      <c r="G57" s="201">
        <f t="shared" si="2"/>
        <v>0</v>
      </c>
      <c r="H57" s="34"/>
      <c r="J57" s="363">
        <f>SUM($K$3:K57)</f>
        <v>5</v>
      </c>
      <c r="K57" s="357"/>
      <c r="L57" s="357"/>
      <c r="M57" s="357"/>
      <c r="N57" s="361" t="str">
        <f t="shared" si="1"/>
        <v>숨김</v>
      </c>
    </row>
    <row r="58" spans="1:14" s="28" customFormat="1" ht="18" hidden="1" customHeight="1">
      <c r="A58" s="299"/>
      <c r="B58" s="300" t="str">
        <f t="shared" si="0"/>
        <v>.</v>
      </c>
      <c r="C58" s="201" t="s">
        <v>478</v>
      </c>
      <c r="D58" s="201"/>
      <c r="E58" s="202" t="s">
        <v>12</v>
      </c>
      <c r="F58" s="203">
        <f>구조물공총괄집계표!G158</f>
        <v>0</v>
      </c>
      <c r="G58" s="201">
        <f t="shared" si="2"/>
        <v>0</v>
      </c>
      <c r="H58" s="34"/>
      <c r="J58" s="363">
        <f>SUM($K$3:K58)</f>
        <v>5</v>
      </c>
      <c r="K58" s="357"/>
      <c r="L58" s="357"/>
      <c r="M58" s="357"/>
      <c r="N58" s="361" t="str">
        <f t="shared" si="1"/>
        <v>숨김</v>
      </c>
    </row>
    <row r="59" spans="1:14" s="28" customFormat="1" ht="18" hidden="1" customHeight="1">
      <c r="A59" s="299"/>
      <c r="B59" s="300" t="str">
        <f t="shared" si="0"/>
        <v>.</v>
      </c>
      <c r="C59" s="201" t="s">
        <v>603</v>
      </c>
      <c r="D59" s="201" t="s">
        <v>601</v>
      </c>
      <c r="E59" s="202" t="s">
        <v>604</v>
      </c>
      <c r="F59" s="203">
        <f>구조물공총괄집계표!G167</f>
        <v>0</v>
      </c>
      <c r="G59" s="201">
        <f t="shared" si="2"/>
        <v>0</v>
      </c>
      <c r="H59" s="34"/>
      <c r="J59" s="363">
        <f>SUM($K$3:K59)</f>
        <v>5</v>
      </c>
      <c r="K59" s="357"/>
      <c r="L59" s="357"/>
      <c r="M59" s="357"/>
      <c r="N59" s="361" t="str">
        <f t="shared" si="1"/>
        <v>숨김</v>
      </c>
    </row>
    <row r="60" spans="1:14" s="28" customFormat="1" ht="18" hidden="1" customHeight="1">
      <c r="A60" s="299"/>
      <c r="B60" s="300" t="str">
        <f t="shared" si="0"/>
        <v>.</v>
      </c>
      <c r="C60" s="201" t="s">
        <v>605</v>
      </c>
      <c r="D60" s="201" t="s">
        <v>601</v>
      </c>
      <c r="E60" s="202" t="s">
        <v>604</v>
      </c>
      <c r="F60" s="203">
        <f>구조물공총괄집계표!G167</f>
        <v>0</v>
      </c>
      <c r="G60" s="201">
        <f t="shared" si="2"/>
        <v>0</v>
      </c>
      <c r="H60" s="34"/>
      <c r="J60" s="363">
        <f>SUM($K$3:K60)</f>
        <v>5</v>
      </c>
      <c r="K60" s="357"/>
      <c r="L60" s="357"/>
      <c r="M60" s="357"/>
      <c r="N60" s="361" t="str">
        <f t="shared" si="1"/>
        <v>숨김</v>
      </c>
    </row>
    <row r="61" spans="1:14" s="28" customFormat="1" ht="18" hidden="1" customHeight="1">
      <c r="A61" s="299"/>
      <c r="B61" s="300" t="str">
        <f t="shared" si="0"/>
        <v>.</v>
      </c>
      <c r="C61" s="201" t="s">
        <v>620</v>
      </c>
      <c r="D61" s="201"/>
      <c r="E61" s="202" t="s">
        <v>604</v>
      </c>
      <c r="F61" s="203">
        <f>구조물공총괄집계표!G159</f>
        <v>0</v>
      </c>
      <c r="G61" s="201">
        <f t="shared" si="2"/>
        <v>0</v>
      </c>
      <c r="H61" s="34"/>
      <c r="J61" s="363">
        <f>SUM($K$3:K61)</f>
        <v>5</v>
      </c>
      <c r="K61" s="357"/>
      <c r="L61" s="357"/>
      <c r="M61" s="357"/>
      <c r="N61" s="361" t="str">
        <f t="shared" si="1"/>
        <v>숨김</v>
      </c>
    </row>
    <row r="62" spans="1:14" s="28" customFormat="1" ht="18" hidden="1" customHeight="1">
      <c r="A62" s="299"/>
      <c r="B62" s="300" t="str">
        <f t="shared" si="0"/>
        <v>.</v>
      </c>
      <c r="C62" s="201" t="s">
        <v>606</v>
      </c>
      <c r="D62" s="201" t="s">
        <v>607</v>
      </c>
      <c r="E62" s="202" t="s">
        <v>608</v>
      </c>
      <c r="F62" s="205">
        <f>구조물공총괄집계표!G161</f>
        <v>0</v>
      </c>
      <c r="G62" s="206">
        <f t="shared" si="2"/>
        <v>0</v>
      </c>
      <c r="H62" s="34"/>
      <c r="J62" s="363">
        <f>SUM($K$3:K62)</f>
        <v>5</v>
      </c>
      <c r="K62" s="357"/>
      <c r="L62" s="357"/>
      <c r="M62" s="357"/>
      <c r="N62" s="361" t="str">
        <f t="shared" si="1"/>
        <v>숨김</v>
      </c>
    </row>
    <row r="63" spans="1:14" s="28" customFormat="1" ht="18" hidden="1" customHeight="1">
      <c r="A63" s="299"/>
      <c r="B63" s="300" t="str">
        <f t="shared" si="0"/>
        <v>.</v>
      </c>
      <c r="C63" s="201" t="s">
        <v>609</v>
      </c>
      <c r="D63" s="201" t="s">
        <v>610</v>
      </c>
      <c r="E63" s="202" t="s">
        <v>604</v>
      </c>
      <c r="F63" s="203">
        <f>F61</f>
        <v>0</v>
      </c>
      <c r="G63" s="201">
        <f t="shared" si="2"/>
        <v>0</v>
      </c>
      <c r="H63" s="34"/>
      <c r="J63" s="363">
        <f>SUM($K$3:K63)</f>
        <v>5</v>
      </c>
      <c r="K63" s="357"/>
      <c r="L63" s="357"/>
      <c r="M63" s="357"/>
      <c r="N63" s="361" t="str">
        <f t="shared" si="1"/>
        <v>숨김</v>
      </c>
    </row>
    <row r="64" spans="1:14" s="28" customFormat="1" ht="18" hidden="1" customHeight="1">
      <c r="A64" s="299"/>
      <c r="B64" s="300" t="str">
        <f t="shared" si="0"/>
        <v>.</v>
      </c>
      <c r="C64" s="201" t="s">
        <v>611</v>
      </c>
      <c r="D64" s="201" t="s">
        <v>610</v>
      </c>
      <c r="E64" s="202" t="s">
        <v>604</v>
      </c>
      <c r="F64" s="203">
        <f>구조물공총괄집계표!G160</f>
        <v>0</v>
      </c>
      <c r="G64" s="201">
        <f t="shared" si="2"/>
        <v>0</v>
      </c>
      <c r="H64" s="34"/>
      <c r="J64" s="363">
        <f>SUM($K$3:K64)</f>
        <v>5</v>
      </c>
      <c r="K64" s="357"/>
      <c r="L64" s="357"/>
      <c r="M64" s="357"/>
      <c r="N64" s="361" t="str">
        <f t="shared" si="1"/>
        <v>숨김</v>
      </c>
    </row>
    <row r="65" spans="1:14" s="28" customFormat="1" ht="18" hidden="1" customHeight="1">
      <c r="A65" s="299"/>
      <c r="B65" s="300" t="str">
        <f t="shared" si="0"/>
        <v>.</v>
      </c>
      <c r="C65" s="201" t="s">
        <v>612</v>
      </c>
      <c r="D65" s="201"/>
      <c r="E65" s="202" t="s">
        <v>4</v>
      </c>
      <c r="F65" s="203">
        <f>구조물공총괄집계표!G162</f>
        <v>0</v>
      </c>
      <c r="G65" s="201">
        <f t="shared" si="2"/>
        <v>0</v>
      </c>
      <c r="H65" s="34"/>
      <c r="J65" s="363">
        <f>SUM($K$3:K65)</f>
        <v>5</v>
      </c>
      <c r="K65" s="357"/>
      <c r="L65" s="357"/>
      <c r="M65" s="357"/>
      <c r="N65" s="361" t="str">
        <f t="shared" si="1"/>
        <v>숨김</v>
      </c>
    </row>
    <row r="66" spans="1:14" s="28" customFormat="1" ht="18" hidden="1" customHeight="1">
      <c r="A66" s="299"/>
      <c r="B66" s="300" t="str">
        <f t="shared" si="0"/>
        <v>.</v>
      </c>
      <c r="C66" s="201" t="s">
        <v>613</v>
      </c>
      <c r="D66" s="201" t="s">
        <v>610</v>
      </c>
      <c r="E66" s="202" t="s">
        <v>604</v>
      </c>
      <c r="F66" s="203">
        <f>구조물공총괄집계표!G164</f>
        <v>0</v>
      </c>
      <c r="G66" s="201">
        <f t="shared" si="2"/>
        <v>0</v>
      </c>
      <c r="H66" s="34"/>
      <c r="J66" s="363">
        <f>SUM($K$3:K66)</f>
        <v>5</v>
      </c>
      <c r="K66" s="357"/>
      <c r="L66" s="357"/>
      <c r="M66" s="357"/>
      <c r="N66" s="361" t="str">
        <f t="shared" si="1"/>
        <v>숨김</v>
      </c>
    </row>
    <row r="67" spans="1:14" s="28" customFormat="1" ht="18" hidden="1" customHeight="1">
      <c r="A67" s="299"/>
      <c r="B67" s="300" t="str">
        <f t="shared" si="0"/>
        <v>.</v>
      </c>
      <c r="C67" s="201" t="s">
        <v>614</v>
      </c>
      <c r="D67" s="201" t="s">
        <v>653</v>
      </c>
      <c r="E67" s="202" t="s">
        <v>4</v>
      </c>
      <c r="F67" s="203">
        <f>구조물공총괄집계표!G165</f>
        <v>0</v>
      </c>
      <c r="G67" s="201">
        <f t="shared" si="2"/>
        <v>0</v>
      </c>
      <c r="H67" s="34"/>
      <c r="J67" s="363">
        <f>SUM($K$3:K67)</f>
        <v>5</v>
      </c>
      <c r="K67" s="357"/>
      <c r="L67" s="357"/>
      <c r="M67" s="357"/>
      <c r="N67" s="361" t="str">
        <f t="shared" si="1"/>
        <v>숨김</v>
      </c>
    </row>
    <row r="68" spans="1:14" s="28" customFormat="1" ht="18" hidden="1" customHeight="1">
      <c r="A68" s="299"/>
      <c r="B68" s="300" t="str">
        <f t="shared" si="0"/>
        <v>.</v>
      </c>
      <c r="C68" s="201" t="s">
        <v>621</v>
      </c>
      <c r="D68" s="201"/>
      <c r="E68" s="202"/>
      <c r="F68" s="203"/>
      <c r="G68" s="201">
        <f t="shared" si="2"/>
        <v>0</v>
      </c>
      <c r="H68" s="34"/>
      <c r="J68" s="363">
        <f>SUM($K$3:K68)</f>
        <v>5</v>
      </c>
      <c r="K68" s="357"/>
      <c r="L68" s="357"/>
      <c r="M68" s="357"/>
      <c r="N68" s="361" t="str">
        <f t="shared" si="1"/>
        <v>숨김</v>
      </c>
    </row>
    <row r="69" spans="1:14" s="28" customFormat="1" ht="18" hidden="1" customHeight="1">
      <c r="A69" s="299"/>
      <c r="B69" s="300" t="str">
        <f t="shared" si="0"/>
        <v>.</v>
      </c>
      <c r="C69" s="201" t="s">
        <v>476</v>
      </c>
      <c r="D69" s="201"/>
      <c r="E69" s="202" t="s">
        <v>108</v>
      </c>
      <c r="F69" s="278"/>
      <c r="G69" s="201">
        <f>SUM(F69:F69)</f>
        <v>0</v>
      </c>
      <c r="H69" s="34"/>
      <c r="J69" s="363">
        <f>SUM($K$3:K69)</f>
        <v>5</v>
      </c>
      <c r="K69" s="357"/>
      <c r="L69" s="357"/>
      <c r="M69" s="357"/>
      <c r="N69" s="361" t="str">
        <f t="shared" si="1"/>
        <v>숨김</v>
      </c>
    </row>
    <row r="70" spans="1:14" s="28" customFormat="1" ht="18" hidden="1" customHeight="1">
      <c r="A70" s="299"/>
      <c r="B70" s="300" t="str">
        <f t="shared" si="0"/>
        <v>.</v>
      </c>
      <c r="C70" s="201" t="s">
        <v>477</v>
      </c>
      <c r="D70" s="201"/>
      <c r="E70" s="202" t="s">
        <v>108</v>
      </c>
      <c r="F70" s="278"/>
      <c r="G70" s="201">
        <f>SUM(F70:F70)</f>
        <v>0</v>
      </c>
      <c r="H70" s="34"/>
      <c r="J70" s="363">
        <f>SUM($K$3:K70)</f>
        <v>5</v>
      </c>
      <c r="K70" s="357"/>
      <c r="L70" s="357"/>
      <c r="M70" s="357"/>
      <c r="N70" s="361" t="str">
        <f t="shared" si="1"/>
        <v>숨김</v>
      </c>
    </row>
    <row r="71" spans="1:14" s="28" customFormat="1" ht="18" hidden="1" customHeight="1">
      <c r="A71" s="299"/>
      <c r="B71" s="300" t="str">
        <f t="shared" si="0"/>
        <v>.</v>
      </c>
      <c r="C71" s="201" t="s">
        <v>534</v>
      </c>
      <c r="D71" s="201"/>
      <c r="E71" s="202" t="s">
        <v>208</v>
      </c>
      <c r="F71" s="278"/>
      <c r="G71" s="201">
        <f>SUM(F71:F71)</f>
        <v>0</v>
      </c>
      <c r="H71" s="34"/>
      <c r="J71" s="363">
        <f>SUM($K$3:K71)</f>
        <v>5</v>
      </c>
      <c r="K71" s="357"/>
      <c r="L71" s="357"/>
      <c r="M71" s="357"/>
      <c r="N71" s="361" t="str">
        <f t="shared" si="1"/>
        <v>숨김</v>
      </c>
    </row>
    <row r="72" spans="1:14" s="28" customFormat="1" ht="18" hidden="1" customHeight="1">
      <c r="A72" s="299"/>
      <c r="B72" s="300" t="str">
        <f t="shared" si="0"/>
        <v>.</v>
      </c>
      <c r="C72" s="201" t="s">
        <v>616</v>
      </c>
      <c r="D72" s="201"/>
      <c r="E72" s="202" t="s">
        <v>208</v>
      </c>
      <c r="F72" s="278"/>
      <c r="G72" s="201">
        <f>SUM(F72:F72)</f>
        <v>0</v>
      </c>
      <c r="H72" s="34"/>
      <c r="J72" s="363">
        <f>SUM($K$3:K72)</f>
        <v>5</v>
      </c>
      <c r="K72" s="357"/>
      <c r="L72" s="357"/>
      <c r="M72" s="357"/>
      <c r="N72" s="361" t="str">
        <f t="shared" si="1"/>
        <v>숨김</v>
      </c>
    </row>
    <row r="73" spans="1:14" s="28" customFormat="1" ht="18" hidden="1" customHeight="1">
      <c r="A73" s="299"/>
      <c r="B73" s="300" t="str">
        <f t="shared" si="0"/>
        <v>.</v>
      </c>
      <c r="C73" s="201" t="s">
        <v>560</v>
      </c>
      <c r="D73" s="201"/>
      <c r="E73" s="202" t="s">
        <v>208</v>
      </c>
      <c r="F73" s="278"/>
      <c r="G73" s="201">
        <f>SUM(F73:F73)</f>
        <v>0</v>
      </c>
      <c r="H73" s="34"/>
      <c r="J73" s="363">
        <f>SUM($K$3:K73)</f>
        <v>5</v>
      </c>
      <c r="K73" s="357"/>
      <c r="L73" s="357"/>
      <c r="M73" s="357"/>
      <c r="N73" s="361" t="str">
        <f t="shared" si="1"/>
        <v>숨김</v>
      </c>
    </row>
    <row r="74" spans="1:14" s="262" customFormat="1" ht="20.100000000000001" customHeight="1">
      <c r="A74" s="301" t="str">
        <f>A55</f>
        <v>1.</v>
      </c>
      <c r="B74" s="298" t="str">
        <f>IF(J74&gt;9,CONCATENATE(J74,"."),CONCATENATE("0",J74,"."))</f>
        <v>06.</v>
      </c>
      <c r="C74" s="257" t="s">
        <v>622</v>
      </c>
      <c r="D74" s="257"/>
      <c r="E74" s="295" t="s">
        <v>4</v>
      </c>
      <c r="F74" s="313">
        <f>+토공총괄집계표!H26</f>
        <v>1199.905</v>
      </c>
      <c r="G74" s="294">
        <f t="shared" si="2"/>
        <v>1199.905</v>
      </c>
      <c r="H74" s="261"/>
      <c r="J74" s="363">
        <f>SUM($K$3:K74)</f>
        <v>6</v>
      </c>
      <c r="K74" s="355">
        <v>1</v>
      </c>
      <c r="L74" s="355"/>
      <c r="M74" s="355"/>
      <c r="N74" s="361" t="str">
        <f t="shared" si="1"/>
        <v>1</v>
      </c>
    </row>
    <row r="75" spans="1:14" s="262" customFormat="1" ht="18" hidden="1" customHeight="1">
      <c r="A75" s="301" t="str">
        <f>A74</f>
        <v>1.</v>
      </c>
      <c r="B75" s="298" t="str">
        <f>IF(J75&gt;9,CONCATENATE(J75,"."),CONCATENATE("0",J75,"."))</f>
        <v>06.</v>
      </c>
      <c r="C75" s="257" t="s">
        <v>623</v>
      </c>
      <c r="D75" s="257"/>
      <c r="E75" s="258" t="s">
        <v>4</v>
      </c>
      <c r="F75" s="289">
        <f>+토공총괄집계표!H36</f>
        <v>0</v>
      </c>
      <c r="G75" s="290">
        <f t="shared" si="2"/>
        <v>0</v>
      </c>
      <c r="H75" s="261"/>
      <c r="J75" s="363">
        <f>SUM($K$3:K75)</f>
        <v>6</v>
      </c>
      <c r="K75" s="355"/>
      <c r="L75" s="355"/>
      <c r="M75" s="355"/>
      <c r="N75" s="361" t="str">
        <f t="shared" si="1"/>
        <v>숨김</v>
      </c>
    </row>
    <row r="76" spans="1:14" ht="18" hidden="1" customHeight="1">
      <c r="A76" s="303"/>
      <c r="B76" s="471"/>
      <c r="C76" s="36"/>
      <c r="D76" s="36"/>
      <c r="E76" s="37"/>
      <c r="F76" s="474"/>
      <c r="G76" s="472"/>
      <c r="H76" s="473"/>
      <c r="J76" s="363">
        <f>SUM($K$3:K76)</f>
        <v>6</v>
      </c>
      <c r="K76" s="355"/>
      <c r="L76" s="355"/>
      <c r="M76" s="355"/>
      <c r="N76" s="361" t="str">
        <f t="shared" ref="N76:N81" si="6">IF(K76="",IF(L76="","숨김","1"),"1")</f>
        <v>숨김</v>
      </c>
    </row>
    <row r="77" spans="1:14" ht="18" hidden="1" customHeight="1">
      <c r="A77" s="303"/>
      <c r="B77" s="471"/>
      <c r="C77" s="36"/>
      <c r="D77" s="36"/>
      <c r="E77" s="37"/>
      <c r="F77" s="474"/>
      <c r="G77" s="472"/>
      <c r="H77" s="473"/>
      <c r="J77" s="363">
        <f>SUM($K$3:K77)</f>
        <v>6</v>
      </c>
      <c r="K77" s="355"/>
      <c r="L77" s="355"/>
      <c r="M77" s="355"/>
      <c r="N77" s="361" t="str">
        <f t="shared" si="6"/>
        <v>숨김</v>
      </c>
    </row>
    <row r="78" spans="1:14" ht="18" hidden="1" customHeight="1">
      <c r="A78" s="303"/>
      <c r="B78" s="471"/>
      <c r="C78" s="36"/>
      <c r="D78" s="36"/>
      <c r="E78" s="37"/>
      <c r="F78" s="474"/>
      <c r="G78" s="472"/>
      <c r="H78" s="473"/>
      <c r="J78" s="363">
        <f>SUM($K$3:K78)</f>
        <v>6</v>
      </c>
      <c r="K78" s="355"/>
      <c r="L78" s="355"/>
      <c r="M78" s="355"/>
      <c r="N78" s="361" t="str">
        <f t="shared" si="6"/>
        <v>숨김</v>
      </c>
    </row>
    <row r="79" spans="1:14" ht="18" hidden="1" customHeight="1">
      <c r="A79" s="303"/>
      <c r="B79" s="471"/>
      <c r="C79" s="36"/>
      <c r="D79" s="36"/>
      <c r="E79" s="37"/>
      <c r="F79" s="474"/>
      <c r="G79" s="472"/>
      <c r="H79" s="473"/>
      <c r="J79" s="363">
        <f>SUM($K$3:K79)</f>
        <v>6</v>
      </c>
      <c r="K79" s="355"/>
      <c r="L79" s="355"/>
      <c r="M79" s="355"/>
      <c r="N79" s="361" t="str">
        <f t="shared" si="6"/>
        <v>숨김</v>
      </c>
    </row>
    <row r="80" spans="1:14" s="262" customFormat="1" ht="20.100000000000001" hidden="1" customHeight="1">
      <c r="A80" s="301" t="str">
        <f>A74</f>
        <v>1.</v>
      </c>
      <c r="B80" s="298" t="str">
        <f>IF(J80&gt;9,CONCATENATE(J80,"."),CONCATENATE("0",J80,"."))</f>
        <v>06.</v>
      </c>
      <c r="C80" s="257" t="s">
        <v>814</v>
      </c>
      <c r="D80" s="257"/>
      <c r="E80" s="258"/>
      <c r="F80" s="259">
        <f>+토공총괄집계표!H32</f>
        <v>0</v>
      </c>
      <c r="G80" s="257">
        <f>SUM(F80:F80)</f>
        <v>0</v>
      </c>
      <c r="H80" s="261"/>
      <c r="J80" s="363">
        <f>SUM($K$3:K80)</f>
        <v>6</v>
      </c>
      <c r="K80" s="355"/>
      <c r="L80" s="355"/>
      <c r="M80" s="355"/>
      <c r="N80" s="361" t="str">
        <f t="shared" si="6"/>
        <v>숨김</v>
      </c>
    </row>
    <row r="81" spans="1:14" s="35" customFormat="1" ht="20.100000000000001" hidden="1" customHeight="1">
      <c r="A81" s="299"/>
      <c r="B81" s="300" t="str">
        <f>IF(M81="",CONCATENATE(L81,"."),CONCATENATE(L81,"-",M81,"."))</f>
        <v>.</v>
      </c>
      <c r="C81" s="201" t="s">
        <v>676</v>
      </c>
      <c r="D81" s="201"/>
      <c r="E81" s="202" t="s">
        <v>108</v>
      </c>
      <c r="F81" s="203">
        <f>구조물공총괄집계표!G125</f>
        <v>0</v>
      </c>
      <c r="G81" s="201">
        <f>SUM(F81:F81)</f>
        <v>0</v>
      </c>
      <c r="H81" s="34"/>
      <c r="J81" s="363">
        <f>SUM($K$3:K81)</f>
        <v>6</v>
      </c>
      <c r="K81" s="356"/>
      <c r="L81" s="356"/>
      <c r="M81" s="356"/>
      <c r="N81" s="361" t="str">
        <f t="shared" si="6"/>
        <v>숨김</v>
      </c>
    </row>
    <row r="82" spans="1:14" s="262" customFormat="1" ht="20.100000000000001" customHeight="1">
      <c r="A82" s="301" t="str">
        <f>A27</f>
        <v>1.</v>
      </c>
      <c r="B82" s="298" t="str">
        <f>IF(J82&gt;9,CONCATENATE(J82,"."),CONCATENATE("0",J82,"."))</f>
        <v>07.</v>
      </c>
      <c r="C82" s="257" t="s">
        <v>304</v>
      </c>
      <c r="D82" s="257"/>
      <c r="E82" s="258"/>
      <c r="F82" s="259"/>
      <c r="G82" s="257"/>
      <c r="H82" s="261"/>
      <c r="J82" s="363">
        <f>SUM($K$3:K82)</f>
        <v>7</v>
      </c>
      <c r="K82" s="355">
        <v>1</v>
      </c>
      <c r="L82" s="355"/>
      <c r="M82" s="355"/>
      <c r="N82" s="361" t="str">
        <f t="shared" ref="N82:N147" si="7">IF(K82="",IF(L82="","숨김","1"),"1")</f>
        <v>1</v>
      </c>
    </row>
    <row r="83" spans="1:14" s="28" customFormat="1" ht="20.100000000000001" customHeight="1">
      <c r="A83" s="302"/>
      <c r="B83" s="300" t="str">
        <f t="shared" ref="B83:B147" si="8">IF(M83="",CONCATENATE(L83,"."),CONCATENATE(L83,"-",M83,"."))</f>
        <v>a.</v>
      </c>
      <c r="C83" s="201" t="s">
        <v>305</v>
      </c>
      <c r="D83" s="201"/>
      <c r="E83" s="202"/>
      <c r="F83" s="203"/>
      <c r="G83" s="201"/>
      <c r="H83" s="34"/>
      <c r="J83" s="363">
        <f>SUM($K$3:K83)</f>
        <v>7</v>
      </c>
      <c r="K83" s="357"/>
      <c r="L83" s="357" t="s">
        <v>942</v>
      </c>
      <c r="M83" s="357"/>
      <c r="N83" s="361" t="str">
        <f t="shared" si="7"/>
        <v>1</v>
      </c>
    </row>
    <row r="84" spans="1:14" s="27" customFormat="1" ht="20.100000000000001" hidden="1" customHeight="1">
      <c r="A84" s="299"/>
      <c r="B84" s="300" t="str">
        <f t="shared" si="8"/>
        <v>.</v>
      </c>
      <c r="C84" s="201" t="s">
        <v>305</v>
      </c>
      <c r="D84" s="201" t="s">
        <v>306</v>
      </c>
      <c r="E84" s="202" t="s">
        <v>8</v>
      </c>
      <c r="F84" s="203">
        <f>+구조물공총괄집계표!G13+구조물공총괄집계표!G17+구조물공총괄집계표!G18</f>
        <v>0</v>
      </c>
      <c r="G84" s="201">
        <f t="shared" si="2"/>
        <v>0</v>
      </c>
      <c r="H84" s="34"/>
      <c r="J84" s="363">
        <f>SUM($K$3:K84)</f>
        <v>7</v>
      </c>
      <c r="K84" s="358"/>
      <c r="L84" s="357"/>
      <c r="M84" s="358"/>
      <c r="N84" s="361" t="str">
        <f t="shared" si="7"/>
        <v>숨김</v>
      </c>
    </row>
    <row r="85" spans="1:14" s="35" customFormat="1" ht="20.100000000000001" hidden="1" customHeight="1">
      <c r="A85" s="299"/>
      <c r="B85" s="300" t="str">
        <f t="shared" si="8"/>
        <v>.</v>
      </c>
      <c r="C85" s="201" t="s">
        <v>305</v>
      </c>
      <c r="D85" s="201" t="s">
        <v>307</v>
      </c>
      <c r="E85" s="202" t="s">
        <v>8</v>
      </c>
      <c r="F85" s="203">
        <f>+구조물공총괄집계표!G14</f>
        <v>0</v>
      </c>
      <c r="G85" s="201">
        <f t="shared" si="2"/>
        <v>0</v>
      </c>
      <c r="H85" s="34"/>
      <c r="J85" s="363">
        <f>SUM($K$3:K85)</f>
        <v>7</v>
      </c>
      <c r="K85" s="356"/>
      <c r="L85" s="357"/>
      <c r="M85" s="356"/>
      <c r="N85" s="361" t="str">
        <f t="shared" si="7"/>
        <v>숨김</v>
      </c>
    </row>
    <row r="86" spans="1:14" s="35" customFormat="1" ht="20.100000000000001" hidden="1" customHeight="1">
      <c r="A86" s="299"/>
      <c r="B86" s="300" t="str">
        <f t="shared" si="8"/>
        <v>.</v>
      </c>
      <c r="C86" s="201" t="s">
        <v>305</v>
      </c>
      <c r="D86" s="201" t="s">
        <v>308</v>
      </c>
      <c r="E86" s="202" t="s">
        <v>8</v>
      </c>
      <c r="F86" s="203">
        <f>+구조물공총괄집계표!G15</f>
        <v>0</v>
      </c>
      <c r="G86" s="201">
        <f t="shared" si="2"/>
        <v>0</v>
      </c>
      <c r="H86" s="34"/>
      <c r="J86" s="363">
        <f>SUM($K$3:K86)</f>
        <v>7</v>
      </c>
      <c r="K86" s="356"/>
      <c r="L86" s="357"/>
      <c r="M86" s="356"/>
      <c r="N86" s="361" t="str">
        <f t="shared" si="7"/>
        <v>숨김</v>
      </c>
    </row>
    <row r="87" spans="1:14" s="35" customFormat="1" ht="20.100000000000001" customHeight="1">
      <c r="A87" s="299"/>
      <c r="B87" s="300" t="str">
        <f t="shared" si="8"/>
        <v>a-1.</v>
      </c>
      <c r="C87" s="201" t="s">
        <v>305</v>
      </c>
      <c r="D87" s="201" t="s">
        <v>306</v>
      </c>
      <c r="E87" s="202" t="s">
        <v>8</v>
      </c>
      <c r="F87" s="203">
        <f>구조물공총괄집계표!G19</f>
        <v>1492.6289999999999</v>
      </c>
      <c r="G87" s="201">
        <f t="shared" si="2"/>
        <v>1492.6289999999999</v>
      </c>
      <c r="H87" s="34"/>
      <c r="J87" s="363">
        <f>SUM($K$3:K87)</f>
        <v>7</v>
      </c>
      <c r="K87" s="356"/>
      <c r="L87" s="357" t="s">
        <v>942</v>
      </c>
      <c r="M87" s="356">
        <v>1</v>
      </c>
      <c r="N87" s="361" t="str">
        <f t="shared" si="7"/>
        <v>1</v>
      </c>
    </row>
    <row r="88" spans="1:14" s="35" customFormat="1" ht="20.100000000000001" customHeight="1">
      <c r="A88" s="299"/>
      <c r="B88" s="300" t="str">
        <f t="shared" si="8"/>
        <v>b-2.</v>
      </c>
      <c r="C88" s="201" t="s">
        <v>305</v>
      </c>
      <c r="D88" s="201" t="s">
        <v>569</v>
      </c>
      <c r="E88" s="202" t="s">
        <v>8</v>
      </c>
      <c r="F88" s="203">
        <f>구조물공총괄집계표!G20</f>
        <v>38.465000000000003</v>
      </c>
      <c r="G88" s="201">
        <f t="shared" si="2"/>
        <v>38.465000000000003</v>
      </c>
      <c r="H88" s="34"/>
      <c r="J88" s="363">
        <f>SUM($K$3:K88)</f>
        <v>7</v>
      </c>
      <c r="K88" s="356"/>
      <c r="L88" s="357" t="s">
        <v>943</v>
      </c>
      <c r="M88" s="356">
        <v>2</v>
      </c>
      <c r="N88" s="361" t="str">
        <f t="shared" si="7"/>
        <v>1</v>
      </c>
    </row>
    <row r="89" spans="1:14" s="35" customFormat="1" ht="20.100000000000001" customHeight="1">
      <c r="A89" s="299"/>
      <c r="B89" s="300" t="str">
        <f t="shared" si="8"/>
        <v>c-3.</v>
      </c>
      <c r="C89" s="201" t="s">
        <v>305</v>
      </c>
      <c r="D89" s="201" t="s">
        <v>310</v>
      </c>
      <c r="E89" s="202" t="s">
        <v>8</v>
      </c>
      <c r="F89" s="203">
        <f>+구조물공총괄집계표!G21</f>
        <v>28.209</v>
      </c>
      <c r="G89" s="201">
        <f t="shared" si="2"/>
        <v>28.209</v>
      </c>
      <c r="H89" s="34"/>
      <c r="J89" s="363">
        <f>SUM($K$3:K89)</f>
        <v>7</v>
      </c>
      <c r="K89" s="356"/>
      <c r="L89" s="357" t="s">
        <v>944</v>
      </c>
      <c r="M89" s="356">
        <v>3</v>
      </c>
      <c r="N89" s="361" t="str">
        <f t="shared" si="7"/>
        <v>1</v>
      </c>
    </row>
    <row r="90" spans="1:14" s="35" customFormat="1" ht="20.100000000000001" hidden="1" customHeight="1">
      <c r="A90" s="299"/>
      <c r="B90" s="300" t="str">
        <f t="shared" si="8"/>
        <v>.</v>
      </c>
      <c r="C90" s="201" t="s">
        <v>311</v>
      </c>
      <c r="D90" s="201"/>
      <c r="E90" s="202"/>
      <c r="F90" s="203"/>
      <c r="G90" s="201">
        <f t="shared" si="2"/>
        <v>0</v>
      </c>
      <c r="H90" s="34"/>
      <c r="J90" s="363">
        <f>SUM($K$3:K90)</f>
        <v>7</v>
      </c>
      <c r="K90" s="356"/>
      <c r="L90" s="356"/>
      <c r="M90" s="356"/>
      <c r="N90" s="361" t="str">
        <f t="shared" si="7"/>
        <v>숨김</v>
      </c>
    </row>
    <row r="91" spans="1:14" s="35" customFormat="1" ht="20.100000000000001" hidden="1" customHeight="1">
      <c r="A91" s="299"/>
      <c r="B91" s="300" t="str">
        <f t="shared" si="8"/>
        <v>.</v>
      </c>
      <c r="C91" s="201" t="s">
        <v>311</v>
      </c>
      <c r="D91" s="201" t="s">
        <v>306</v>
      </c>
      <c r="E91" s="202" t="s">
        <v>8</v>
      </c>
      <c r="F91" s="203"/>
      <c r="G91" s="201">
        <f t="shared" si="2"/>
        <v>0</v>
      </c>
      <c r="H91" s="34"/>
      <c r="J91" s="363">
        <f>SUM($K$3:K91)</f>
        <v>7</v>
      </c>
      <c r="K91" s="356"/>
      <c r="L91" s="356"/>
      <c r="M91" s="356"/>
      <c r="N91" s="361" t="str">
        <f t="shared" si="7"/>
        <v>숨김</v>
      </c>
    </row>
    <row r="92" spans="1:14" s="35" customFormat="1" ht="20.100000000000001" hidden="1" customHeight="1">
      <c r="A92" s="299"/>
      <c r="B92" s="300" t="str">
        <f t="shared" si="8"/>
        <v>.</v>
      </c>
      <c r="C92" s="201" t="s">
        <v>311</v>
      </c>
      <c r="D92" s="201" t="s">
        <v>307</v>
      </c>
      <c r="E92" s="202" t="s">
        <v>8</v>
      </c>
      <c r="F92" s="203"/>
      <c r="G92" s="201">
        <f t="shared" si="2"/>
        <v>0</v>
      </c>
      <c r="H92" s="34"/>
      <c r="J92" s="363">
        <f>SUM($K$3:K92)</f>
        <v>7</v>
      </c>
      <c r="K92" s="356"/>
      <c r="L92" s="356"/>
      <c r="M92" s="356"/>
      <c r="N92" s="361" t="str">
        <f t="shared" si="7"/>
        <v>숨김</v>
      </c>
    </row>
    <row r="93" spans="1:14" s="35" customFormat="1" ht="20.100000000000001" hidden="1" customHeight="1">
      <c r="A93" s="299"/>
      <c r="B93" s="300" t="str">
        <f t="shared" si="8"/>
        <v>.</v>
      </c>
      <c r="C93" s="201" t="s">
        <v>311</v>
      </c>
      <c r="D93" s="201" t="s">
        <v>308</v>
      </c>
      <c r="E93" s="202" t="s">
        <v>8</v>
      </c>
      <c r="F93" s="203"/>
      <c r="G93" s="201">
        <f t="shared" si="2"/>
        <v>0</v>
      </c>
      <c r="H93" s="34"/>
      <c r="J93" s="363">
        <f>SUM($K$3:K93)</f>
        <v>7</v>
      </c>
      <c r="K93" s="356"/>
      <c r="L93" s="356"/>
      <c r="M93" s="356"/>
      <c r="N93" s="361" t="str">
        <f t="shared" si="7"/>
        <v>숨김</v>
      </c>
    </row>
    <row r="94" spans="1:14" s="35" customFormat="1" ht="20.100000000000001" hidden="1" customHeight="1">
      <c r="A94" s="299"/>
      <c r="B94" s="300" t="str">
        <f t="shared" si="8"/>
        <v>.</v>
      </c>
      <c r="C94" s="201" t="s">
        <v>311</v>
      </c>
      <c r="D94" s="201" t="s">
        <v>309</v>
      </c>
      <c r="E94" s="202" t="s">
        <v>8</v>
      </c>
      <c r="F94" s="203"/>
      <c r="G94" s="201">
        <f t="shared" si="2"/>
        <v>0</v>
      </c>
      <c r="H94" s="34"/>
      <c r="J94" s="363">
        <f>SUM($K$3:K94)</f>
        <v>7</v>
      </c>
      <c r="K94" s="356"/>
      <c r="L94" s="356"/>
      <c r="M94" s="356"/>
      <c r="N94" s="361" t="str">
        <f t="shared" si="7"/>
        <v>숨김</v>
      </c>
    </row>
    <row r="95" spans="1:14" s="35" customFormat="1" ht="20.100000000000001" hidden="1" customHeight="1">
      <c r="A95" s="299"/>
      <c r="B95" s="300" t="str">
        <f t="shared" si="8"/>
        <v>.</v>
      </c>
      <c r="C95" s="201" t="s">
        <v>312</v>
      </c>
      <c r="F95" s="203"/>
      <c r="G95" s="201">
        <f t="shared" si="2"/>
        <v>0</v>
      </c>
      <c r="H95" s="34"/>
      <c r="J95" s="363">
        <f>SUM($K$3:K95)</f>
        <v>7</v>
      </c>
      <c r="K95" s="356"/>
      <c r="L95" s="356"/>
      <c r="M95" s="356"/>
      <c r="N95" s="361" t="str">
        <f t="shared" si="7"/>
        <v>숨김</v>
      </c>
    </row>
    <row r="96" spans="1:14" s="35" customFormat="1" ht="20.100000000000001" hidden="1" customHeight="1">
      <c r="A96" s="299"/>
      <c r="B96" s="300" t="str">
        <f t="shared" si="8"/>
        <v>.</v>
      </c>
      <c r="C96" s="201" t="s">
        <v>312</v>
      </c>
      <c r="D96" s="201" t="s">
        <v>211</v>
      </c>
      <c r="E96" s="202" t="s">
        <v>8</v>
      </c>
      <c r="F96" s="203">
        <f>+구조물공총괄집계표!G25</f>
        <v>0</v>
      </c>
      <c r="G96" s="201">
        <f t="shared" si="2"/>
        <v>0</v>
      </c>
      <c r="H96" s="34"/>
      <c r="J96" s="363">
        <f>SUM($K$3:K96)</f>
        <v>7</v>
      </c>
      <c r="K96" s="356"/>
      <c r="L96" s="356"/>
      <c r="M96" s="356"/>
      <c r="N96" s="361" t="str">
        <f t="shared" si="7"/>
        <v>숨김</v>
      </c>
    </row>
    <row r="97" spans="1:14" s="35" customFormat="1" ht="20.100000000000001" hidden="1" customHeight="1">
      <c r="A97" s="299"/>
      <c r="B97" s="300" t="str">
        <f t="shared" si="8"/>
        <v>.</v>
      </c>
      <c r="C97" s="201" t="s">
        <v>312</v>
      </c>
      <c r="D97" s="201" t="s">
        <v>210</v>
      </c>
      <c r="E97" s="202" t="s">
        <v>8</v>
      </c>
      <c r="F97" s="203">
        <f>+구조물공총괄집계표!G26</f>
        <v>0</v>
      </c>
      <c r="G97" s="201">
        <f t="shared" si="2"/>
        <v>0</v>
      </c>
      <c r="H97" s="34"/>
      <c r="J97" s="363">
        <f>SUM($K$3:K97)</f>
        <v>7</v>
      </c>
      <c r="K97" s="356"/>
      <c r="L97" s="356"/>
      <c r="M97" s="356"/>
      <c r="N97" s="361" t="str">
        <f t="shared" si="7"/>
        <v>숨김</v>
      </c>
    </row>
    <row r="98" spans="1:14" s="35" customFormat="1" ht="20.100000000000001" hidden="1" customHeight="1">
      <c r="A98" s="299"/>
      <c r="B98" s="300" t="str">
        <f t="shared" si="8"/>
        <v>.</v>
      </c>
      <c r="C98" s="201" t="s">
        <v>312</v>
      </c>
      <c r="D98" s="201" t="s">
        <v>313</v>
      </c>
      <c r="E98" s="202" t="s">
        <v>8</v>
      </c>
      <c r="F98" s="203">
        <f>+구조물공총괄집계표!G27</f>
        <v>0</v>
      </c>
      <c r="G98" s="201">
        <f t="shared" si="2"/>
        <v>0</v>
      </c>
      <c r="H98" s="34"/>
      <c r="J98" s="363">
        <f>SUM($K$3:K98)</f>
        <v>7</v>
      </c>
      <c r="K98" s="356"/>
      <c r="L98" s="356"/>
      <c r="M98" s="356"/>
      <c r="N98" s="361" t="str">
        <f t="shared" si="7"/>
        <v>숨김</v>
      </c>
    </row>
    <row r="99" spans="1:14" s="35" customFormat="1" ht="20.100000000000001" hidden="1" customHeight="1">
      <c r="A99" s="299"/>
      <c r="B99" s="300" t="str">
        <f t="shared" si="8"/>
        <v>.</v>
      </c>
      <c r="C99" s="201" t="s">
        <v>314</v>
      </c>
      <c r="F99" s="203"/>
      <c r="G99" s="201">
        <f t="shared" si="2"/>
        <v>0</v>
      </c>
      <c r="H99" s="34"/>
      <c r="J99" s="363">
        <f>SUM($K$3:K99)</f>
        <v>7</v>
      </c>
      <c r="K99" s="356"/>
      <c r="L99" s="356"/>
      <c r="M99" s="356"/>
      <c r="N99" s="361" t="str">
        <f t="shared" si="7"/>
        <v>숨김</v>
      </c>
    </row>
    <row r="100" spans="1:14" s="35" customFormat="1" ht="20.100000000000001" hidden="1" customHeight="1">
      <c r="A100" s="299"/>
      <c r="B100" s="300" t="str">
        <f t="shared" si="8"/>
        <v>.</v>
      </c>
      <c r="C100" s="201" t="s">
        <v>314</v>
      </c>
      <c r="D100" s="201" t="s">
        <v>211</v>
      </c>
      <c r="E100" s="202" t="s">
        <v>8</v>
      </c>
      <c r="F100" s="203">
        <f>+구조물공총괄집계표!G28</f>
        <v>0</v>
      </c>
      <c r="G100" s="201">
        <f t="shared" si="2"/>
        <v>0</v>
      </c>
      <c r="H100" s="34"/>
      <c r="J100" s="363">
        <f>SUM($K$3:K100)</f>
        <v>7</v>
      </c>
      <c r="K100" s="356"/>
      <c r="L100" s="356"/>
      <c r="M100" s="356"/>
      <c r="N100" s="361" t="str">
        <f t="shared" si="7"/>
        <v>숨김</v>
      </c>
    </row>
    <row r="101" spans="1:14" s="35" customFormat="1" ht="20.100000000000001" hidden="1" customHeight="1">
      <c r="A101" s="299"/>
      <c r="B101" s="300" t="str">
        <f t="shared" si="8"/>
        <v>.</v>
      </c>
      <c r="C101" s="201" t="s">
        <v>314</v>
      </c>
      <c r="D101" s="201" t="s">
        <v>210</v>
      </c>
      <c r="E101" s="202" t="s">
        <v>8</v>
      </c>
      <c r="F101" s="203">
        <f>+구조물공총괄집계표!G29</f>
        <v>0</v>
      </c>
      <c r="G101" s="201">
        <f t="shared" si="2"/>
        <v>0</v>
      </c>
      <c r="H101" s="34"/>
      <c r="J101" s="363">
        <f>SUM($K$3:K101)</f>
        <v>7</v>
      </c>
      <c r="K101" s="356"/>
      <c r="L101" s="356"/>
      <c r="M101" s="356"/>
      <c r="N101" s="361" t="str">
        <f t="shared" si="7"/>
        <v>숨김</v>
      </c>
    </row>
    <row r="102" spans="1:14" s="35" customFormat="1" ht="20.100000000000001" hidden="1" customHeight="1">
      <c r="A102" s="299"/>
      <c r="B102" s="300" t="str">
        <f t="shared" si="8"/>
        <v>.</v>
      </c>
      <c r="C102" s="201" t="s">
        <v>314</v>
      </c>
      <c r="D102" s="201" t="s">
        <v>313</v>
      </c>
      <c r="E102" s="202" t="s">
        <v>8</v>
      </c>
      <c r="F102" s="203">
        <f>+구조물공총괄집계표!G30</f>
        <v>0</v>
      </c>
      <c r="G102" s="201">
        <f t="shared" si="2"/>
        <v>0</v>
      </c>
      <c r="H102" s="34"/>
      <c r="J102" s="363">
        <f>SUM($K$3:K102)</f>
        <v>7</v>
      </c>
      <c r="K102" s="356"/>
      <c r="L102" s="356"/>
      <c r="M102" s="356"/>
      <c r="N102" s="361" t="str">
        <f t="shared" si="7"/>
        <v>숨김</v>
      </c>
    </row>
    <row r="103" spans="1:14" s="35" customFormat="1" ht="20.100000000000001" hidden="1" customHeight="1">
      <c r="A103" s="299"/>
      <c r="B103" s="300" t="str">
        <f t="shared" si="8"/>
        <v>.</v>
      </c>
      <c r="C103" s="201" t="s">
        <v>315</v>
      </c>
      <c r="D103" s="201"/>
      <c r="E103" s="202"/>
      <c r="F103" s="203"/>
      <c r="G103" s="201">
        <f t="shared" si="2"/>
        <v>0</v>
      </c>
      <c r="H103" s="34"/>
      <c r="J103" s="363">
        <f>SUM($K$3:K103)</f>
        <v>7</v>
      </c>
      <c r="K103" s="356"/>
      <c r="L103" s="356"/>
      <c r="M103" s="356"/>
      <c r="N103" s="361" t="str">
        <f t="shared" si="7"/>
        <v>숨김</v>
      </c>
    </row>
    <row r="104" spans="1:14" s="28" customFormat="1" ht="20.100000000000001" hidden="1" customHeight="1">
      <c r="A104" s="299"/>
      <c r="B104" s="300" t="str">
        <f t="shared" si="8"/>
        <v>.</v>
      </c>
      <c r="C104" s="201" t="s">
        <v>315</v>
      </c>
      <c r="D104" s="201" t="s">
        <v>209</v>
      </c>
      <c r="E104" s="202" t="s">
        <v>8</v>
      </c>
      <c r="F104" s="203">
        <f>+구조물공총괄집계표!G22</f>
        <v>0</v>
      </c>
      <c r="G104" s="201">
        <f t="shared" si="2"/>
        <v>0</v>
      </c>
      <c r="H104" s="34"/>
      <c r="J104" s="363"/>
      <c r="K104" s="357"/>
      <c r="L104" s="357"/>
      <c r="M104" s="357"/>
      <c r="N104" s="361" t="str">
        <f t="shared" si="7"/>
        <v>숨김</v>
      </c>
    </row>
    <row r="105" spans="1:14" s="35" customFormat="1" ht="20.100000000000001" hidden="1" customHeight="1">
      <c r="A105" s="299"/>
      <c r="B105" s="300" t="str">
        <f t="shared" si="8"/>
        <v>.</v>
      </c>
      <c r="C105" s="201" t="s">
        <v>315</v>
      </c>
      <c r="D105" s="201" t="s">
        <v>210</v>
      </c>
      <c r="E105" s="202" t="s">
        <v>8</v>
      </c>
      <c r="F105" s="203">
        <f>+구조물공총괄집계표!G23</f>
        <v>0</v>
      </c>
      <c r="G105" s="201">
        <f t="shared" si="2"/>
        <v>0</v>
      </c>
      <c r="H105" s="34"/>
      <c r="J105" s="363">
        <f>SUM($K$3:K105)</f>
        <v>7</v>
      </c>
      <c r="K105" s="356"/>
      <c r="L105" s="356"/>
      <c r="M105" s="356"/>
      <c r="N105" s="361" t="str">
        <f t="shared" si="7"/>
        <v>숨김</v>
      </c>
    </row>
    <row r="106" spans="1:14" s="28" customFormat="1" ht="20.100000000000001" hidden="1" customHeight="1">
      <c r="A106" s="299"/>
      <c r="B106" s="300" t="str">
        <f t="shared" si="8"/>
        <v>.</v>
      </c>
      <c r="C106" s="201" t="s">
        <v>315</v>
      </c>
      <c r="D106" s="201" t="s">
        <v>313</v>
      </c>
      <c r="E106" s="202" t="s">
        <v>8</v>
      </c>
      <c r="F106" s="203">
        <f>+구조물공총괄집계표!G24</f>
        <v>0</v>
      </c>
      <c r="G106" s="201">
        <f t="shared" si="2"/>
        <v>0</v>
      </c>
      <c r="H106" s="34"/>
      <c r="J106" s="363">
        <f>SUM($K$3:K106)</f>
        <v>7</v>
      </c>
      <c r="K106" s="357"/>
      <c r="L106" s="357"/>
      <c r="M106" s="357"/>
      <c r="N106" s="361" t="str">
        <f t="shared" si="7"/>
        <v>숨김</v>
      </c>
    </row>
    <row r="107" spans="1:14" s="28" customFormat="1" ht="20.100000000000001" hidden="1" customHeight="1">
      <c r="A107" s="299"/>
      <c r="B107" s="300" t="str">
        <f t="shared" si="8"/>
        <v>.</v>
      </c>
      <c r="C107" s="201" t="s">
        <v>483</v>
      </c>
      <c r="D107" s="201"/>
      <c r="E107" s="202"/>
      <c r="F107" s="203"/>
      <c r="G107" s="201">
        <f t="shared" si="2"/>
        <v>0</v>
      </c>
      <c r="H107" s="34"/>
      <c r="J107" s="363">
        <f>SUM($K$3:K107)</f>
        <v>7</v>
      </c>
      <c r="K107" s="357"/>
      <c r="L107" s="357"/>
      <c r="M107" s="357"/>
      <c r="N107" s="361" t="str">
        <f t="shared" si="7"/>
        <v>숨김</v>
      </c>
    </row>
    <row r="108" spans="1:14" s="28" customFormat="1" ht="20.100000000000001" hidden="1" customHeight="1">
      <c r="A108" s="299"/>
      <c r="B108" s="300" t="str">
        <f t="shared" si="8"/>
        <v>.</v>
      </c>
      <c r="C108" s="201" t="s">
        <v>1036</v>
      </c>
      <c r="D108" s="201" t="s">
        <v>209</v>
      </c>
      <c r="E108" s="202" t="s">
        <v>8</v>
      </c>
      <c r="F108" s="203">
        <f>+구조물공총괄집계표!G31</f>
        <v>0</v>
      </c>
      <c r="G108" s="201">
        <f t="shared" si="2"/>
        <v>0</v>
      </c>
      <c r="H108" s="34"/>
      <c r="J108" s="363">
        <f>SUM($K$3:K108)</f>
        <v>7</v>
      </c>
      <c r="K108" s="357"/>
      <c r="L108" s="357"/>
      <c r="M108" s="357"/>
      <c r="N108" s="361" t="str">
        <f t="shared" si="7"/>
        <v>숨김</v>
      </c>
    </row>
    <row r="109" spans="1:14" s="28" customFormat="1" ht="20.100000000000001" hidden="1" customHeight="1">
      <c r="A109" s="299"/>
      <c r="B109" s="300" t="str">
        <f t="shared" si="8"/>
        <v>.</v>
      </c>
      <c r="C109" s="201" t="s">
        <v>483</v>
      </c>
      <c r="D109" s="201" t="s">
        <v>545</v>
      </c>
      <c r="E109" s="202" t="s">
        <v>8</v>
      </c>
      <c r="F109" s="203"/>
      <c r="G109" s="201">
        <f t="shared" si="2"/>
        <v>0</v>
      </c>
      <c r="H109" s="34"/>
      <c r="J109" s="363">
        <f>SUM($K$3:K109)</f>
        <v>7</v>
      </c>
      <c r="K109" s="357"/>
      <c r="L109" s="357"/>
      <c r="M109" s="357"/>
      <c r="N109" s="361" t="str">
        <f t="shared" si="7"/>
        <v>숨김</v>
      </c>
    </row>
    <row r="110" spans="1:14" s="28" customFormat="1" ht="20.100000000000001" hidden="1" customHeight="1">
      <c r="A110" s="299"/>
      <c r="B110" s="300" t="str">
        <f t="shared" si="8"/>
        <v>.</v>
      </c>
      <c r="C110" s="201" t="s">
        <v>483</v>
      </c>
      <c r="D110" s="201" t="s">
        <v>546</v>
      </c>
      <c r="E110" s="202" t="s">
        <v>8</v>
      </c>
      <c r="F110" s="203"/>
      <c r="G110" s="201"/>
      <c r="H110" s="34"/>
      <c r="J110" s="363">
        <f>SUM($K$3:K110)</f>
        <v>7</v>
      </c>
      <c r="K110" s="357"/>
      <c r="L110" s="357"/>
      <c r="M110" s="357"/>
      <c r="N110" s="361" t="str">
        <f t="shared" si="7"/>
        <v>숨김</v>
      </c>
    </row>
    <row r="111" spans="1:14" s="28" customFormat="1" ht="20.100000000000001" hidden="1" customHeight="1">
      <c r="A111" s="299"/>
      <c r="B111" s="300" t="str">
        <f>IF(M111="",CONCATENATE(L111,"."),CONCATENATE(L111,"-",M111,"."))</f>
        <v>.</v>
      </c>
      <c r="C111" s="201" t="s">
        <v>1035</v>
      </c>
      <c r="D111" s="201" t="s">
        <v>209</v>
      </c>
      <c r="E111" s="202" t="s">
        <v>8</v>
      </c>
      <c r="F111" s="203">
        <f>구조물공총괄집계표!G32</f>
        <v>0</v>
      </c>
      <c r="G111" s="201">
        <f>SUM(F111:F111)</f>
        <v>0</v>
      </c>
      <c r="H111" s="34"/>
      <c r="J111" s="363">
        <f>SUM($K$3:K111)</f>
        <v>7</v>
      </c>
      <c r="K111" s="357"/>
      <c r="L111" s="357"/>
      <c r="M111" s="357"/>
      <c r="N111" s="361" t="str">
        <f>IF(K111="",IF(L111="","숨김","1"),"1")</f>
        <v>숨김</v>
      </c>
    </row>
    <row r="112" spans="1:14" s="28" customFormat="1" ht="20.100000000000001" hidden="1" customHeight="1">
      <c r="A112" s="299"/>
      <c r="B112" s="300" t="str">
        <f>IF(M112="",CONCATENATE(L112,"."),CONCATENATE(L112,"-",M112,"."))</f>
        <v>.</v>
      </c>
      <c r="C112" s="201" t="s">
        <v>1035</v>
      </c>
      <c r="D112" s="201" t="s">
        <v>545</v>
      </c>
      <c r="E112" s="202" t="s">
        <v>8</v>
      </c>
      <c r="F112" s="203">
        <f>구조물공총괄집계표!G33</f>
        <v>0</v>
      </c>
      <c r="G112" s="201">
        <f t="shared" si="2"/>
        <v>0</v>
      </c>
      <c r="H112" s="34"/>
      <c r="J112" s="363">
        <f>SUM($K$3:K112)</f>
        <v>7</v>
      </c>
      <c r="K112" s="357"/>
      <c r="L112" s="357"/>
      <c r="M112" s="357"/>
      <c r="N112" s="361" t="str">
        <f>IF(K112="",IF(L112="","숨김","1"),"1")</f>
        <v>숨김</v>
      </c>
    </row>
    <row r="113" spans="1:14" s="262" customFormat="1" ht="20.100000000000001" customHeight="1">
      <c r="A113" s="301" t="str">
        <f>A82</f>
        <v>1.</v>
      </c>
      <c r="B113" s="298" t="str">
        <f>IF(J113&gt;9,CONCATENATE(J113,"."),CONCATENATE("0",J113,"."))</f>
        <v>08.</v>
      </c>
      <c r="C113" s="257" t="s">
        <v>316</v>
      </c>
      <c r="D113" s="257"/>
      <c r="E113" s="258"/>
      <c r="F113" s="259"/>
      <c r="G113" s="257"/>
      <c r="H113" s="261"/>
      <c r="J113" s="363">
        <f>SUM($K$3:K113)</f>
        <v>8</v>
      </c>
      <c r="K113" s="355">
        <v>1</v>
      </c>
      <c r="L113" s="355"/>
      <c r="M113" s="355"/>
      <c r="N113" s="361" t="str">
        <f t="shared" si="7"/>
        <v>1</v>
      </c>
    </row>
    <row r="114" spans="1:14" s="35" customFormat="1" ht="20.100000000000001" customHeight="1">
      <c r="A114" s="299"/>
      <c r="B114" s="300" t="str">
        <f t="shared" si="8"/>
        <v>a.</v>
      </c>
      <c r="C114" s="201" t="s">
        <v>939</v>
      </c>
      <c r="D114" s="201" t="s">
        <v>1045</v>
      </c>
      <c r="E114" s="202" t="s">
        <v>8</v>
      </c>
      <c r="F114" s="203">
        <f>+구조물공총괄집계표!G39</f>
        <v>739.88300000000004</v>
      </c>
      <c r="G114" s="201">
        <f t="shared" ref="G114:G172" si="9">SUM(F114:F114)</f>
        <v>739.88300000000004</v>
      </c>
      <c r="H114" s="34"/>
      <c r="J114" s="363">
        <f>SUM($K$3:K114)</f>
        <v>8</v>
      </c>
      <c r="K114" s="356"/>
      <c r="L114" s="356" t="s">
        <v>942</v>
      </c>
      <c r="M114" s="356"/>
      <c r="N114" s="361" t="str">
        <f t="shared" si="7"/>
        <v>1</v>
      </c>
    </row>
    <row r="115" spans="1:14" s="35" customFormat="1" ht="20.100000000000001" hidden="1" customHeight="1">
      <c r="A115" s="299"/>
      <c r="B115" s="300" t="str">
        <f t="shared" si="8"/>
        <v>.</v>
      </c>
      <c r="C115" s="201" t="s">
        <v>317</v>
      </c>
      <c r="D115" s="201"/>
      <c r="E115" s="202" t="s">
        <v>38</v>
      </c>
      <c r="F115" s="203">
        <f>+구조물공총괄집계표!G40</f>
        <v>0</v>
      </c>
      <c r="G115" s="201">
        <f t="shared" si="9"/>
        <v>0</v>
      </c>
      <c r="H115" s="34"/>
      <c r="J115" s="363">
        <f>SUM($K$3:K115)</f>
        <v>8</v>
      </c>
      <c r="K115" s="356"/>
      <c r="L115" s="356"/>
      <c r="M115" s="356"/>
      <c r="N115" s="361" t="str">
        <f t="shared" si="7"/>
        <v>숨김</v>
      </c>
    </row>
    <row r="116" spans="1:14" s="262" customFormat="1" ht="20.100000000000001" customHeight="1">
      <c r="A116" s="301" t="str">
        <f>A113</f>
        <v>1.</v>
      </c>
      <c r="B116" s="298" t="str">
        <f>IF(J116&gt;9,CONCATENATE(J116,"."),CONCATENATE("0",J116,"."))</f>
        <v>09.</v>
      </c>
      <c r="C116" s="257" t="s">
        <v>318</v>
      </c>
      <c r="D116" s="257"/>
      <c r="E116" s="258"/>
      <c r="F116" s="259"/>
      <c r="G116" s="257"/>
      <c r="H116" s="261"/>
      <c r="J116" s="363">
        <f>SUM($K$3:K116)</f>
        <v>9</v>
      </c>
      <c r="K116" s="355">
        <v>1</v>
      </c>
      <c r="L116" s="355"/>
      <c r="M116" s="355"/>
      <c r="N116" s="361" t="str">
        <f t="shared" si="7"/>
        <v>1</v>
      </c>
    </row>
    <row r="117" spans="1:14" s="35" customFormat="1" ht="20.100000000000001" hidden="1" customHeight="1">
      <c r="A117" s="299"/>
      <c r="B117" s="300" t="str">
        <f t="shared" si="8"/>
        <v>.</v>
      </c>
      <c r="C117" s="201" t="s">
        <v>815</v>
      </c>
      <c r="D117" s="201" t="s">
        <v>213</v>
      </c>
      <c r="E117" s="202" t="s">
        <v>10</v>
      </c>
      <c r="F117" s="203">
        <f>+구조물공총괄집계표!G36</f>
        <v>0</v>
      </c>
      <c r="G117" s="201">
        <f t="shared" si="9"/>
        <v>0</v>
      </c>
      <c r="H117" s="34"/>
      <c r="J117" s="363">
        <f>SUM($K$3:K117)</f>
        <v>9</v>
      </c>
      <c r="K117" s="356"/>
      <c r="L117" s="356"/>
      <c r="M117" s="356"/>
      <c r="N117" s="361" t="str">
        <f t="shared" si="7"/>
        <v>숨김</v>
      </c>
    </row>
    <row r="118" spans="1:14" s="35" customFormat="1" ht="20.100000000000001" hidden="1" customHeight="1">
      <c r="A118" s="299"/>
      <c r="B118" s="300" t="str">
        <f t="shared" si="8"/>
        <v>.</v>
      </c>
      <c r="C118" s="201" t="s">
        <v>624</v>
      </c>
      <c r="D118" s="201" t="s">
        <v>761</v>
      </c>
      <c r="E118" s="202" t="s">
        <v>762</v>
      </c>
      <c r="F118" s="203">
        <f>+구조물공총괄집계표!G34</f>
        <v>0</v>
      </c>
      <c r="G118" s="201">
        <f t="shared" si="9"/>
        <v>0</v>
      </c>
      <c r="H118" s="34"/>
      <c r="J118" s="363">
        <f>SUM($K$3:K118)</f>
        <v>9</v>
      </c>
      <c r="K118" s="356"/>
      <c r="L118" s="356"/>
      <c r="M118" s="356"/>
      <c r="N118" s="361" t="str">
        <f t="shared" si="7"/>
        <v>숨김</v>
      </c>
    </row>
    <row r="119" spans="1:14" s="35" customFormat="1" ht="20.100000000000001" hidden="1" customHeight="1">
      <c r="A119" s="299"/>
      <c r="B119" s="300" t="str">
        <f t="shared" si="8"/>
        <v>.</v>
      </c>
      <c r="C119" s="201" t="s">
        <v>818</v>
      </c>
      <c r="D119" s="201" t="s">
        <v>817</v>
      </c>
      <c r="E119" s="202" t="s">
        <v>319</v>
      </c>
      <c r="F119" s="203">
        <f>+구조물공총괄집계표!G35</f>
        <v>0</v>
      </c>
      <c r="G119" s="201">
        <f t="shared" si="9"/>
        <v>0</v>
      </c>
      <c r="H119" s="34"/>
      <c r="J119" s="363">
        <f>SUM($K$3:K119)</f>
        <v>9</v>
      </c>
      <c r="K119" s="356"/>
      <c r="L119" s="356"/>
      <c r="M119" s="356"/>
      <c r="N119" s="361" t="str">
        <f t="shared" si="7"/>
        <v>숨김</v>
      </c>
    </row>
    <row r="120" spans="1:14" s="35" customFormat="1" ht="20.100000000000001" customHeight="1">
      <c r="A120" s="299"/>
      <c r="B120" s="300" t="str">
        <f t="shared" si="8"/>
        <v>a-1.</v>
      </c>
      <c r="C120" s="201" t="s">
        <v>961</v>
      </c>
      <c r="D120" s="201" t="s">
        <v>905</v>
      </c>
      <c r="E120" s="202" t="s">
        <v>71</v>
      </c>
      <c r="F120" s="203">
        <f>구조물공총괄집계표!G37</f>
        <v>2245.0569999999998</v>
      </c>
      <c r="G120" s="201">
        <f t="shared" si="9"/>
        <v>2245.0569999999998</v>
      </c>
      <c r="H120" s="34"/>
      <c r="J120" s="363">
        <f>SUM($K$3:K120)</f>
        <v>9</v>
      </c>
      <c r="K120" s="356"/>
      <c r="L120" s="356" t="s">
        <v>942</v>
      </c>
      <c r="M120" s="356">
        <v>1</v>
      </c>
      <c r="N120" s="361" t="str">
        <f t="shared" si="7"/>
        <v>1</v>
      </c>
    </row>
    <row r="121" spans="1:14" s="35" customFormat="1" ht="20.100000000000001" hidden="1" customHeight="1">
      <c r="A121" s="299"/>
      <c r="B121" s="300" t="str">
        <f t="shared" si="8"/>
        <v>.</v>
      </c>
      <c r="C121" s="201" t="s">
        <v>961</v>
      </c>
      <c r="D121" s="201" t="s">
        <v>625</v>
      </c>
      <c r="E121" s="202" t="s">
        <v>8</v>
      </c>
      <c r="F121" s="203">
        <f>+구조물공총괄집계표!G38</f>
        <v>0</v>
      </c>
      <c r="G121" s="201">
        <f t="shared" si="9"/>
        <v>0</v>
      </c>
      <c r="H121" s="34"/>
      <c r="J121" s="363">
        <f>SUM($K$3:K121)</f>
        <v>9</v>
      </c>
      <c r="K121" s="356"/>
      <c r="L121" s="356"/>
      <c r="M121" s="356"/>
      <c r="N121" s="361" t="str">
        <f t="shared" si="7"/>
        <v>숨김</v>
      </c>
    </row>
    <row r="122" spans="1:14" s="262" customFormat="1" ht="20.100000000000001" customHeight="1">
      <c r="A122" s="301" t="str">
        <f>A116</f>
        <v>1.</v>
      </c>
      <c r="B122" s="298" t="str">
        <f>IF(J122&gt;9,CONCATENATE(J122,"."),CONCATENATE("0",J122,"."))</f>
        <v>10.</v>
      </c>
      <c r="C122" s="257" t="s">
        <v>320</v>
      </c>
      <c r="D122" s="257"/>
      <c r="E122" s="258"/>
      <c r="F122" s="259"/>
      <c r="G122" s="257"/>
      <c r="H122" s="261"/>
      <c r="J122" s="363">
        <f>SUM($K$3:K122)</f>
        <v>10</v>
      </c>
      <c r="K122" s="355">
        <v>1</v>
      </c>
      <c r="L122" s="355"/>
      <c r="M122" s="355"/>
      <c r="N122" s="361" t="str">
        <f t="shared" si="7"/>
        <v>1</v>
      </c>
    </row>
    <row r="123" spans="1:14" s="35" customFormat="1" ht="20.100000000000001" hidden="1" customHeight="1">
      <c r="A123" s="299"/>
      <c r="B123" s="300" t="str">
        <f t="shared" si="8"/>
        <v>.</v>
      </c>
      <c r="C123" s="201" t="s">
        <v>968</v>
      </c>
      <c r="D123" s="201" t="s">
        <v>321</v>
      </c>
      <c r="E123" s="202" t="s">
        <v>214</v>
      </c>
      <c r="F123" s="205">
        <f>+구조물공총괄집계표!G110</f>
        <v>0</v>
      </c>
      <c r="G123" s="206">
        <f t="shared" si="9"/>
        <v>0</v>
      </c>
      <c r="H123" s="34"/>
      <c r="J123" s="363">
        <f>SUM($K$3:K123)</f>
        <v>10</v>
      </c>
      <c r="K123" s="356"/>
      <c r="L123" s="356"/>
      <c r="M123" s="356"/>
      <c r="N123" s="361" t="str">
        <f t="shared" si="7"/>
        <v>숨김</v>
      </c>
    </row>
    <row r="124" spans="1:14" s="35" customFormat="1" ht="20.100000000000001" customHeight="1">
      <c r="A124" s="299"/>
      <c r="B124" s="300" t="str">
        <f t="shared" si="8"/>
        <v>a-1.</v>
      </c>
      <c r="C124" s="201" t="s">
        <v>1027</v>
      </c>
      <c r="D124" s="201" t="s">
        <v>1056</v>
      </c>
      <c r="E124" s="202" t="s">
        <v>214</v>
      </c>
      <c r="F124" s="205">
        <f>+구조물공총괄집계표!G111</f>
        <v>23.267000000000003</v>
      </c>
      <c r="G124" s="206">
        <f t="shared" si="9"/>
        <v>23.267000000000003</v>
      </c>
      <c r="H124" s="34"/>
      <c r="J124" s="363">
        <f>SUM($K$3:K124)</f>
        <v>10</v>
      </c>
      <c r="K124" s="356"/>
      <c r="L124" s="356" t="s">
        <v>942</v>
      </c>
      <c r="M124" s="356">
        <v>1</v>
      </c>
      <c r="N124" s="361" t="str">
        <f t="shared" si="7"/>
        <v>1</v>
      </c>
    </row>
    <row r="125" spans="1:14" s="28" customFormat="1" ht="20.100000000000001" customHeight="1">
      <c r="A125" s="299"/>
      <c r="B125" s="300" t="str">
        <f t="shared" si="8"/>
        <v>a-2.</v>
      </c>
      <c r="C125" s="201" t="s">
        <v>1027</v>
      </c>
      <c r="D125" s="201" t="s">
        <v>1057</v>
      </c>
      <c r="E125" s="202" t="s">
        <v>214</v>
      </c>
      <c r="F125" s="205">
        <f>+구조물공총괄집계표!G112</f>
        <v>145.93700000000001</v>
      </c>
      <c r="G125" s="206">
        <f t="shared" si="9"/>
        <v>145.93700000000001</v>
      </c>
      <c r="H125" s="34"/>
      <c r="J125" s="363">
        <f>SUM($K$3:K125)</f>
        <v>10</v>
      </c>
      <c r="K125" s="357"/>
      <c r="L125" s="357" t="s">
        <v>942</v>
      </c>
      <c r="M125" s="357">
        <v>2</v>
      </c>
      <c r="N125" s="361" t="str">
        <f t="shared" si="7"/>
        <v>1</v>
      </c>
    </row>
    <row r="126" spans="1:14" s="28" customFormat="1" ht="20.100000000000001" hidden="1" customHeight="1">
      <c r="A126" s="299"/>
      <c r="B126" s="300" t="str">
        <f t="shared" si="8"/>
        <v>.</v>
      </c>
      <c r="C126" s="201" t="s">
        <v>1027</v>
      </c>
      <c r="D126" s="201" t="s">
        <v>1053</v>
      </c>
      <c r="E126" s="202" t="s">
        <v>214</v>
      </c>
      <c r="F126" s="205">
        <f>+구조물공총괄집계표!G113</f>
        <v>0</v>
      </c>
      <c r="G126" s="206">
        <f t="shared" si="9"/>
        <v>0</v>
      </c>
      <c r="H126" s="34"/>
      <c r="J126" s="363">
        <f>SUM($K$3:K126)</f>
        <v>10</v>
      </c>
      <c r="K126" s="357"/>
      <c r="L126" s="357"/>
      <c r="M126" s="357"/>
      <c r="N126" s="361" t="str">
        <f t="shared" si="7"/>
        <v>숨김</v>
      </c>
    </row>
    <row r="127" spans="1:14" s="28" customFormat="1" ht="20.100000000000001" hidden="1" customHeight="1">
      <c r="A127" s="299"/>
      <c r="B127" s="300" t="str">
        <f t="shared" si="8"/>
        <v>.</v>
      </c>
      <c r="C127" s="201" t="s">
        <v>481</v>
      </c>
      <c r="D127" s="201" t="s">
        <v>510</v>
      </c>
      <c r="E127" s="202" t="s">
        <v>214</v>
      </c>
      <c r="F127" s="205">
        <f>구조물공총괄집계표!G114</f>
        <v>0</v>
      </c>
      <c r="G127" s="206">
        <f t="shared" si="9"/>
        <v>0</v>
      </c>
      <c r="H127" s="34"/>
      <c r="J127" s="363">
        <f>SUM($K$3:K127)</f>
        <v>10</v>
      </c>
      <c r="K127" s="357"/>
      <c r="L127" s="357"/>
      <c r="M127" s="357"/>
      <c r="N127" s="361" t="str">
        <f t="shared" si="7"/>
        <v>숨김</v>
      </c>
    </row>
    <row r="128" spans="1:14" s="35" customFormat="1" ht="20.100000000000001" hidden="1" customHeight="1">
      <c r="A128" s="299"/>
      <c r="B128" s="300" t="str">
        <f t="shared" si="8"/>
        <v>.</v>
      </c>
      <c r="C128" s="201" t="s">
        <v>626</v>
      </c>
      <c r="D128" s="201"/>
      <c r="E128" s="202"/>
      <c r="F128" s="205"/>
      <c r="G128" s="201">
        <f t="shared" si="9"/>
        <v>0</v>
      </c>
      <c r="H128" s="34"/>
      <c r="J128" s="363">
        <f>SUM($K$3:K128)</f>
        <v>10</v>
      </c>
      <c r="K128" s="356"/>
      <c r="L128" s="356"/>
      <c r="M128" s="356"/>
      <c r="N128" s="361" t="str">
        <f t="shared" si="7"/>
        <v>숨김</v>
      </c>
    </row>
    <row r="129" spans="1:14" s="35" customFormat="1" ht="20.100000000000001" hidden="1" customHeight="1">
      <c r="A129" s="299"/>
      <c r="B129" s="300" t="str">
        <f t="shared" si="8"/>
        <v>.</v>
      </c>
      <c r="C129" s="201" t="s">
        <v>626</v>
      </c>
      <c r="D129" s="201" t="s">
        <v>627</v>
      </c>
      <c r="E129" s="202" t="s">
        <v>322</v>
      </c>
      <c r="F129" s="203">
        <f>구조물공총괄집계표!G107</f>
        <v>0</v>
      </c>
      <c r="G129" s="201">
        <f t="shared" si="9"/>
        <v>0</v>
      </c>
      <c r="H129" s="34"/>
      <c r="J129" s="363">
        <f>SUM($K$3:K129)</f>
        <v>10</v>
      </c>
      <c r="K129" s="356"/>
      <c r="L129" s="356"/>
      <c r="M129" s="356"/>
      <c r="N129" s="361" t="str">
        <f t="shared" si="7"/>
        <v>숨김</v>
      </c>
    </row>
    <row r="130" spans="1:14" s="35" customFormat="1" ht="20.100000000000001" hidden="1" customHeight="1">
      <c r="A130" s="299"/>
      <c r="B130" s="300" t="str">
        <f t="shared" si="8"/>
        <v>.</v>
      </c>
      <c r="C130" s="201" t="s">
        <v>626</v>
      </c>
      <c r="D130" s="201" t="s">
        <v>628</v>
      </c>
      <c r="E130" s="202" t="s">
        <v>322</v>
      </c>
      <c r="F130" s="203">
        <f>구조물공총괄집계표!G108</f>
        <v>0</v>
      </c>
      <c r="G130" s="201">
        <f t="shared" si="9"/>
        <v>0</v>
      </c>
      <c r="H130" s="34"/>
      <c r="J130" s="363">
        <f>SUM($K$3:K130)</f>
        <v>10</v>
      </c>
      <c r="K130" s="356"/>
      <c r="L130" s="356"/>
      <c r="M130" s="356"/>
      <c r="N130" s="361" t="str">
        <f t="shared" si="7"/>
        <v>숨김</v>
      </c>
    </row>
    <row r="131" spans="1:14" s="262" customFormat="1" ht="20.100000000000001" customHeight="1">
      <c r="A131" s="301" t="str">
        <f>A122</f>
        <v>1.</v>
      </c>
      <c r="B131" s="298" t="str">
        <f>IF(J131&gt;9,CONCATENATE(J131,"."),CONCATENATE("0",J131,"."))</f>
        <v>11.</v>
      </c>
      <c r="C131" s="257" t="s">
        <v>323</v>
      </c>
      <c r="D131" s="257"/>
      <c r="E131" s="258"/>
      <c r="F131" s="259"/>
      <c r="G131" s="257"/>
      <c r="H131" s="261"/>
      <c r="J131" s="363">
        <f>SUM($K$3:K131)</f>
        <v>11</v>
      </c>
      <c r="K131" s="355">
        <v>1</v>
      </c>
      <c r="L131" s="355"/>
      <c r="M131" s="355"/>
      <c r="N131" s="361" t="str">
        <f t="shared" si="7"/>
        <v>1</v>
      </c>
    </row>
    <row r="132" spans="1:14" s="27" customFormat="1" ht="20.100000000000001" customHeight="1">
      <c r="A132" s="299"/>
      <c r="B132" s="300" t="str">
        <f t="shared" si="8"/>
        <v>a-1.</v>
      </c>
      <c r="C132" s="201" t="s">
        <v>555</v>
      </c>
      <c r="D132" s="201" t="s">
        <v>653</v>
      </c>
      <c r="E132" s="202" t="s">
        <v>4</v>
      </c>
      <c r="F132" s="203">
        <f>+구조물공총괄집계표!G10</f>
        <v>1428.0070000000001</v>
      </c>
      <c r="G132" s="201">
        <f t="shared" si="9"/>
        <v>1428.0070000000001</v>
      </c>
      <c r="H132" s="34"/>
      <c r="J132" s="363">
        <f>SUM($K$3:K132)</f>
        <v>11</v>
      </c>
      <c r="K132" s="358"/>
      <c r="L132" s="358" t="s">
        <v>942</v>
      </c>
      <c r="M132" s="358">
        <v>1</v>
      </c>
      <c r="N132" s="361" t="str">
        <f t="shared" si="7"/>
        <v>1</v>
      </c>
    </row>
    <row r="133" spans="1:14" s="28" customFormat="1" ht="20.100000000000001" hidden="1" customHeight="1">
      <c r="A133" s="299"/>
      <c r="B133" s="300" t="str">
        <f t="shared" si="8"/>
        <v>.</v>
      </c>
      <c r="C133" s="201" t="s">
        <v>555</v>
      </c>
      <c r="D133" s="201" t="s">
        <v>556</v>
      </c>
      <c r="E133" s="202" t="s">
        <v>4</v>
      </c>
      <c r="F133" s="203"/>
      <c r="G133" s="201">
        <f t="shared" si="9"/>
        <v>0</v>
      </c>
      <c r="H133" s="34"/>
      <c r="J133" s="363">
        <f>SUM($K$3:K133)</f>
        <v>11</v>
      </c>
      <c r="K133" s="357"/>
      <c r="L133" s="357"/>
      <c r="M133" s="357"/>
      <c r="N133" s="361" t="str">
        <f t="shared" si="7"/>
        <v>숨김</v>
      </c>
    </row>
    <row r="134" spans="1:14" s="27" customFormat="1" ht="20.100000000000001" hidden="1" customHeight="1">
      <c r="A134" s="299"/>
      <c r="B134" s="300" t="str">
        <f t="shared" si="8"/>
        <v>.</v>
      </c>
      <c r="C134" s="201" t="s">
        <v>555</v>
      </c>
      <c r="D134" s="201" t="s">
        <v>557</v>
      </c>
      <c r="E134" s="202" t="s">
        <v>4</v>
      </c>
      <c r="F134" s="203">
        <f>+구조물공총괄집계표!G12</f>
        <v>0</v>
      </c>
      <c r="G134" s="201">
        <f t="shared" si="9"/>
        <v>0</v>
      </c>
      <c r="H134" s="34"/>
      <c r="J134" s="363">
        <f>SUM($K$3:K134)</f>
        <v>11</v>
      </c>
      <c r="K134" s="358"/>
      <c r="L134" s="358"/>
      <c r="M134" s="358"/>
      <c r="N134" s="361" t="str">
        <f t="shared" si="7"/>
        <v>숨김</v>
      </c>
    </row>
    <row r="135" spans="1:14" s="35" customFormat="1" ht="20.100000000000001" customHeight="1">
      <c r="A135" s="299"/>
      <c r="B135" s="300" t="str">
        <f t="shared" si="8"/>
        <v>a-2.</v>
      </c>
      <c r="C135" s="201" t="s">
        <v>555</v>
      </c>
      <c r="D135" s="201" t="s">
        <v>217</v>
      </c>
      <c r="E135" s="202" t="s">
        <v>4</v>
      </c>
      <c r="F135" s="203">
        <f>+구조물공총괄집계표!G11</f>
        <v>81.367999999999995</v>
      </c>
      <c r="G135" s="201">
        <f t="shared" si="9"/>
        <v>81.367999999999995</v>
      </c>
      <c r="H135" s="34"/>
      <c r="J135" s="363">
        <f>SUM($K$3:K135)</f>
        <v>11</v>
      </c>
      <c r="K135" s="356"/>
      <c r="L135" s="356" t="s">
        <v>942</v>
      </c>
      <c r="M135" s="356">
        <v>2</v>
      </c>
      <c r="N135" s="361" t="str">
        <f t="shared" si="7"/>
        <v>1</v>
      </c>
    </row>
    <row r="136" spans="1:14" s="35" customFormat="1" ht="20.100000000000001" hidden="1" customHeight="1">
      <c r="A136" s="301">
        <v>1</v>
      </c>
      <c r="B136" s="298" t="str">
        <f>IF(J136&gt;9,CONCATENATE(J136,"."),CONCATENATE("0",J136,"."))</f>
        <v>11.</v>
      </c>
      <c r="C136" s="257" t="s">
        <v>74</v>
      </c>
      <c r="D136" s="257"/>
      <c r="E136" s="258"/>
      <c r="F136" s="259"/>
      <c r="G136" s="257"/>
      <c r="H136" s="261"/>
      <c r="I136" s="262"/>
      <c r="J136" s="363">
        <f>SUM($K$3:K136)</f>
        <v>11</v>
      </c>
      <c r="K136" s="355"/>
      <c r="L136" s="355"/>
      <c r="M136" s="355"/>
      <c r="N136" s="361" t="str">
        <f>IF(K136="",IF(L136="","숨김","1"),"1")</f>
        <v>숨김</v>
      </c>
    </row>
    <row r="137" spans="1:14" s="35" customFormat="1" ht="20.100000000000001" hidden="1" customHeight="1">
      <c r="A137" s="299"/>
      <c r="B137" s="300" t="str">
        <f t="shared" si="8"/>
        <v>.</v>
      </c>
      <c r="C137" s="201" t="s">
        <v>74</v>
      </c>
      <c r="D137" s="201"/>
      <c r="E137" s="202" t="s">
        <v>4</v>
      </c>
      <c r="F137" s="203">
        <f>구조물공총괄집계표!G59</f>
        <v>0</v>
      </c>
      <c r="G137" s="201">
        <f t="shared" si="9"/>
        <v>0</v>
      </c>
      <c r="H137" s="34"/>
      <c r="J137" s="363">
        <v>8</v>
      </c>
      <c r="K137" s="356"/>
      <c r="L137" s="356"/>
      <c r="M137" s="356"/>
      <c r="N137" s="361" t="str">
        <f t="shared" si="7"/>
        <v>숨김</v>
      </c>
    </row>
    <row r="138" spans="1:14" s="262" customFormat="1" ht="20.100000000000001" customHeight="1">
      <c r="A138" s="301" t="str">
        <f>A131</f>
        <v>1.</v>
      </c>
      <c r="B138" s="298" t="str">
        <f>IF(J138&gt;9,CONCATENATE(J138,"."),CONCATENATE("0",J138,"."))</f>
        <v>12.</v>
      </c>
      <c r="C138" s="257" t="s">
        <v>324</v>
      </c>
      <c r="D138" s="257"/>
      <c r="E138" s="258"/>
      <c r="F138" s="259"/>
      <c r="G138" s="257"/>
      <c r="H138" s="261"/>
      <c r="J138" s="363">
        <f>SUM($K$3:K138)</f>
        <v>12</v>
      </c>
      <c r="K138" s="355">
        <v>1</v>
      </c>
      <c r="L138" s="355"/>
      <c r="M138" s="355"/>
      <c r="N138" s="361" t="str">
        <f t="shared" si="7"/>
        <v>1</v>
      </c>
    </row>
    <row r="139" spans="1:14" s="35" customFormat="1" ht="20.100000000000001" customHeight="1">
      <c r="A139" s="299"/>
      <c r="B139" s="300" t="str">
        <f t="shared" si="8"/>
        <v>a.</v>
      </c>
      <c r="C139" s="201" t="s">
        <v>325</v>
      </c>
      <c r="D139" s="201" t="s">
        <v>218</v>
      </c>
      <c r="E139" s="202" t="s">
        <v>8</v>
      </c>
      <c r="F139" s="203">
        <f>+구조물공총괄집계표!G69</f>
        <v>507.22500000000002</v>
      </c>
      <c r="G139" s="201">
        <f t="shared" si="9"/>
        <v>507.22500000000002</v>
      </c>
      <c r="H139" s="34"/>
      <c r="J139" s="363">
        <f>SUM($K$3:K139)</f>
        <v>12</v>
      </c>
      <c r="K139" s="356"/>
      <c r="L139" s="356" t="s">
        <v>942</v>
      </c>
      <c r="M139" s="356"/>
      <c r="N139" s="361" t="str">
        <f t="shared" si="7"/>
        <v>1</v>
      </c>
    </row>
    <row r="140" spans="1:14" s="35" customFormat="1" ht="20.100000000000001" customHeight="1">
      <c r="A140" s="299"/>
      <c r="B140" s="300" t="str">
        <f>IF(M140="",CONCATENATE(L140,"."),CONCATENATE(L140,"-",M140,"."))</f>
        <v>b.</v>
      </c>
      <c r="C140" s="201" t="s">
        <v>326</v>
      </c>
      <c r="D140" s="201"/>
      <c r="E140" s="202" t="s">
        <v>8</v>
      </c>
      <c r="F140" s="203">
        <f>구조물공총괄집계표!G122</f>
        <v>507.22500000000002</v>
      </c>
      <c r="G140" s="201">
        <f>SUM(F140:F140)</f>
        <v>507.22500000000002</v>
      </c>
      <c r="H140" s="34"/>
      <c r="J140" s="363">
        <f>SUM($K$3:K140)</f>
        <v>12</v>
      </c>
      <c r="K140" s="356"/>
      <c r="L140" s="356" t="s">
        <v>943</v>
      </c>
      <c r="M140" s="356"/>
      <c r="N140" s="361" t="str">
        <f>IF(K140="",IF(L140="","숨김","1"),"1")</f>
        <v>1</v>
      </c>
    </row>
    <row r="141" spans="1:14" s="35" customFormat="1" ht="20.100000000000001" hidden="1" customHeight="1">
      <c r="A141" s="299"/>
      <c r="B141" s="300" t="str">
        <f t="shared" si="8"/>
        <v>.</v>
      </c>
      <c r="C141" s="201" t="s">
        <v>219</v>
      </c>
      <c r="D141" s="201" t="s">
        <v>326</v>
      </c>
      <c r="E141" s="202" t="s">
        <v>8</v>
      </c>
      <c r="F141" s="203">
        <f>+구조물공총괄집계표!G68</f>
        <v>0</v>
      </c>
      <c r="G141" s="201">
        <f t="shared" si="9"/>
        <v>0</v>
      </c>
      <c r="H141" s="34"/>
      <c r="J141" s="363">
        <f>SUM($K$3:K141)</f>
        <v>12</v>
      </c>
      <c r="K141" s="356"/>
      <c r="L141" s="356"/>
      <c r="M141" s="356"/>
      <c r="N141" s="361" t="str">
        <f t="shared" si="7"/>
        <v>숨김</v>
      </c>
    </row>
    <row r="142" spans="1:14" s="262" customFormat="1" ht="18.95" hidden="1" customHeight="1">
      <c r="A142" s="301" t="str">
        <f>A138</f>
        <v>1.</v>
      </c>
      <c r="B142" s="298" t="str">
        <f>IF(J142&gt;9,CONCATENATE(J142,"."),CONCATENATE("0",J142,"."))</f>
        <v>12.</v>
      </c>
      <c r="C142" s="257" t="s">
        <v>327</v>
      </c>
      <c r="D142" s="257" t="s">
        <v>511</v>
      </c>
      <c r="E142" s="258"/>
      <c r="F142" s="259"/>
      <c r="G142" s="257"/>
      <c r="H142" s="261"/>
      <c r="J142" s="363">
        <f>SUM($K$3:K142)</f>
        <v>12</v>
      </c>
      <c r="K142" s="355"/>
      <c r="L142" s="355"/>
      <c r="M142" s="355"/>
      <c r="N142" s="361" t="str">
        <f t="shared" si="7"/>
        <v>숨김</v>
      </c>
    </row>
    <row r="143" spans="1:14" s="35" customFormat="1" ht="18.95" hidden="1" customHeight="1">
      <c r="A143" s="299"/>
      <c r="B143" s="300" t="str">
        <f t="shared" si="8"/>
        <v>.</v>
      </c>
      <c r="C143" s="201" t="str">
        <f>구조물공총괄집계표!B98</f>
        <v>1350kN</v>
      </c>
      <c r="D143" s="36"/>
      <c r="E143" s="202"/>
      <c r="F143" s="203"/>
      <c r="G143" s="201"/>
      <c r="H143" s="34"/>
      <c r="J143" s="363">
        <f>SUM($K$3:K143)</f>
        <v>12</v>
      </c>
      <c r="K143" s="356"/>
      <c r="L143" s="356"/>
      <c r="M143" s="356"/>
      <c r="N143" s="361" t="str">
        <f t="shared" si="7"/>
        <v>숨김</v>
      </c>
    </row>
    <row r="144" spans="1:14" s="35" customFormat="1" ht="18.95" hidden="1" customHeight="1">
      <c r="A144" s="299"/>
      <c r="B144" s="300" t="str">
        <f t="shared" si="8"/>
        <v>.</v>
      </c>
      <c r="C144" s="201" t="str">
        <f>구조물공총괄집계표!B98</f>
        <v>1350kN</v>
      </c>
      <c r="D144" s="36" t="str">
        <f>구조물공총괄집계표!C98</f>
        <v>일방향(H=198)</v>
      </c>
      <c r="E144" s="202" t="s">
        <v>206</v>
      </c>
      <c r="F144" s="203">
        <f>구조물공총괄집계표!G98</f>
        <v>0</v>
      </c>
      <c r="G144" s="201">
        <f t="shared" si="9"/>
        <v>0</v>
      </c>
      <c r="H144" s="34"/>
      <c r="J144" s="363">
        <f>SUM($K$3:K144)</f>
        <v>12</v>
      </c>
      <c r="K144" s="356"/>
      <c r="L144" s="356"/>
      <c r="M144" s="356"/>
      <c r="N144" s="361" t="str">
        <f t="shared" si="7"/>
        <v>숨김</v>
      </c>
    </row>
    <row r="145" spans="1:14" s="35" customFormat="1" ht="18.95" hidden="1" customHeight="1">
      <c r="A145" s="299"/>
      <c r="B145" s="300" t="str">
        <f t="shared" si="8"/>
        <v>.</v>
      </c>
      <c r="C145" s="201" t="str">
        <f>구조물공총괄집계표!B98</f>
        <v>1350kN</v>
      </c>
      <c r="D145" s="36" t="str">
        <f>구조물공총괄집계표!C99</f>
        <v>양방향(H=198)</v>
      </c>
      <c r="E145" s="202" t="s">
        <v>206</v>
      </c>
      <c r="F145" s="203">
        <f>구조물공총괄집계표!G99</f>
        <v>0</v>
      </c>
      <c r="G145" s="201">
        <f t="shared" si="9"/>
        <v>0</v>
      </c>
      <c r="H145" s="34"/>
      <c r="J145" s="363">
        <f>SUM($K$3:K145)</f>
        <v>12</v>
      </c>
      <c r="K145" s="356"/>
      <c r="L145" s="356"/>
      <c r="M145" s="356"/>
      <c r="N145" s="361" t="str">
        <f t="shared" si="7"/>
        <v>숨김</v>
      </c>
    </row>
    <row r="146" spans="1:14" s="35" customFormat="1" ht="18.95" hidden="1" customHeight="1">
      <c r="A146" s="299"/>
      <c r="B146" s="300" t="str">
        <f t="shared" si="8"/>
        <v>.</v>
      </c>
      <c r="C146" s="201" t="str">
        <f>구조물공총괄집계표!B98</f>
        <v>1350kN</v>
      </c>
      <c r="D146" s="36" t="str">
        <f>구조물공총괄집계표!C100</f>
        <v>고정단(H=198)</v>
      </c>
      <c r="E146" s="202" t="s">
        <v>206</v>
      </c>
      <c r="F146" s="203">
        <f>구조물공총괄집계표!G100</f>
        <v>0</v>
      </c>
      <c r="G146" s="201">
        <f>SUM(F146:F146)</f>
        <v>0</v>
      </c>
      <c r="H146" s="34"/>
      <c r="J146" s="363">
        <f>SUM($K$3:K146)</f>
        <v>12</v>
      </c>
      <c r="K146" s="356"/>
      <c r="L146" s="356"/>
      <c r="M146" s="356"/>
      <c r="N146" s="361" t="str">
        <f t="shared" si="7"/>
        <v>숨김</v>
      </c>
    </row>
    <row r="147" spans="1:14" s="35" customFormat="1" ht="18.95" hidden="1" customHeight="1">
      <c r="A147" s="299"/>
      <c r="B147" s="300" t="str">
        <f t="shared" si="8"/>
        <v>.</v>
      </c>
      <c r="C147" s="201" t="str">
        <f>구조물공총괄집계표!B101</f>
        <v>1750kN</v>
      </c>
      <c r="D147" s="36"/>
      <c r="E147" s="202"/>
      <c r="F147" s="203"/>
      <c r="G147" s="201"/>
      <c r="H147" s="34"/>
      <c r="J147" s="363">
        <f>SUM($K$3:K147)</f>
        <v>12</v>
      </c>
      <c r="K147" s="356"/>
      <c r="L147" s="356"/>
      <c r="M147" s="356"/>
      <c r="N147" s="361" t="str">
        <f t="shared" si="7"/>
        <v>숨김</v>
      </c>
    </row>
    <row r="148" spans="1:14" s="35" customFormat="1" ht="18.95" hidden="1" customHeight="1">
      <c r="A148" s="299"/>
      <c r="B148" s="300" t="str">
        <f t="shared" ref="B148:B212" si="10">IF(M148="",CONCATENATE(L148,"."),CONCATENATE(L148,"-",M148,"."))</f>
        <v>.</v>
      </c>
      <c r="C148" s="201" t="str">
        <f>구조물공총괄집계표!B101</f>
        <v>1750kN</v>
      </c>
      <c r="D148" s="36" t="str">
        <f>구조물공총괄집계표!C101</f>
        <v>일방향(H=182)</v>
      </c>
      <c r="E148" s="202" t="s">
        <v>206</v>
      </c>
      <c r="F148" s="203">
        <f>구조물공총괄집계표!G101</f>
        <v>0</v>
      </c>
      <c r="G148" s="201">
        <f t="shared" si="9"/>
        <v>0</v>
      </c>
      <c r="H148" s="34"/>
      <c r="J148" s="363">
        <f>SUM($K$3:K148)</f>
        <v>12</v>
      </c>
      <c r="K148" s="356"/>
      <c r="L148" s="356"/>
      <c r="M148" s="356"/>
      <c r="N148" s="361" t="str">
        <f t="shared" ref="N148:N212" si="11">IF(K148="",IF(L148="","숨김","1"),"1")</f>
        <v>숨김</v>
      </c>
    </row>
    <row r="149" spans="1:14" s="35" customFormat="1" ht="18.95" hidden="1" customHeight="1">
      <c r="A149" s="299"/>
      <c r="B149" s="300" t="str">
        <f t="shared" si="10"/>
        <v>.</v>
      </c>
      <c r="C149" s="201" t="str">
        <f>구조물공총괄집계표!B101</f>
        <v>1750kN</v>
      </c>
      <c r="D149" s="36" t="str">
        <f>구조물공총괄집계표!C102</f>
        <v>양방향(H=182)</v>
      </c>
      <c r="E149" s="202"/>
      <c r="F149" s="203">
        <f>구조물공총괄집계표!G102</f>
        <v>0</v>
      </c>
      <c r="G149" s="201">
        <f t="shared" si="9"/>
        <v>0</v>
      </c>
      <c r="H149" s="34"/>
      <c r="J149" s="363">
        <f>SUM($K$3:K149)</f>
        <v>12</v>
      </c>
      <c r="K149" s="356"/>
      <c r="L149" s="356"/>
      <c r="M149" s="356"/>
      <c r="N149" s="361" t="str">
        <f t="shared" si="11"/>
        <v>숨김</v>
      </c>
    </row>
    <row r="150" spans="1:14" s="35" customFormat="1" ht="18.95" hidden="1" customHeight="1">
      <c r="A150" s="299"/>
      <c r="B150" s="300" t="str">
        <f t="shared" si="10"/>
        <v>.</v>
      </c>
      <c r="C150" s="201" t="str">
        <f>구조물공총괄집계표!B101</f>
        <v>1750kN</v>
      </c>
      <c r="D150" s="36" t="str">
        <f>구조물공총괄집계표!C103</f>
        <v>고정단(H=182)</v>
      </c>
      <c r="E150" s="202" t="s">
        <v>206</v>
      </c>
      <c r="F150" s="203">
        <f>구조물공총괄집계표!G103</f>
        <v>0</v>
      </c>
      <c r="G150" s="201">
        <f t="shared" si="9"/>
        <v>0</v>
      </c>
      <c r="H150" s="34"/>
      <c r="J150" s="363">
        <f>SUM($K$3:K150)</f>
        <v>12</v>
      </c>
      <c r="K150" s="356"/>
      <c r="L150" s="356"/>
      <c r="M150" s="356"/>
      <c r="N150" s="361" t="str">
        <f t="shared" si="11"/>
        <v>숨김</v>
      </c>
    </row>
    <row r="151" spans="1:14" s="262" customFormat="1" ht="20.100000000000001" hidden="1" customHeight="1">
      <c r="A151" s="301" t="str">
        <f>A142</f>
        <v>1.</v>
      </c>
      <c r="B151" s="298" t="str">
        <f>IF(J151&gt;9,CONCATENATE(J151,"."),CONCATENATE("0",J151,"."))</f>
        <v>12.</v>
      </c>
      <c r="C151" s="257" t="s">
        <v>687</v>
      </c>
      <c r="D151" s="257"/>
      <c r="E151" s="258"/>
      <c r="F151" s="259"/>
      <c r="G151" s="257"/>
      <c r="H151" s="261" t="s">
        <v>774</v>
      </c>
      <c r="J151" s="363">
        <f>SUM($K$3:K151)</f>
        <v>12</v>
      </c>
      <c r="K151" s="355"/>
      <c r="L151" s="355"/>
      <c r="M151" s="355"/>
      <c r="N151" s="361" t="str">
        <f t="shared" si="11"/>
        <v>숨김</v>
      </c>
    </row>
    <row r="152" spans="1:14" s="35" customFormat="1" ht="20.100000000000001" hidden="1" customHeight="1">
      <c r="A152" s="299"/>
      <c r="B152" s="300" t="str">
        <f t="shared" si="10"/>
        <v>.</v>
      </c>
      <c r="C152" s="36" t="s">
        <v>688</v>
      </c>
      <c r="D152" s="36" t="s">
        <v>763</v>
      </c>
      <c r="E152" s="202" t="s">
        <v>207</v>
      </c>
      <c r="F152" s="203">
        <f>구조물공총괄집계표!E41</f>
        <v>0</v>
      </c>
      <c r="G152" s="201">
        <f t="shared" si="9"/>
        <v>0</v>
      </c>
      <c r="H152" s="34"/>
      <c r="J152" s="363">
        <f>SUM($K$3:K152)</f>
        <v>12</v>
      </c>
      <c r="K152" s="356"/>
      <c r="L152" s="356"/>
      <c r="M152" s="356"/>
      <c r="N152" s="361" t="str">
        <f t="shared" si="11"/>
        <v>숨김</v>
      </c>
    </row>
    <row r="153" spans="1:14" s="35" customFormat="1" ht="20.100000000000001" hidden="1" customHeight="1">
      <c r="A153" s="299"/>
      <c r="B153" s="300" t="str">
        <f t="shared" si="10"/>
        <v>.</v>
      </c>
      <c r="C153" s="36" t="s">
        <v>688</v>
      </c>
      <c r="D153" s="36" t="s">
        <v>764</v>
      </c>
      <c r="E153" s="202" t="s">
        <v>207</v>
      </c>
      <c r="F153" s="203">
        <f>구조물공총괄집계표!E42</f>
        <v>0</v>
      </c>
      <c r="G153" s="201">
        <f>SUM(F153:F153)</f>
        <v>0</v>
      </c>
      <c r="H153" s="34"/>
      <c r="J153" s="363">
        <f>SUM($K$3:K153)</f>
        <v>12</v>
      </c>
      <c r="K153" s="356"/>
      <c r="L153" s="356"/>
      <c r="M153" s="356"/>
      <c r="N153" s="361" t="str">
        <f t="shared" si="11"/>
        <v>숨김</v>
      </c>
    </row>
    <row r="154" spans="1:14" s="35" customFormat="1" ht="20.100000000000001" hidden="1" customHeight="1">
      <c r="A154" s="299"/>
      <c r="B154" s="300" t="str">
        <f t="shared" si="10"/>
        <v>.</v>
      </c>
      <c r="C154" s="36" t="s">
        <v>689</v>
      </c>
      <c r="D154" s="36"/>
      <c r="E154" s="202" t="s">
        <v>207</v>
      </c>
      <c r="F154" s="203">
        <f>F152+F153</f>
        <v>0</v>
      </c>
      <c r="G154" s="201">
        <f t="shared" si="9"/>
        <v>0</v>
      </c>
      <c r="H154" s="34"/>
      <c r="J154" s="363">
        <f>SUM($K$3:K154)</f>
        <v>12</v>
      </c>
      <c r="K154" s="356"/>
      <c r="L154" s="356"/>
      <c r="M154" s="356"/>
      <c r="N154" s="361" t="str">
        <f t="shared" si="11"/>
        <v>숨김</v>
      </c>
    </row>
    <row r="155" spans="1:14" s="35" customFormat="1" ht="20.100000000000001" hidden="1" customHeight="1">
      <c r="A155" s="299"/>
      <c r="B155" s="300" t="str">
        <f t="shared" si="10"/>
        <v>.</v>
      </c>
      <c r="C155" s="36" t="s">
        <v>690</v>
      </c>
      <c r="D155" s="36"/>
      <c r="E155" s="37" t="s">
        <v>207</v>
      </c>
      <c r="F155" s="203">
        <f>F154</f>
        <v>0</v>
      </c>
      <c r="G155" s="201">
        <f t="shared" si="9"/>
        <v>0</v>
      </c>
      <c r="H155" s="34"/>
      <c r="J155" s="363">
        <f>SUM($K$3:K155)</f>
        <v>12</v>
      </c>
      <c r="K155" s="356"/>
      <c r="L155" s="356"/>
      <c r="M155" s="356"/>
      <c r="N155" s="361" t="str">
        <f t="shared" si="11"/>
        <v>숨김</v>
      </c>
    </row>
    <row r="156" spans="1:14" s="35" customFormat="1" ht="20.100000000000001" hidden="1" customHeight="1">
      <c r="A156" s="299"/>
      <c r="B156" s="300" t="str">
        <f t="shared" si="10"/>
        <v>.</v>
      </c>
      <c r="C156" s="201" t="s">
        <v>651</v>
      </c>
      <c r="D156" s="288"/>
      <c r="E156" s="202" t="s">
        <v>562</v>
      </c>
      <c r="F156" s="205">
        <f>구조물공총괄집계표!G92</f>
        <v>0</v>
      </c>
      <c r="G156" s="206">
        <f t="shared" si="9"/>
        <v>0</v>
      </c>
      <c r="H156" s="34"/>
      <c r="I156" s="293"/>
      <c r="J156" s="363">
        <f>SUM($K$3:K156)</f>
        <v>12</v>
      </c>
      <c r="K156" s="356"/>
      <c r="L156" s="356"/>
      <c r="M156" s="356"/>
      <c r="N156" s="361" t="str">
        <f t="shared" si="11"/>
        <v>숨김</v>
      </c>
    </row>
    <row r="157" spans="1:14" s="262" customFormat="1" ht="20.100000000000001" hidden="1" customHeight="1">
      <c r="A157" s="301" t="str">
        <f>A151</f>
        <v>1.</v>
      </c>
      <c r="B157" s="298" t="str">
        <f>IF(J157&gt;9,CONCATENATE(J157,"."),CONCATENATE("0",J157,"."))</f>
        <v>12.</v>
      </c>
      <c r="C157" s="257" t="s">
        <v>328</v>
      </c>
      <c r="D157" s="257"/>
      <c r="E157" s="258"/>
      <c r="F157" s="259"/>
      <c r="G157" s="257"/>
      <c r="H157" s="261"/>
      <c r="J157" s="363">
        <f>SUM($K$3:K157)</f>
        <v>12</v>
      </c>
      <c r="K157" s="355"/>
      <c r="L157" s="355"/>
      <c r="M157" s="355"/>
      <c r="N157" s="361" t="str">
        <f t="shared" si="11"/>
        <v>숨김</v>
      </c>
    </row>
    <row r="158" spans="1:14" s="35" customFormat="1" ht="20.100000000000001" hidden="1" customHeight="1">
      <c r="A158" s="299"/>
      <c r="B158" s="300" t="str">
        <f t="shared" si="10"/>
        <v>.</v>
      </c>
      <c r="C158" s="201" t="s">
        <v>329</v>
      </c>
      <c r="D158" s="201"/>
      <c r="E158" s="202"/>
      <c r="F158" s="203"/>
      <c r="G158" s="201">
        <f t="shared" si="9"/>
        <v>0</v>
      </c>
      <c r="H158" s="34"/>
      <c r="J158" s="363">
        <f>SUM($K$3:K158)</f>
        <v>12</v>
      </c>
      <c r="K158" s="356"/>
      <c r="L158" s="356"/>
      <c r="M158" s="356"/>
      <c r="N158" s="361" t="str">
        <f t="shared" si="11"/>
        <v>숨김</v>
      </c>
    </row>
    <row r="159" spans="1:14" s="28" customFormat="1" ht="20.100000000000001" hidden="1" customHeight="1">
      <c r="A159" s="299"/>
      <c r="B159" s="300" t="str">
        <f t="shared" si="10"/>
        <v>.</v>
      </c>
      <c r="C159" s="201" t="s">
        <v>329</v>
      </c>
      <c r="D159" s="201" t="str">
        <f>구조물공총괄집계표!C51</f>
        <v>20mm</v>
      </c>
      <c r="E159" s="202" t="s">
        <v>330</v>
      </c>
      <c r="F159" s="203">
        <f>구조물공총괄집계표!G51</f>
        <v>0</v>
      </c>
      <c r="G159" s="201">
        <f t="shared" si="9"/>
        <v>0</v>
      </c>
      <c r="H159" s="343"/>
      <c r="J159" s="363">
        <f>SUM($K$3:K159)</f>
        <v>12</v>
      </c>
      <c r="K159" s="357"/>
      <c r="L159" s="357"/>
      <c r="M159" s="357"/>
      <c r="N159" s="361" t="str">
        <f t="shared" si="11"/>
        <v>숨김</v>
      </c>
    </row>
    <row r="160" spans="1:14" s="35" customFormat="1" ht="20.100000000000001" hidden="1" customHeight="1">
      <c r="A160" s="299"/>
      <c r="B160" s="300" t="str">
        <f t="shared" si="10"/>
        <v>.</v>
      </c>
      <c r="C160" s="201" t="s">
        <v>329</v>
      </c>
      <c r="D160" s="201" t="str">
        <f>구조물공총괄집계표!C52</f>
        <v>No. 150</v>
      </c>
      <c r="E160" s="202" t="s">
        <v>330</v>
      </c>
      <c r="F160" s="203">
        <f>구조물공총괄집계표!G52</f>
        <v>0</v>
      </c>
      <c r="G160" s="201">
        <f t="shared" si="9"/>
        <v>0</v>
      </c>
      <c r="H160" s="34"/>
      <c r="J160" s="363">
        <f>SUM($K$3:K160)</f>
        <v>12</v>
      </c>
      <c r="K160" s="356"/>
      <c r="L160" s="356"/>
      <c r="M160" s="356"/>
      <c r="N160" s="361" t="str">
        <f t="shared" si="11"/>
        <v>숨김</v>
      </c>
    </row>
    <row r="161" spans="1:14" s="262" customFormat="1" ht="20.100000000000001" customHeight="1">
      <c r="A161" s="301" t="str">
        <f>A157</f>
        <v>1.</v>
      </c>
      <c r="B161" s="298" t="str">
        <f>IF(J161&gt;9,CONCATENATE(J161,"."),CONCATENATE("0",J161,"."))</f>
        <v>13.</v>
      </c>
      <c r="C161" s="257" t="s">
        <v>331</v>
      </c>
      <c r="D161" s="257"/>
      <c r="E161" s="258"/>
      <c r="F161" s="259"/>
      <c r="G161" s="257"/>
      <c r="H161" s="261"/>
      <c r="J161" s="363">
        <f>SUM($K$3:K161)</f>
        <v>13</v>
      </c>
      <c r="K161" s="355">
        <v>1</v>
      </c>
      <c r="L161" s="355"/>
      <c r="M161" s="355"/>
      <c r="N161" s="361" t="str">
        <f t="shared" si="11"/>
        <v>1</v>
      </c>
    </row>
    <row r="162" spans="1:14" s="35" customFormat="1" ht="20.100000000000001" hidden="1" customHeight="1">
      <c r="A162" s="299"/>
      <c r="B162" s="300" t="str">
        <f t="shared" si="10"/>
        <v>.</v>
      </c>
      <c r="C162" s="201" t="s">
        <v>331</v>
      </c>
      <c r="D162" s="201" t="s">
        <v>332</v>
      </c>
      <c r="E162" s="202" t="s">
        <v>8</v>
      </c>
      <c r="F162" s="203"/>
      <c r="G162" s="201">
        <f t="shared" si="9"/>
        <v>0</v>
      </c>
      <c r="H162" s="34"/>
      <c r="J162" s="363">
        <f>SUM($K$3:K162)</f>
        <v>13</v>
      </c>
      <c r="K162" s="356"/>
      <c r="L162" s="356"/>
      <c r="M162" s="356"/>
      <c r="N162" s="361" t="str">
        <f t="shared" si="11"/>
        <v>숨김</v>
      </c>
    </row>
    <row r="163" spans="1:14" s="28" customFormat="1" ht="20.100000000000001" customHeight="1">
      <c r="A163" s="299"/>
      <c r="B163" s="300" t="str">
        <f t="shared" si="10"/>
        <v>a.</v>
      </c>
      <c r="C163" s="201" t="s">
        <v>331</v>
      </c>
      <c r="D163" s="201" t="s">
        <v>969</v>
      </c>
      <c r="E163" s="202" t="s">
        <v>8</v>
      </c>
      <c r="F163" s="203">
        <f>+구조물공총괄집계표!G63</f>
        <v>507.22500000000002</v>
      </c>
      <c r="G163" s="201">
        <f t="shared" si="9"/>
        <v>507.22500000000002</v>
      </c>
      <c r="H163" s="34"/>
      <c r="J163" s="363">
        <f>SUM($K$3:K163)</f>
        <v>13</v>
      </c>
      <c r="K163" s="357"/>
      <c r="L163" s="357" t="s">
        <v>942</v>
      </c>
      <c r="M163" s="357"/>
      <c r="N163" s="361" t="str">
        <f t="shared" si="11"/>
        <v>1</v>
      </c>
    </row>
    <row r="164" spans="1:14" s="28" customFormat="1" ht="20.100000000000001" customHeight="1">
      <c r="A164" s="299"/>
      <c r="B164" s="300" t="str">
        <f>IF(M164="",CONCATENATE(L164,"."),CONCATENATE(L164,"-",M164,"."))</f>
        <v>b.</v>
      </c>
      <c r="C164" s="201" t="s">
        <v>339</v>
      </c>
      <c r="D164" s="201" t="s">
        <v>340</v>
      </c>
      <c r="E164" s="202" t="s">
        <v>8</v>
      </c>
      <c r="F164" s="203">
        <f>구조물공총괄집계표!G95</f>
        <v>672.47400000000005</v>
      </c>
      <c r="G164" s="201">
        <f>SUM(F164:F164)</f>
        <v>672.47400000000005</v>
      </c>
      <c r="H164" s="34"/>
      <c r="J164" s="363">
        <v>10</v>
      </c>
      <c r="K164" s="357"/>
      <c r="L164" s="357" t="s">
        <v>943</v>
      </c>
      <c r="M164" s="357"/>
      <c r="N164" s="361" t="str">
        <f>IF(K164="",IF(L164="","숨김","1"),"1")</f>
        <v>1</v>
      </c>
    </row>
    <row r="165" spans="1:14" s="262" customFormat="1" ht="20.100000000000001" customHeight="1">
      <c r="A165" s="301" t="str">
        <f>A161</f>
        <v>1.</v>
      </c>
      <c r="B165" s="298" t="str">
        <f>IF(J165&gt;9,CONCATENATE(J165,"."),CONCATENATE("0",J165,"."))</f>
        <v>14.</v>
      </c>
      <c r="C165" s="257" t="s">
        <v>333</v>
      </c>
      <c r="D165" s="257"/>
      <c r="E165" s="258"/>
      <c r="F165" s="259"/>
      <c r="G165" s="257"/>
      <c r="H165" s="261"/>
      <c r="J165" s="363">
        <f>SUM($K$3:K165)</f>
        <v>14</v>
      </c>
      <c r="K165" s="355">
        <v>1</v>
      </c>
      <c r="L165" s="355"/>
      <c r="M165" s="355"/>
      <c r="N165" s="361" t="str">
        <f t="shared" si="11"/>
        <v>1</v>
      </c>
    </row>
    <row r="166" spans="1:14" s="28" customFormat="1" ht="20.100000000000001" customHeight="1">
      <c r="A166" s="299"/>
      <c r="B166" s="300" t="str">
        <f t="shared" si="10"/>
        <v>a-1.</v>
      </c>
      <c r="C166" s="201" t="s">
        <v>334</v>
      </c>
      <c r="D166" s="201" t="s">
        <v>220</v>
      </c>
      <c r="E166" s="202" t="s">
        <v>206</v>
      </c>
      <c r="F166" s="203">
        <f>구조물공총괄집계표!G97</f>
        <v>200</v>
      </c>
      <c r="G166" s="201">
        <f t="shared" si="9"/>
        <v>200</v>
      </c>
      <c r="H166" s="34"/>
      <c r="J166" s="363">
        <f>SUM($K$3:K166)</f>
        <v>14</v>
      </c>
      <c r="K166" s="357"/>
      <c r="L166" s="357" t="s">
        <v>942</v>
      </c>
      <c r="M166" s="357">
        <v>1</v>
      </c>
      <c r="N166" s="361" t="str">
        <f t="shared" si="11"/>
        <v>1</v>
      </c>
    </row>
    <row r="167" spans="1:14" s="28" customFormat="1" ht="20.100000000000001" hidden="1" customHeight="1">
      <c r="A167" s="299"/>
      <c r="B167" s="300" t="str">
        <f t="shared" si="10"/>
        <v>.</v>
      </c>
      <c r="C167" s="201" t="s">
        <v>335</v>
      </c>
      <c r="D167" s="201" t="s">
        <v>336</v>
      </c>
      <c r="E167" s="202" t="s">
        <v>206</v>
      </c>
      <c r="F167" s="203">
        <f>구조물공총괄집계표!G96</f>
        <v>0</v>
      </c>
      <c r="G167" s="201">
        <f t="shared" si="9"/>
        <v>0</v>
      </c>
      <c r="H167" s="34"/>
      <c r="J167" s="363">
        <f>SUM($K$3:K167)</f>
        <v>14</v>
      </c>
      <c r="K167" s="357"/>
      <c r="L167" s="357"/>
      <c r="M167" s="357"/>
      <c r="N167" s="361" t="str">
        <f t="shared" si="11"/>
        <v>숨김</v>
      </c>
    </row>
    <row r="168" spans="1:14" s="262" customFormat="1" ht="18" hidden="1" customHeight="1">
      <c r="A168" s="301" t="str">
        <f>A165</f>
        <v>1.</v>
      </c>
      <c r="B168" s="298" t="str">
        <f>IF(J168&gt;9,CONCATENATE(J168,"."),CONCATENATE("0",J168,"."))</f>
        <v>14.</v>
      </c>
      <c r="C168" s="257" t="s">
        <v>337</v>
      </c>
      <c r="D168" s="257"/>
      <c r="E168" s="258"/>
      <c r="F168" s="259"/>
      <c r="G168" s="257">
        <f t="shared" si="9"/>
        <v>0</v>
      </c>
      <c r="H168" s="261"/>
      <c r="J168" s="363">
        <f>SUM($K$3:K168)</f>
        <v>14</v>
      </c>
      <c r="K168" s="355"/>
      <c r="L168" s="355"/>
      <c r="M168" s="355"/>
      <c r="N168" s="361" t="str">
        <f t="shared" si="11"/>
        <v>숨김</v>
      </c>
    </row>
    <row r="169" spans="1:14" s="28" customFormat="1" ht="18" hidden="1" customHeight="1">
      <c r="A169" s="299"/>
      <c r="B169" s="300" t="str">
        <f t="shared" si="10"/>
        <v>.</v>
      </c>
      <c r="C169" s="201" t="s">
        <v>629</v>
      </c>
      <c r="D169" s="321" t="s">
        <v>631</v>
      </c>
      <c r="E169" s="202" t="s">
        <v>4</v>
      </c>
      <c r="F169" s="205">
        <f>+구조물공총괄집계표!G60</f>
        <v>0</v>
      </c>
      <c r="G169" s="206">
        <f>SUM(F169:F169)</f>
        <v>0</v>
      </c>
      <c r="H169" s="34"/>
      <c r="J169" s="363">
        <f>SUM($K$3:K169)</f>
        <v>14</v>
      </c>
      <c r="K169" s="357"/>
      <c r="L169" s="357"/>
      <c r="M169" s="357"/>
      <c r="N169" s="361" t="str">
        <f t="shared" si="11"/>
        <v>숨김</v>
      </c>
    </row>
    <row r="170" spans="1:14" s="28" customFormat="1" ht="18" hidden="1" customHeight="1">
      <c r="A170" s="299"/>
      <c r="B170" s="300" t="str">
        <f t="shared" si="10"/>
        <v>.</v>
      </c>
      <c r="C170" s="201" t="s">
        <v>630</v>
      </c>
      <c r="D170" s="201"/>
      <c r="E170" s="202" t="s">
        <v>4</v>
      </c>
      <c r="F170" s="205">
        <f>+구조물공총괄집계표!G59</f>
        <v>0</v>
      </c>
      <c r="G170" s="206">
        <f t="shared" si="9"/>
        <v>0</v>
      </c>
      <c r="H170" s="34"/>
      <c r="J170" s="363">
        <f>SUM($K$3:K170)</f>
        <v>14</v>
      </c>
      <c r="K170" s="357"/>
      <c r="L170" s="357"/>
      <c r="M170" s="357"/>
      <c r="N170" s="361" t="str">
        <f t="shared" si="11"/>
        <v>숨김</v>
      </c>
    </row>
    <row r="171" spans="1:14" s="262" customFormat="1" ht="20.100000000000001" customHeight="1">
      <c r="A171" s="301" t="str">
        <f>A168</f>
        <v>1.</v>
      </c>
      <c r="B171" s="298" t="str">
        <f>IF(J171&gt;9,CONCATENATE(J171,"."),CONCATENATE("0",J171,"."))</f>
        <v>15.</v>
      </c>
      <c r="C171" s="257" t="s">
        <v>632</v>
      </c>
      <c r="D171" s="257"/>
      <c r="E171" s="258"/>
      <c r="F171" s="259"/>
      <c r="G171" s="257"/>
      <c r="H171" s="261"/>
      <c r="J171" s="363">
        <f>SUM($K$3:K171)</f>
        <v>15</v>
      </c>
      <c r="K171" s="355">
        <v>1</v>
      </c>
      <c r="L171" s="355"/>
      <c r="M171" s="355"/>
      <c r="N171" s="361" t="str">
        <f t="shared" si="11"/>
        <v>1</v>
      </c>
    </row>
    <row r="172" spans="1:14" s="28" customFormat="1" ht="18.95" customHeight="1">
      <c r="A172" s="299"/>
      <c r="B172" s="300" t="str">
        <f t="shared" si="10"/>
        <v>a-1.</v>
      </c>
      <c r="C172" s="201" t="s">
        <v>632</v>
      </c>
      <c r="D172" s="201" t="s">
        <v>338</v>
      </c>
      <c r="E172" s="202" t="s">
        <v>8</v>
      </c>
      <c r="F172" s="203">
        <f>+구조물공총괄집계표!G71</f>
        <v>32.064999999999998</v>
      </c>
      <c r="G172" s="201">
        <f t="shared" si="9"/>
        <v>32.064999999999998</v>
      </c>
      <c r="H172" s="34"/>
      <c r="J172" s="363">
        <f>SUM($K$3:K172)</f>
        <v>15</v>
      </c>
      <c r="K172" s="357"/>
      <c r="L172" s="357" t="s">
        <v>942</v>
      </c>
      <c r="M172" s="357">
        <v>1</v>
      </c>
      <c r="N172" s="361" t="str">
        <f t="shared" si="11"/>
        <v>1</v>
      </c>
    </row>
    <row r="173" spans="1:14" s="28" customFormat="1" ht="18.95" hidden="1" customHeight="1">
      <c r="A173" s="299"/>
      <c r="B173" s="300" t="str">
        <f t="shared" si="10"/>
        <v>.</v>
      </c>
      <c r="C173" s="201" t="s">
        <v>632</v>
      </c>
      <c r="D173" s="201" t="s">
        <v>221</v>
      </c>
      <c r="E173" s="202" t="s">
        <v>8</v>
      </c>
      <c r="F173" s="203"/>
      <c r="G173" s="201">
        <f t="shared" ref="G173:G179" si="12">SUM(F173:F173)</f>
        <v>0</v>
      </c>
      <c r="H173" s="34"/>
      <c r="J173" s="363">
        <f>SUM($K$3:K173)</f>
        <v>15</v>
      </c>
      <c r="K173" s="357"/>
      <c r="L173" s="357"/>
      <c r="M173" s="357"/>
      <c r="N173" s="361" t="str">
        <f t="shared" si="11"/>
        <v>숨김</v>
      </c>
    </row>
    <row r="174" spans="1:14" s="28" customFormat="1" ht="18.95" hidden="1" customHeight="1">
      <c r="A174" s="299"/>
      <c r="B174" s="300" t="str">
        <f t="shared" si="10"/>
        <v>.</v>
      </c>
      <c r="C174" s="201" t="s">
        <v>632</v>
      </c>
      <c r="D174" s="201" t="s">
        <v>222</v>
      </c>
      <c r="E174" s="202" t="s">
        <v>8</v>
      </c>
      <c r="F174" s="203">
        <f>+구조물공총괄집계표!G73</f>
        <v>0</v>
      </c>
      <c r="G174" s="201">
        <f t="shared" si="12"/>
        <v>0</v>
      </c>
      <c r="H174" s="34"/>
      <c r="J174" s="363">
        <f>SUM($K$3:K174)</f>
        <v>15</v>
      </c>
      <c r="K174" s="357"/>
      <c r="L174" s="357"/>
      <c r="M174" s="357"/>
      <c r="N174" s="361" t="str">
        <f t="shared" si="11"/>
        <v>숨김</v>
      </c>
    </row>
    <row r="175" spans="1:14" s="262" customFormat="1" ht="18.95" hidden="1" customHeight="1">
      <c r="A175" s="301" t="str">
        <f>A171</f>
        <v>1.</v>
      </c>
      <c r="B175" s="298" t="str">
        <f>IF(J175&gt;9,CONCATENATE(J175,"."),CONCATENATE("0",J175,"."))</f>
        <v>15.</v>
      </c>
      <c r="C175" s="257" t="s">
        <v>339</v>
      </c>
      <c r="D175" s="257" t="s">
        <v>340</v>
      </c>
      <c r="E175" s="258" t="s">
        <v>8</v>
      </c>
      <c r="F175" s="259"/>
      <c r="G175" s="257">
        <f t="shared" si="12"/>
        <v>0</v>
      </c>
      <c r="H175" s="261"/>
      <c r="J175" s="363">
        <f>SUM($K$3:K175)</f>
        <v>15</v>
      </c>
      <c r="K175" s="355"/>
      <c r="L175" s="355"/>
      <c r="M175" s="355"/>
      <c r="N175" s="361" t="str">
        <f>IF(K175="",IF(L175="","숨김","1"),"1")</f>
        <v>숨김</v>
      </c>
    </row>
    <row r="176" spans="1:14" s="262" customFormat="1" ht="18.95" hidden="1" customHeight="1">
      <c r="A176" s="301" t="str">
        <f>A175</f>
        <v>1.</v>
      </c>
      <c r="B176" s="298" t="str">
        <f>IF(J176&gt;9,CONCATENATE(J176,"."),CONCATENATE("0",J176,"."))</f>
        <v>15.</v>
      </c>
      <c r="C176" s="257" t="s">
        <v>341</v>
      </c>
      <c r="D176" s="257" t="s">
        <v>342</v>
      </c>
      <c r="F176" s="259"/>
      <c r="G176" s="257">
        <f t="shared" si="12"/>
        <v>0</v>
      </c>
      <c r="H176" s="261"/>
      <c r="J176" s="363">
        <f>SUM($K$3:K176)</f>
        <v>15</v>
      </c>
      <c r="K176" s="355"/>
      <c r="L176" s="355"/>
      <c r="M176" s="355"/>
      <c r="N176" s="361" t="str">
        <f t="shared" si="11"/>
        <v>숨김</v>
      </c>
    </row>
    <row r="177" spans="1:14" s="28" customFormat="1" ht="18.95" hidden="1" customHeight="1">
      <c r="A177" s="302"/>
      <c r="B177" s="300" t="str">
        <f t="shared" si="10"/>
        <v>.</v>
      </c>
      <c r="C177" s="201" t="s">
        <v>343</v>
      </c>
      <c r="D177" s="201"/>
      <c r="E177" s="202" t="s">
        <v>8</v>
      </c>
      <c r="F177" s="203">
        <f>토공총괄집계표!H39</f>
        <v>0</v>
      </c>
      <c r="G177" s="201">
        <f t="shared" si="12"/>
        <v>0</v>
      </c>
      <c r="H177" s="34"/>
      <c r="J177" s="363">
        <f>SUM($K$3:K177)</f>
        <v>15</v>
      </c>
      <c r="K177" s="357"/>
      <c r="L177" s="357"/>
      <c r="M177" s="357"/>
      <c r="N177" s="361" t="str">
        <f t="shared" si="11"/>
        <v>숨김</v>
      </c>
    </row>
    <row r="178" spans="1:14" s="28" customFormat="1" ht="18.95" hidden="1" customHeight="1">
      <c r="A178" s="302"/>
      <c r="B178" s="300" t="str">
        <f t="shared" si="10"/>
        <v>.</v>
      </c>
      <c r="C178" s="201" t="s">
        <v>344</v>
      </c>
      <c r="D178" s="201"/>
      <c r="E178" s="202" t="s">
        <v>330</v>
      </c>
      <c r="F178" s="203">
        <f>토공총괄집계표!H40</f>
        <v>0</v>
      </c>
      <c r="G178" s="201">
        <f t="shared" si="12"/>
        <v>0</v>
      </c>
      <c r="H178" s="34"/>
      <c r="J178" s="363">
        <f>SUM($K$3:K178)</f>
        <v>15</v>
      </c>
      <c r="K178" s="357"/>
      <c r="L178" s="357"/>
      <c r="M178" s="357"/>
      <c r="N178" s="361" t="str">
        <f t="shared" si="11"/>
        <v>숨김</v>
      </c>
    </row>
    <row r="179" spans="1:14" s="28" customFormat="1" ht="18.95" hidden="1" customHeight="1">
      <c r="A179" s="302"/>
      <c r="B179" s="300" t="str">
        <f t="shared" si="10"/>
        <v>.</v>
      </c>
      <c r="C179" s="201" t="s">
        <v>723</v>
      </c>
      <c r="D179" s="201"/>
      <c r="E179" s="202" t="s">
        <v>38</v>
      </c>
      <c r="F179" s="203">
        <f>토공총괄집계표!H42</f>
        <v>0</v>
      </c>
      <c r="G179" s="201">
        <f t="shared" si="12"/>
        <v>0</v>
      </c>
      <c r="H179" s="34"/>
      <c r="J179" s="363">
        <f>SUM($K$3:K179)</f>
        <v>15</v>
      </c>
      <c r="K179" s="357"/>
      <c r="L179" s="357"/>
      <c r="M179" s="357"/>
      <c r="N179" s="361" t="str">
        <f t="shared" si="11"/>
        <v>숨김</v>
      </c>
    </row>
    <row r="180" spans="1:14" s="262" customFormat="1" ht="18.95" customHeight="1">
      <c r="A180" s="301" t="str">
        <f>A176</f>
        <v>1.</v>
      </c>
      <c r="B180" s="298" t="str">
        <f>IF(J180&gt;9,CONCATENATE(J180,"."),CONCATENATE("0",J180,"."))</f>
        <v>16.</v>
      </c>
      <c r="C180" s="257" t="s">
        <v>633</v>
      </c>
      <c r="D180" s="257"/>
      <c r="E180" s="258"/>
      <c r="F180" s="341"/>
      <c r="G180" s="257"/>
      <c r="H180" s="261"/>
      <c r="J180" s="363">
        <f>SUM($K$3:K180)</f>
        <v>16</v>
      </c>
      <c r="K180" s="355">
        <v>1</v>
      </c>
      <c r="L180" s="355"/>
      <c r="M180" s="355"/>
      <c r="N180" s="361" t="str">
        <f t="shared" si="11"/>
        <v>1</v>
      </c>
    </row>
    <row r="181" spans="1:14" s="35" customFormat="1" ht="18.95" customHeight="1">
      <c r="A181" s="302"/>
      <c r="B181" s="300" t="str">
        <f t="shared" si="10"/>
        <v>a.</v>
      </c>
      <c r="C181" s="36" t="s">
        <v>893</v>
      </c>
      <c r="D181" s="36" t="s">
        <v>894</v>
      </c>
      <c r="E181" s="37" t="s">
        <v>322</v>
      </c>
      <c r="F181" s="203">
        <f>구조물공총괄집계표!G75</f>
        <v>4</v>
      </c>
      <c r="G181" s="201">
        <f>SUM(F181:F181)</f>
        <v>4</v>
      </c>
      <c r="H181" s="34"/>
      <c r="J181" s="363">
        <f>SUM($K$3:K181)</f>
        <v>16</v>
      </c>
      <c r="K181" s="356"/>
      <c r="L181" s="356" t="s">
        <v>942</v>
      </c>
      <c r="M181" s="356"/>
      <c r="N181" s="361" t="str">
        <f t="shared" si="11"/>
        <v>1</v>
      </c>
    </row>
    <row r="182" spans="1:14" s="35" customFormat="1" ht="18.95" customHeight="1">
      <c r="A182" s="302"/>
      <c r="B182" s="300" t="str">
        <f t="shared" si="10"/>
        <v>b.</v>
      </c>
      <c r="C182" s="36" t="s">
        <v>876</v>
      </c>
      <c r="D182" s="36" t="s">
        <v>868</v>
      </c>
      <c r="E182" s="202" t="s">
        <v>38</v>
      </c>
      <c r="F182" s="203">
        <f>구조물공총괄집계표!G76</f>
        <v>4</v>
      </c>
      <c r="G182" s="201">
        <f>SUM(F182:F182)</f>
        <v>4</v>
      </c>
      <c r="H182" s="34"/>
      <c r="J182" s="363">
        <f>SUM($K$3:K182)</f>
        <v>16</v>
      </c>
      <c r="K182" s="356"/>
      <c r="L182" s="356" t="s">
        <v>943</v>
      </c>
      <c r="M182" s="356"/>
      <c r="N182" s="361" t="str">
        <f t="shared" si="11"/>
        <v>1</v>
      </c>
    </row>
    <row r="183" spans="1:14" s="35" customFormat="1" ht="18.95" customHeight="1">
      <c r="A183" s="302"/>
      <c r="B183" s="300" t="str">
        <f t="shared" si="10"/>
        <v>c.</v>
      </c>
      <c r="C183" s="36" t="s">
        <v>1147</v>
      </c>
      <c r="D183" s="36" t="s">
        <v>1148</v>
      </c>
      <c r="E183" s="202" t="s">
        <v>38</v>
      </c>
      <c r="F183" s="203">
        <f>구조물공총괄집계표!G77</f>
        <v>86</v>
      </c>
      <c r="G183" s="201">
        <f>SUM(F183:F183)</f>
        <v>86</v>
      </c>
      <c r="H183" s="34"/>
      <c r="J183" s="363">
        <f>SUM($K$3:K183)</f>
        <v>16</v>
      </c>
      <c r="K183" s="356"/>
      <c r="L183" s="356" t="s">
        <v>944</v>
      </c>
      <c r="M183" s="356"/>
      <c r="N183" s="361" t="str">
        <f t="shared" si="11"/>
        <v>1</v>
      </c>
    </row>
    <row r="184" spans="1:14" s="35" customFormat="1" ht="18.95" hidden="1" customHeight="1">
      <c r="A184" s="302"/>
      <c r="B184" s="300" t="str">
        <f t="shared" si="10"/>
        <v>.</v>
      </c>
      <c r="C184" s="36" t="s">
        <v>864</v>
      </c>
      <c r="D184" s="36" t="s">
        <v>865</v>
      </c>
      <c r="E184" s="37" t="s">
        <v>322</v>
      </c>
      <c r="F184" s="203">
        <v>0</v>
      </c>
      <c r="G184" s="201">
        <f>SUM(F184:F184)</f>
        <v>0</v>
      </c>
      <c r="H184" s="34"/>
      <c r="J184" s="363">
        <f>SUM($K$3:K184)</f>
        <v>16</v>
      </c>
      <c r="K184" s="356"/>
      <c r="L184" s="356"/>
      <c r="M184" s="356"/>
      <c r="N184" s="361" t="str">
        <f t="shared" si="11"/>
        <v>숨김</v>
      </c>
    </row>
    <row r="185" spans="1:14" s="35" customFormat="1" ht="18.95" hidden="1" customHeight="1">
      <c r="A185" s="302"/>
      <c r="B185" s="300" t="str">
        <f t="shared" si="10"/>
        <v>.</v>
      </c>
      <c r="C185" s="36" t="s">
        <v>348</v>
      </c>
      <c r="D185" s="36"/>
      <c r="E185" s="37"/>
      <c r="F185" s="203"/>
      <c r="G185" s="201"/>
      <c r="H185" s="34"/>
      <c r="J185" s="363">
        <f>SUM($K$3:K185)</f>
        <v>16</v>
      </c>
      <c r="K185" s="356"/>
      <c r="L185" s="356"/>
      <c r="M185" s="356"/>
      <c r="N185" s="361" t="str">
        <f t="shared" si="11"/>
        <v>숨김</v>
      </c>
    </row>
    <row r="186" spans="1:14" s="35" customFormat="1" ht="18.95" hidden="1" customHeight="1">
      <c r="A186" s="302"/>
      <c r="B186" s="300" t="str">
        <f t="shared" si="10"/>
        <v>.</v>
      </c>
      <c r="C186" s="36" t="s">
        <v>866</v>
      </c>
      <c r="D186" s="36" t="s">
        <v>868</v>
      </c>
      <c r="E186" s="37" t="s">
        <v>322</v>
      </c>
      <c r="F186" s="203">
        <v>0</v>
      </c>
      <c r="G186" s="201">
        <f>SUM(F186:F186)</f>
        <v>0</v>
      </c>
      <c r="H186" s="34"/>
      <c r="J186" s="363">
        <f>SUM($K$3:K186)</f>
        <v>16</v>
      </c>
      <c r="K186" s="356"/>
      <c r="L186" s="356"/>
      <c r="M186" s="356"/>
      <c r="N186" s="361" t="str">
        <f t="shared" si="11"/>
        <v>숨김</v>
      </c>
    </row>
    <row r="187" spans="1:14" s="35" customFormat="1" ht="18.95" hidden="1" customHeight="1">
      <c r="A187" s="302"/>
      <c r="B187" s="300" t="str">
        <f t="shared" si="10"/>
        <v>.</v>
      </c>
      <c r="C187" s="36" t="s">
        <v>866</v>
      </c>
      <c r="D187" s="36" t="s">
        <v>869</v>
      </c>
      <c r="E187" s="37" t="s">
        <v>322</v>
      </c>
      <c r="F187" s="203">
        <v>0</v>
      </c>
      <c r="G187" s="201">
        <f>SUM(F187:F187)</f>
        <v>0</v>
      </c>
      <c r="H187" s="34"/>
      <c r="J187" s="363">
        <f>SUM($K$3:K187)</f>
        <v>16</v>
      </c>
      <c r="K187" s="356"/>
      <c r="L187" s="356"/>
      <c r="M187" s="356"/>
      <c r="N187" s="361" t="str">
        <f t="shared" si="11"/>
        <v>숨김</v>
      </c>
    </row>
    <row r="188" spans="1:14" s="35" customFormat="1" ht="18.95" hidden="1" customHeight="1">
      <c r="A188" s="302"/>
      <c r="B188" s="300" t="str">
        <f t="shared" si="10"/>
        <v>.</v>
      </c>
      <c r="C188" s="36" t="s">
        <v>867</v>
      </c>
      <c r="D188" s="36" t="s">
        <v>870</v>
      </c>
      <c r="E188" s="37" t="s">
        <v>322</v>
      </c>
      <c r="F188" s="203">
        <v>0</v>
      </c>
      <c r="G188" s="201">
        <f>SUM(F188:F188)</f>
        <v>0</v>
      </c>
      <c r="H188" s="34"/>
      <c r="J188" s="363">
        <f>SUM($K$3:K188)</f>
        <v>16</v>
      </c>
      <c r="K188" s="356"/>
      <c r="L188" s="356"/>
      <c r="M188" s="356"/>
      <c r="N188" s="361" t="str">
        <f t="shared" si="11"/>
        <v>숨김</v>
      </c>
    </row>
    <row r="189" spans="1:14" s="35" customFormat="1" ht="18.95" hidden="1" customHeight="1">
      <c r="A189" s="302"/>
      <c r="B189" s="300" t="str">
        <f t="shared" si="10"/>
        <v>.</v>
      </c>
      <c r="C189" s="36" t="s">
        <v>871</v>
      </c>
      <c r="D189" s="36"/>
      <c r="E189" s="37"/>
      <c r="F189" s="203"/>
      <c r="G189" s="201"/>
      <c r="H189" s="34"/>
      <c r="J189" s="363">
        <f>SUM($K$3:K189)</f>
        <v>16</v>
      </c>
      <c r="K189" s="356"/>
      <c r="L189" s="356"/>
      <c r="M189" s="356"/>
      <c r="N189" s="361" t="str">
        <f t="shared" si="11"/>
        <v>숨김</v>
      </c>
    </row>
    <row r="190" spans="1:14" s="35" customFormat="1" ht="18.95" hidden="1" customHeight="1">
      <c r="A190" s="302"/>
      <c r="B190" s="300" t="str">
        <f t="shared" si="10"/>
        <v>.</v>
      </c>
      <c r="C190" s="36" t="s">
        <v>872</v>
      </c>
      <c r="D190" s="36" t="s">
        <v>874</v>
      </c>
      <c r="E190" s="37" t="s">
        <v>322</v>
      </c>
      <c r="F190" s="203">
        <v>0</v>
      </c>
      <c r="G190" s="201">
        <f>SUM(F190:F190)</f>
        <v>0</v>
      </c>
      <c r="H190" s="34"/>
      <c r="J190" s="363">
        <f>SUM($K$3:K190)</f>
        <v>16</v>
      </c>
      <c r="K190" s="356"/>
      <c r="L190" s="356"/>
      <c r="M190" s="356"/>
      <c r="N190" s="361" t="str">
        <f t="shared" si="11"/>
        <v>숨김</v>
      </c>
    </row>
    <row r="191" spans="1:14" s="35" customFormat="1" ht="18.95" hidden="1" customHeight="1">
      <c r="A191" s="302"/>
      <c r="B191" s="300" t="str">
        <f t="shared" si="10"/>
        <v>.</v>
      </c>
      <c r="C191" s="36" t="s">
        <v>872</v>
      </c>
      <c r="D191" s="36" t="s">
        <v>875</v>
      </c>
      <c r="E191" s="37" t="s">
        <v>322</v>
      </c>
      <c r="F191" s="203">
        <v>0</v>
      </c>
      <c r="G191" s="201">
        <f>SUM(F191:F191)</f>
        <v>0</v>
      </c>
      <c r="H191" s="34"/>
      <c r="J191" s="363">
        <f>SUM($K$3:K191)</f>
        <v>16</v>
      </c>
      <c r="K191" s="356"/>
      <c r="L191" s="356"/>
      <c r="M191" s="356"/>
      <c r="N191" s="361" t="str">
        <f t="shared" si="11"/>
        <v>숨김</v>
      </c>
    </row>
    <row r="192" spans="1:14" s="35" customFormat="1" ht="18.95" hidden="1" customHeight="1">
      <c r="A192" s="302"/>
      <c r="B192" s="300" t="str">
        <f t="shared" si="10"/>
        <v>.</v>
      </c>
      <c r="C192" s="36" t="s">
        <v>872</v>
      </c>
      <c r="D192" s="36" t="s">
        <v>870</v>
      </c>
      <c r="E192" s="37" t="s">
        <v>322</v>
      </c>
      <c r="F192" s="203">
        <v>0</v>
      </c>
      <c r="G192" s="201">
        <f>SUM(F192:F192)</f>
        <v>0</v>
      </c>
      <c r="H192" s="34"/>
      <c r="J192" s="363">
        <f>SUM($K$3:K192)</f>
        <v>16</v>
      </c>
      <c r="K192" s="356"/>
      <c r="L192" s="356"/>
      <c r="M192" s="356"/>
      <c r="N192" s="361" t="str">
        <f t="shared" si="11"/>
        <v>숨김</v>
      </c>
    </row>
    <row r="193" spans="1:14" s="35" customFormat="1" ht="18.95" hidden="1" customHeight="1">
      <c r="A193" s="302"/>
      <c r="B193" s="300" t="str">
        <f t="shared" si="10"/>
        <v>.</v>
      </c>
      <c r="C193" s="36" t="s">
        <v>873</v>
      </c>
      <c r="D193" s="36" t="s">
        <v>870</v>
      </c>
      <c r="E193" s="37" t="s">
        <v>322</v>
      </c>
      <c r="F193" s="203">
        <v>0</v>
      </c>
      <c r="G193" s="201">
        <f>SUM(F193:F193)</f>
        <v>0</v>
      </c>
      <c r="H193" s="34"/>
      <c r="J193" s="363">
        <f>SUM($K$3:K193)</f>
        <v>16</v>
      </c>
      <c r="K193" s="356"/>
      <c r="L193" s="356"/>
      <c r="M193" s="356"/>
      <c r="N193" s="361" t="str">
        <f t="shared" si="11"/>
        <v>숨김</v>
      </c>
    </row>
    <row r="194" spans="1:14" s="35" customFormat="1" ht="18.95" hidden="1" customHeight="1">
      <c r="A194" s="302"/>
      <c r="B194" s="300" t="str">
        <f t="shared" si="10"/>
        <v>.</v>
      </c>
      <c r="C194" s="36" t="s">
        <v>347</v>
      </c>
      <c r="D194" s="36"/>
      <c r="E194" s="37"/>
      <c r="F194" s="203"/>
      <c r="G194" s="201"/>
      <c r="H194" s="34"/>
      <c r="J194" s="363">
        <f>SUM($K$3:K194)</f>
        <v>16</v>
      </c>
      <c r="K194" s="356"/>
      <c r="L194" s="356"/>
      <c r="M194" s="356"/>
      <c r="N194" s="361" t="str">
        <f t="shared" si="11"/>
        <v>숨김</v>
      </c>
    </row>
    <row r="195" spans="1:14" s="35" customFormat="1" ht="18.95" hidden="1" customHeight="1">
      <c r="A195" s="302"/>
      <c r="B195" s="300" t="str">
        <f t="shared" si="10"/>
        <v>.</v>
      </c>
      <c r="C195" s="36" t="s">
        <v>876</v>
      </c>
      <c r="D195" s="36" t="s">
        <v>874</v>
      </c>
      <c r="E195" s="202" t="s">
        <v>38</v>
      </c>
      <c r="F195" s="203">
        <v>0</v>
      </c>
      <c r="G195" s="201">
        <f t="shared" ref="G195:G217" si="13">SUM(F195:F195)</f>
        <v>0</v>
      </c>
      <c r="H195" s="34"/>
      <c r="J195" s="363">
        <f>SUM($K$3:K195)</f>
        <v>16</v>
      </c>
      <c r="K195" s="356"/>
      <c r="L195" s="356"/>
      <c r="M195" s="356"/>
      <c r="N195" s="361" t="str">
        <f t="shared" si="11"/>
        <v>숨김</v>
      </c>
    </row>
    <row r="196" spans="1:14" s="35" customFormat="1" ht="18.95" hidden="1" customHeight="1">
      <c r="A196" s="302"/>
      <c r="B196" s="300" t="str">
        <f t="shared" si="10"/>
        <v>.</v>
      </c>
      <c r="C196" s="36" t="s">
        <v>876</v>
      </c>
      <c r="D196" s="36" t="s">
        <v>877</v>
      </c>
      <c r="E196" s="202" t="s">
        <v>38</v>
      </c>
      <c r="F196" s="203">
        <v>0</v>
      </c>
      <c r="G196" s="201">
        <f t="shared" si="13"/>
        <v>0</v>
      </c>
      <c r="H196" s="34"/>
      <c r="J196" s="363">
        <f>SUM($K$3:K196)</f>
        <v>16</v>
      </c>
      <c r="K196" s="356"/>
      <c r="L196" s="356"/>
      <c r="M196" s="356"/>
      <c r="N196" s="361" t="str">
        <f t="shared" si="11"/>
        <v>숨김</v>
      </c>
    </row>
    <row r="197" spans="1:14" s="35" customFormat="1" ht="18.95" hidden="1" customHeight="1">
      <c r="A197" s="302"/>
      <c r="B197" s="300" t="str">
        <f t="shared" si="10"/>
        <v>.</v>
      </c>
      <c r="C197" s="36" t="s">
        <v>876</v>
      </c>
      <c r="D197" s="36" t="s">
        <v>878</v>
      </c>
      <c r="E197" s="202" t="s">
        <v>38</v>
      </c>
      <c r="F197" s="203">
        <f>구조물공총괄집계표!G77</f>
        <v>86</v>
      </c>
      <c r="G197" s="201">
        <f t="shared" si="13"/>
        <v>86</v>
      </c>
      <c r="H197" s="34"/>
      <c r="J197" s="363">
        <f>SUM($K$3:K197)</f>
        <v>16</v>
      </c>
      <c r="K197" s="356"/>
      <c r="L197" s="356"/>
      <c r="M197" s="356"/>
      <c r="N197" s="361" t="str">
        <f t="shared" si="11"/>
        <v>숨김</v>
      </c>
    </row>
    <row r="198" spans="1:14" s="35" customFormat="1" ht="18.95" hidden="1" customHeight="1">
      <c r="A198" s="302"/>
      <c r="B198" s="300" t="str">
        <f t="shared" si="10"/>
        <v>.</v>
      </c>
      <c r="C198" s="36" t="s">
        <v>348</v>
      </c>
      <c r="D198" s="36"/>
      <c r="E198" s="37"/>
      <c r="F198" s="203">
        <v>0</v>
      </c>
      <c r="G198" s="201">
        <f t="shared" si="13"/>
        <v>0</v>
      </c>
      <c r="H198" s="34"/>
      <c r="J198" s="363">
        <f>SUM($K$3:K198)</f>
        <v>16</v>
      </c>
      <c r="K198" s="356"/>
      <c r="L198" s="356"/>
      <c r="M198" s="356"/>
      <c r="N198" s="361" t="str">
        <f t="shared" si="11"/>
        <v>숨김</v>
      </c>
    </row>
    <row r="199" spans="1:14" s="35" customFormat="1" ht="18.95" hidden="1" customHeight="1">
      <c r="A199" s="302"/>
      <c r="B199" s="300" t="str">
        <f t="shared" si="10"/>
        <v>.</v>
      </c>
      <c r="C199" s="36" t="s">
        <v>879</v>
      </c>
      <c r="D199" s="36" t="s">
        <v>881</v>
      </c>
      <c r="E199" s="37" t="s">
        <v>322</v>
      </c>
      <c r="F199" s="203">
        <v>0</v>
      </c>
      <c r="G199" s="201">
        <f t="shared" si="13"/>
        <v>0</v>
      </c>
      <c r="H199" s="34"/>
      <c r="J199" s="363">
        <f>SUM($K$3:K199)</f>
        <v>16</v>
      </c>
      <c r="K199" s="356"/>
      <c r="L199" s="356"/>
      <c r="M199" s="356"/>
      <c r="N199" s="361" t="str">
        <f t="shared" si="11"/>
        <v>숨김</v>
      </c>
    </row>
    <row r="200" spans="1:14" s="35" customFormat="1" ht="18.95" hidden="1" customHeight="1">
      <c r="A200" s="302"/>
      <c r="B200" s="300" t="str">
        <f t="shared" si="10"/>
        <v>.</v>
      </c>
      <c r="C200" s="36" t="s">
        <v>880</v>
      </c>
      <c r="D200" s="36" t="s">
        <v>881</v>
      </c>
      <c r="E200" s="37" t="s">
        <v>322</v>
      </c>
      <c r="F200" s="203">
        <v>0</v>
      </c>
      <c r="G200" s="201">
        <f t="shared" si="13"/>
        <v>0</v>
      </c>
      <c r="H200" s="34"/>
      <c r="J200" s="363">
        <f>SUM($K$3:K200)</f>
        <v>16</v>
      </c>
      <c r="K200" s="356"/>
      <c r="L200" s="356"/>
      <c r="M200" s="356"/>
      <c r="N200" s="361" t="str">
        <f t="shared" si="11"/>
        <v>숨김</v>
      </c>
    </row>
    <row r="201" spans="1:14" s="35" customFormat="1" ht="18.95" hidden="1" customHeight="1">
      <c r="A201" s="302"/>
      <c r="B201" s="300" t="str">
        <f t="shared" si="10"/>
        <v>.</v>
      </c>
      <c r="C201" s="36" t="s">
        <v>880</v>
      </c>
      <c r="D201" s="36" t="s">
        <v>882</v>
      </c>
      <c r="E201" s="37" t="s">
        <v>322</v>
      </c>
      <c r="F201" s="203">
        <v>0</v>
      </c>
      <c r="G201" s="201">
        <f t="shared" si="13"/>
        <v>0</v>
      </c>
      <c r="H201" s="34"/>
      <c r="J201" s="363">
        <f>SUM($K$3:K201)</f>
        <v>16</v>
      </c>
      <c r="K201" s="356"/>
      <c r="L201" s="356"/>
      <c r="M201" s="356"/>
      <c r="N201" s="361" t="str">
        <f t="shared" si="11"/>
        <v>숨김</v>
      </c>
    </row>
    <row r="202" spans="1:14" s="35" customFormat="1" ht="18.95" hidden="1" customHeight="1">
      <c r="A202" s="302"/>
      <c r="B202" s="300" t="str">
        <f t="shared" si="10"/>
        <v>.</v>
      </c>
      <c r="C202" s="36" t="s">
        <v>880</v>
      </c>
      <c r="D202" s="36" t="s">
        <v>883</v>
      </c>
      <c r="E202" s="37" t="s">
        <v>322</v>
      </c>
      <c r="F202" s="203">
        <v>0</v>
      </c>
      <c r="G202" s="201">
        <f t="shared" si="13"/>
        <v>0</v>
      </c>
      <c r="H202" s="34"/>
      <c r="J202" s="363">
        <f>SUM($K$3:K202)</f>
        <v>16</v>
      </c>
      <c r="K202" s="356"/>
      <c r="L202" s="356"/>
      <c r="M202" s="356"/>
      <c r="N202" s="361" t="str">
        <f t="shared" si="11"/>
        <v>숨김</v>
      </c>
    </row>
    <row r="203" spans="1:14" s="35" customFormat="1" ht="18.95" hidden="1" customHeight="1">
      <c r="A203" s="302"/>
      <c r="B203" s="300" t="str">
        <f t="shared" si="10"/>
        <v>.</v>
      </c>
      <c r="C203" s="36" t="s">
        <v>880</v>
      </c>
      <c r="D203" s="36" t="s">
        <v>884</v>
      </c>
      <c r="E203" s="37" t="s">
        <v>322</v>
      </c>
      <c r="F203" s="203">
        <v>0</v>
      </c>
      <c r="G203" s="201">
        <f t="shared" si="13"/>
        <v>0</v>
      </c>
      <c r="H203" s="34"/>
      <c r="J203" s="363">
        <f>SUM($K$3:K203)</f>
        <v>16</v>
      </c>
      <c r="K203" s="356"/>
      <c r="L203" s="356"/>
      <c r="M203" s="356"/>
      <c r="N203" s="361" t="str">
        <f t="shared" si="11"/>
        <v>숨김</v>
      </c>
    </row>
    <row r="204" spans="1:14" s="35" customFormat="1" ht="18.95" hidden="1" customHeight="1">
      <c r="A204" s="302"/>
      <c r="B204" s="300" t="str">
        <f t="shared" si="10"/>
        <v>.</v>
      </c>
      <c r="C204" s="36" t="s">
        <v>885</v>
      </c>
      <c r="D204" s="36"/>
      <c r="E204" s="37"/>
      <c r="F204" s="203">
        <v>0</v>
      </c>
      <c r="G204" s="201">
        <f t="shared" si="13"/>
        <v>0</v>
      </c>
      <c r="H204" s="34"/>
      <c r="J204" s="363">
        <f>SUM($K$3:K204)</f>
        <v>16</v>
      </c>
      <c r="K204" s="356"/>
      <c r="L204" s="356"/>
      <c r="M204" s="356"/>
      <c r="N204" s="361" t="str">
        <f t="shared" si="11"/>
        <v>숨김</v>
      </c>
    </row>
    <row r="205" spans="1:14" s="35" customFormat="1" ht="18.95" hidden="1" customHeight="1">
      <c r="A205" s="302"/>
      <c r="B205" s="300" t="str">
        <f t="shared" si="10"/>
        <v>.</v>
      </c>
      <c r="C205" s="36" t="s">
        <v>886</v>
      </c>
      <c r="D205" s="36" t="s">
        <v>889</v>
      </c>
      <c r="E205" s="37" t="s">
        <v>322</v>
      </c>
      <c r="F205" s="203">
        <v>0</v>
      </c>
      <c r="G205" s="201">
        <f t="shared" si="13"/>
        <v>0</v>
      </c>
      <c r="H205" s="34"/>
      <c r="J205" s="363">
        <f>SUM($K$3:K205)</f>
        <v>16</v>
      </c>
      <c r="K205" s="356"/>
      <c r="L205" s="356"/>
      <c r="M205" s="356"/>
      <c r="N205" s="361" t="str">
        <f t="shared" si="11"/>
        <v>숨김</v>
      </c>
    </row>
    <row r="206" spans="1:14" s="35" customFormat="1" ht="18.95" hidden="1" customHeight="1">
      <c r="A206" s="302"/>
      <c r="B206" s="300" t="str">
        <f t="shared" si="10"/>
        <v>.</v>
      </c>
      <c r="C206" s="36" t="s">
        <v>887</v>
      </c>
      <c r="D206" s="36" t="s">
        <v>890</v>
      </c>
      <c r="E206" s="37" t="s">
        <v>322</v>
      </c>
      <c r="F206" s="203">
        <v>0</v>
      </c>
      <c r="G206" s="201">
        <f t="shared" si="13"/>
        <v>0</v>
      </c>
      <c r="H206" s="34"/>
      <c r="J206" s="363">
        <f>SUM($K$3:K206)</f>
        <v>16</v>
      </c>
      <c r="K206" s="356"/>
      <c r="L206" s="356"/>
      <c r="M206" s="356"/>
      <c r="N206" s="361" t="str">
        <f t="shared" si="11"/>
        <v>숨김</v>
      </c>
    </row>
    <row r="207" spans="1:14" s="35" customFormat="1" ht="18.95" hidden="1" customHeight="1">
      <c r="A207" s="302"/>
      <c r="B207" s="300" t="str">
        <f t="shared" si="10"/>
        <v>.</v>
      </c>
      <c r="C207" s="36" t="s">
        <v>887</v>
      </c>
      <c r="D207" s="36" t="s">
        <v>891</v>
      </c>
      <c r="E207" s="37" t="s">
        <v>322</v>
      </c>
      <c r="F207" s="203">
        <v>0</v>
      </c>
      <c r="G207" s="201">
        <f t="shared" si="13"/>
        <v>0</v>
      </c>
      <c r="H207" s="34"/>
      <c r="J207" s="363">
        <f>SUM($K$3:K207)</f>
        <v>16</v>
      </c>
      <c r="K207" s="356"/>
      <c r="L207" s="356"/>
      <c r="M207" s="356"/>
      <c r="N207" s="361" t="str">
        <f t="shared" si="11"/>
        <v>숨김</v>
      </c>
    </row>
    <row r="208" spans="1:14" s="35" customFormat="1" ht="18.95" hidden="1" customHeight="1">
      <c r="A208" s="302"/>
      <c r="B208" s="300" t="str">
        <f t="shared" si="10"/>
        <v>.</v>
      </c>
      <c r="C208" s="36" t="s">
        <v>888</v>
      </c>
      <c r="D208" s="36" t="s">
        <v>892</v>
      </c>
      <c r="E208" s="37" t="s">
        <v>322</v>
      </c>
      <c r="F208" s="203">
        <v>0</v>
      </c>
      <c r="G208" s="201">
        <f t="shared" si="13"/>
        <v>0</v>
      </c>
      <c r="H208" s="34"/>
      <c r="J208" s="363">
        <f>SUM($K$3:K208)</f>
        <v>16</v>
      </c>
      <c r="K208" s="356"/>
      <c r="L208" s="356"/>
      <c r="M208" s="356"/>
      <c r="N208" s="361" t="str">
        <f t="shared" si="11"/>
        <v>숨김</v>
      </c>
    </row>
    <row r="209" spans="1:14" s="35" customFormat="1" ht="18.95" hidden="1" customHeight="1">
      <c r="A209" s="302"/>
      <c r="B209" s="300" t="str">
        <f t="shared" si="10"/>
        <v>.</v>
      </c>
      <c r="C209" s="36" t="s">
        <v>346</v>
      </c>
      <c r="D209" s="36"/>
      <c r="E209" s="37"/>
      <c r="F209" s="203"/>
      <c r="G209" s="201"/>
      <c r="H209" s="34"/>
      <c r="J209" s="363">
        <f>SUM($K$3:K209)</f>
        <v>16</v>
      </c>
      <c r="K209" s="356"/>
      <c r="L209" s="356"/>
      <c r="M209" s="356"/>
      <c r="N209" s="361" t="str">
        <f t="shared" si="11"/>
        <v>숨김</v>
      </c>
    </row>
    <row r="210" spans="1:14" s="35" customFormat="1" ht="18.95" hidden="1" customHeight="1">
      <c r="A210" s="302"/>
      <c r="B210" s="300" t="str">
        <f t="shared" si="10"/>
        <v>.</v>
      </c>
      <c r="C210" s="36" t="s">
        <v>893</v>
      </c>
      <c r="D210" s="36" t="s">
        <v>894</v>
      </c>
      <c r="E210" s="37" t="s">
        <v>322</v>
      </c>
      <c r="F210" s="203">
        <f>구조물공총괄집계표!G75</f>
        <v>4</v>
      </c>
      <c r="G210" s="201">
        <f t="shared" si="13"/>
        <v>4</v>
      </c>
      <c r="H210" s="34"/>
      <c r="J210" s="363">
        <f>SUM($K$3:K210)</f>
        <v>16</v>
      </c>
      <c r="K210" s="356"/>
      <c r="L210" s="356"/>
      <c r="M210" s="356"/>
      <c r="N210" s="361" t="str">
        <f t="shared" si="11"/>
        <v>숨김</v>
      </c>
    </row>
    <row r="211" spans="1:14" s="35" customFormat="1" ht="18.95" hidden="1" customHeight="1">
      <c r="A211" s="302"/>
      <c r="B211" s="300" t="str">
        <f t="shared" si="10"/>
        <v>.</v>
      </c>
      <c r="C211" s="36" t="s">
        <v>895</v>
      </c>
      <c r="D211" s="36"/>
      <c r="E211" s="37" t="s">
        <v>322</v>
      </c>
      <c r="F211" s="203">
        <v>0</v>
      </c>
      <c r="G211" s="201">
        <f t="shared" si="13"/>
        <v>0</v>
      </c>
      <c r="H211" s="34"/>
      <c r="J211" s="363">
        <f>SUM($K$3:K211)</f>
        <v>16</v>
      </c>
      <c r="K211" s="356"/>
      <c r="L211" s="356"/>
      <c r="M211" s="356"/>
      <c r="N211" s="361" t="str">
        <f t="shared" si="11"/>
        <v>숨김</v>
      </c>
    </row>
    <row r="212" spans="1:14" s="35" customFormat="1" ht="18.95" hidden="1" customHeight="1">
      <c r="A212" s="302"/>
      <c r="B212" s="300" t="str">
        <f t="shared" si="10"/>
        <v>.</v>
      </c>
      <c r="C212" s="36" t="s">
        <v>895</v>
      </c>
      <c r="D212" s="36" t="s">
        <v>896</v>
      </c>
      <c r="E212" s="37" t="s">
        <v>41</v>
      </c>
      <c r="F212" s="203">
        <v>0</v>
      </c>
      <c r="G212" s="201">
        <f t="shared" si="13"/>
        <v>0</v>
      </c>
      <c r="H212" s="34"/>
      <c r="J212" s="363">
        <f>SUM($K$3:K212)</f>
        <v>16</v>
      </c>
      <c r="K212" s="356"/>
      <c r="L212" s="356"/>
      <c r="M212" s="356"/>
      <c r="N212" s="361" t="str">
        <f t="shared" si="11"/>
        <v>숨김</v>
      </c>
    </row>
    <row r="213" spans="1:14" s="35" customFormat="1" ht="18.95" hidden="1" customHeight="1">
      <c r="A213" s="302"/>
      <c r="B213" s="300" t="str">
        <f t="shared" ref="B213:B283" si="14">IF(M213="",CONCATENATE(L213,"."),CONCATENATE(L213,"-",M213,"."))</f>
        <v>.</v>
      </c>
      <c r="C213" s="36" t="s">
        <v>895</v>
      </c>
      <c r="D213" s="36" t="s">
        <v>877</v>
      </c>
      <c r="E213" s="37" t="s">
        <v>897</v>
      </c>
      <c r="F213" s="203">
        <v>0</v>
      </c>
      <c r="G213" s="201">
        <f t="shared" si="13"/>
        <v>0</v>
      </c>
      <c r="H213" s="34"/>
      <c r="J213" s="363">
        <f>SUM($K$3:K213)</f>
        <v>16</v>
      </c>
      <c r="K213" s="356"/>
      <c r="L213" s="356"/>
      <c r="M213" s="356"/>
      <c r="N213" s="361" t="str">
        <f t="shared" ref="N213:N283" si="15">IF(K213="",IF(L213="","숨김","1"),"1")</f>
        <v>숨김</v>
      </c>
    </row>
    <row r="214" spans="1:14" s="35" customFormat="1" ht="18.95" hidden="1" customHeight="1">
      <c r="A214" s="302"/>
      <c r="B214" s="300" t="str">
        <f t="shared" si="14"/>
        <v>.</v>
      </c>
      <c r="C214" s="36" t="s">
        <v>895</v>
      </c>
      <c r="D214" s="36" t="s">
        <v>870</v>
      </c>
      <c r="E214" s="37" t="s">
        <v>897</v>
      </c>
      <c r="F214" s="203">
        <v>0</v>
      </c>
      <c r="G214" s="201">
        <f t="shared" si="13"/>
        <v>0</v>
      </c>
      <c r="H214" s="34"/>
      <c r="J214" s="363">
        <f>SUM($K$3:K214)</f>
        <v>16</v>
      </c>
      <c r="K214" s="356"/>
      <c r="L214" s="356"/>
      <c r="M214" s="356"/>
      <c r="N214" s="361" t="str">
        <f t="shared" si="15"/>
        <v>숨김</v>
      </c>
    </row>
    <row r="215" spans="1:14" s="35" customFormat="1" ht="18.95" hidden="1" customHeight="1">
      <c r="A215" s="302"/>
      <c r="B215" s="300" t="str">
        <f t="shared" si="14"/>
        <v>.</v>
      </c>
      <c r="C215" s="201" t="s">
        <v>350</v>
      </c>
      <c r="D215" s="36" t="s">
        <v>898</v>
      </c>
      <c r="E215" s="37" t="s">
        <v>322</v>
      </c>
      <c r="F215" s="203">
        <v>0</v>
      </c>
      <c r="G215" s="201">
        <f t="shared" si="13"/>
        <v>0</v>
      </c>
      <c r="H215" s="34"/>
      <c r="J215" s="363">
        <f>SUM($K$3:K215)</f>
        <v>16</v>
      </c>
      <c r="K215" s="356"/>
      <c r="L215" s="356"/>
      <c r="M215" s="356"/>
      <c r="N215" s="361" t="str">
        <f t="shared" si="15"/>
        <v>숨김</v>
      </c>
    </row>
    <row r="216" spans="1:14" s="35" customFormat="1" ht="18.95" hidden="1" customHeight="1">
      <c r="A216" s="302"/>
      <c r="B216" s="300" t="str">
        <f t="shared" si="14"/>
        <v>.</v>
      </c>
      <c r="C216" s="36" t="s">
        <v>899</v>
      </c>
      <c r="D216" s="36" t="s">
        <v>900</v>
      </c>
      <c r="E216" s="202" t="s">
        <v>38</v>
      </c>
      <c r="F216" s="203">
        <v>0</v>
      </c>
      <c r="G216" s="201">
        <f t="shared" si="13"/>
        <v>0</v>
      </c>
      <c r="H216" s="34"/>
      <c r="J216" s="363">
        <f>SUM($K$3:K216)</f>
        <v>16</v>
      </c>
      <c r="K216" s="356"/>
      <c r="L216" s="356"/>
      <c r="M216" s="356"/>
      <c r="N216" s="361" t="str">
        <f t="shared" si="15"/>
        <v>숨김</v>
      </c>
    </row>
    <row r="217" spans="1:14" s="262" customFormat="1" ht="18.95" hidden="1" customHeight="1">
      <c r="A217" s="301" t="str">
        <f>A180</f>
        <v>1.</v>
      </c>
      <c r="B217" s="298" t="str">
        <f>IF(J217&gt;9,CONCATENATE(J217,"."),CONCATENATE("0",J217,"."))</f>
        <v>16.</v>
      </c>
      <c r="C217" s="257" t="s">
        <v>634</v>
      </c>
      <c r="D217" s="257"/>
      <c r="E217" s="258" t="s">
        <v>79</v>
      </c>
      <c r="F217" s="259"/>
      <c r="G217" s="257">
        <f t="shared" si="13"/>
        <v>0</v>
      </c>
      <c r="H217" s="261"/>
      <c r="J217" s="363">
        <f>SUM($K$3:K217)</f>
        <v>16</v>
      </c>
      <c r="K217" s="355"/>
      <c r="L217" s="355"/>
      <c r="M217" s="355"/>
      <c r="N217" s="361" t="str">
        <f t="shared" si="15"/>
        <v>숨김</v>
      </c>
    </row>
    <row r="218" spans="1:14" s="262" customFormat="1" ht="18.95" hidden="1" customHeight="1">
      <c r="A218" s="301" t="str">
        <f>A217</f>
        <v>1.</v>
      </c>
      <c r="B218" s="298" t="str">
        <f>IF(J218&gt;9,CONCATENATE(J218,"."),CONCATENATE("0",J218,"."))</f>
        <v>16.</v>
      </c>
      <c r="C218" s="257" t="s">
        <v>349</v>
      </c>
      <c r="D218" s="257" t="s">
        <v>403</v>
      </c>
      <c r="E218" s="258" t="s">
        <v>12</v>
      </c>
      <c r="F218" s="259">
        <f>+구조물공총괄집계표!G83</f>
        <v>0</v>
      </c>
      <c r="G218" s="257">
        <f>SUM(F218:F218)</f>
        <v>0</v>
      </c>
      <c r="H218" s="261"/>
      <c r="J218" s="363">
        <f>SUM($K$3:K218)</f>
        <v>16</v>
      </c>
      <c r="K218" s="355"/>
      <c r="L218" s="355"/>
      <c r="M218" s="355"/>
      <c r="N218" s="361" t="str">
        <f t="shared" si="15"/>
        <v>숨김</v>
      </c>
    </row>
    <row r="219" spans="1:14" s="262" customFormat="1" ht="18.95" customHeight="1">
      <c r="A219" s="301" t="str">
        <f>A217</f>
        <v>1.</v>
      </c>
      <c r="B219" s="298" t="str">
        <f>IF(J219&gt;9,CONCATENATE(J219,"."),CONCATENATE("0",J219,"."))</f>
        <v>17.</v>
      </c>
      <c r="C219" s="257" t="s">
        <v>636</v>
      </c>
      <c r="D219" s="257" t="s">
        <v>941</v>
      </c>
      <c r="E219" s="295" t="s">
        <v>12</v>
      </c>
      <c r="F219" s="313">
        <f>+구조물공총괄집계표!G88</f>
        <v>32.58</v>
      </c>
      <c r="G219" s="294">
        <f>SUM(F219:F219)</f>
        <v>32.58</v>
      </c>
      <c r="H219" s="261"/>
      <c r="J219" s="363">
        <f>SUM($K$3:K219)</f>
        <v>17</v>
      </c>
      <c r="K219" s="355">
        <v>1</v>
      </c>
      <c r="L219" s="355"/>
      <c r="M219" s="355"/>
      <c r="N219" s="361" t="str">
        <f>IF(K219="",IF(L219="","숨김","1"),"1")</f>
        <v>1</v>
      </c>
    </row>
    <row r="220" spans="1:14" s="262" customFormat="1" ht="18.95" customHeight="1">
      <c r="A220" s="301" t="str">
        <f>A218</f>
        <v>1.</v>
      </c>
      <c r="B220" s="298" t="str">
        <f>IF(J220&gt;9,CONCATENATE(J220,"."),CONCATENATE("0",J220,"."))</f>
        <v>18.</v>
      </c>
      <c r="C220" s="257" t="s">
        <v>351</v>
      </c>
      <c r="D220" s="257"/>
      <c r="E220" s="258"/>
      <c r="F220" s="259"/>
      <c r="G220" s="257"/>
      <c r="H220" s="261"/>
      <c r="J220" s="363">
        <f>SUM($K$3:K220)</f>
        <v>18</v>
      </c>
      <c r="K220" s="355">
        <v>1</v>
      </c>
      <c r="L220" s="355"/>
      <c r="M220" s="355"/>
      <c r="N220" s="361" t="str">
        <f t="shared" si="15"/>
        <v>1</v>
      </c>
    </row>
    <row r="221" spans="1:14" s="35" customFormat="1" ht="18.95" customHeight="1">
      <c r="A221" s="299"/>
      <c r="B221" s="300" t="str">
        <f t="shared" si="14"/>
        <v>a-1.</v>
      </c>
      <c r="C221" s="201" t="s">
        <v>352</v>
      </c>
      <c r="D221" s="201" t="s">
        <v>110</v>
      </c>
      <c r="E221" s="202" t="s">
        <v>8</v>
      </c>
      <c r="F221" s="203">
        <f>+구조물공총괄집계표!G91</f>
        <v>1142.713</v>
      </c>
      <c r="G221" s="201">
        <f>SUM(F221:F221)</f>
        <v>1142.713</v>
      </c>
      <c r="H221" s="34"/>
      <c r="J221" s="363">
        <f>SUM($K$3:K221)</f>
        <v>18</v>
      </c>
      <c r="K221" s="356"/>
      <c r="L221" s="356" t="s">
        <v>942</v>
      </c>
      <c r="M221" s="356">
        <v>1</v>
      </c>
      <c r="N221" s="361" t="str">
        <f t="shared" si="15"/>
        <v>1</v>
      </c>
    </row>
    <row r="222" spans="1:14" s="35" customFormat="1" ht="20.100000000000001" customHeight="1">
      <c r="A222" s="299"/>
      <c r="B222" s="300" t="str">
        <f t="shared" si="14"/>
        <v>a-2.</v>
      </c>
      <c r="C222" s="201" t="s">
        <v>352</v>
      </c>
      <c r="D222" s="201" t="s">
        <v>635</v>
      </c>
      <c r="E222" s="202" t="s">
        <v>8</v>
      </c>
      <c r="F222" s="203">
        <f>구조물공총괄집계표!G90</f>
        <v>1111.9380000000001</v>
      </c>
      <c r="G222" s="201">
        <f>SUM(F222:F222)</f>
        <v>1111.9380000000001</v>
      </c>
      <c r="H222" s="34"/>
      <c r="J222" s="363">
        <f>SUM($K$3:K222)</f>
        <v>18</v>
      </c>
      <c r="K222" s="356"/>
      <c r="L222" s="356" t="s">
        <v>942</v>
      </c>
      <c r="M222" s="356">
        <v>2</v>
      </c>
      <c r="N222" s="361" t="str">
        <f t="shared" si="15"/>
        <v>1</v>
      </c>
    </row>
    <row r="223" spans="1:14" s="262" customFormat="1" ht="20.100000000000001" customHeight="1">
      <c r="A223" s="301" t="str">
        <f>A220</f>
        <v>1.</v>
      </c>
      <c r="B223" s="298" t="str">
        <f>IF(J223&gt;9,CONCATENATE(J223,"."),CONCATENATE("0",J223,"."))</f>
        <v>19.</v>
      </c>
      <c r="C223" s="257" t="s">
        <v>964</v>
      </c>
      <c r="D223" s="257"/>
      <c r="E223" s="258"/>
      <c r="F223" s="259"/>
      <c r="G223" s="257"/>
      <c r="H223" s="261"/>
      <c r="J223" s="363">
        <f>SUM($K$3:K223)</f>
        <v>19</v>
      </c>
      <c r="K223" s="355">
        <v>1</v>
      </c>
      <c r="L223" s="355"/>
      <c r="M223" s="355"/>
      <c r="N223" s="361" t="str">
        <f t="shared" si="15"/>
        <v>1</v>
      </c>
    </row>
    <row r="224" spans="1:14" s="35" customFormat="1" ht="20.100000000000001" customHeight="1">
      <c r="A224" s="299"/>
      <c r="B224" s="300" t="str">
        <f t="shared" si="14"/>
        <v>a.</v>
      </c>
      <c r="C224" s="201" t="s">
        <v>950</v>
      </c>
      <c r="D224" s="201" t="s">
        <v>559</v>
      </c>
      <c r="E224" s="202" t="s">
        <v>206</v>
      </c>
      <c r="F224" s="203">
        <f>+구조물공총괄집계표!G84</f>
        <v>1</v>
      </c>
      <c r="G224" s="201">
        <f t="shared" ref="G224:G239" si="16">SUM(F224:F224)</f>
        <v>1</v>
      </c>
      <c r="H224" s="34"/>
      <c r="J224" s="363">
        <f>SUM($K$3:K224)</f>
        <v>19</v>
      </c>
      <c r="K224" s="356"/>
      <c r="L224" s="356" t="s">
        <v>942</v>
      </c>
      <c r="M224" s="356"/>
      <c r="N224" s="361" t="str">
        <f t="shared" si="15"/>
        <v>1</v>
      </c>
    </row>
    <row r="225" spans="1:14" s="35" customFormat="1" ht="20.100000000000001" customHeight="1">
      <c r="A225" s="299"/>
      <c r="B225" s="300" t="str">
        <f t="shared" si="14"/>
        <v>b.</v>
      </c>
      <c r="C225" s="201" t="s">
        <v>353</v>
      </c>
      <c r="D225" s="201" t="s">
        <v>559</v>
      </c>
      <c r="E225" s="202" t="s">
        <v>206</v>
      </c>
      <c r="F225" s="203">
        <f>+구조물공총괄집계표!G85</f>
        <v>1</v>
      </c>
      <c r="G225" s="201">
        <f t="shared" si="16"/>
        <v>1</v>
      </c>
      <c r="H225" s="34"/>
      <c r="J225" s="363">
        <f>SUM($K$3:K225)</f>
        <v>19</v>
      </c>
      <c r="K225" s="356"/>
      <c r="L225" s="356" t="s">
        <v>951</v>
      </c>
      <c r="M225" s="356"/>
      <c r="N225" s="361" t="str">
        <f t="shared" si="15"/>
        <v>1</v>
      </c>
    </row>
    <row r="226" spans="1:14" s="35" customFormat="1" ht="20.100000000000001" customHeight="1">
      <c r="A226" s="299"/>
      <c r="B226" s="300" t="str">
        <f>IF(M226="",CONCATENATE(L226,"."),CONCATENATE(L226,"-",M226,"."))</f>
        <v>c.</v>
      </c>
      <c r="C226" s="201" t="s">
        <v>354</v>
      </c>
      <c r="D226" s="201" t="s">
        <v>559</v>
      </c>
      <c r="E226" s="202" t="s">
        <v>206</v>
      </c>
      <c r="F226" s="203">
        <f>+구조물공총괄집계표!G86</f>
        <v>1</v>
      </c>
      <c r="G226" s="201">
        <f t="shared" si="16"/>
        <v>1</v>
      </c>
      <c r="H226" s="34"/>
      <c r="J226" s="363">
        <f>SUM($K$3:K226)</f>
        <v>19</v>
      </c>
      <c r="K226" s="356"/>
      <c r="L226" s="356" t="s">
        <v>944</v>
      </c>
      <c r="M226" s="356"/>
      <c r="N226" s="361" t="str">
        <f>IF(K226="",IF(L226="","숨김","1"),"1")</f>
        <v>1</v>
      </c>
    </row>
    <row r="227" spans="1:14" s="35" customFormat="1" ht="20.100000000000001" hidden="1" customHeight="1">
      <c r="A227" s="299"/>
      <c r="B227" s="300" t="str">
        <f t="shared" si="14"/>
        <v>.</v>
      </c>
      <c r="C227" s="201" t="s">
        <v>965</v>
      </c>
      <c r="D227" s="201" t="s">
        <v>765</v>
      </c>
      <c r="E227" s="202" t="s">
        <v>38</v>
      </c>
      <c r="F227" s="203">
        <f>구조물공총괄집계표!G49</f>
        <v>0</v>
      </c>
      <c r="G227" s="201">
        <f t="shared" si="16"/>
        <v>0</v>
      </c>
      <c r="H227" s="34"/>
      <c r="J227" s="363">
        <f>SUM($K$3:K227)</f>
        <v>19</v>
      </c>
      <c r="K227" s="356"/>
      <c r="L227" s="356"/>
      <c r="M227" s="356"/>
      <c r="N227" s="361" t="str">
        <f t="shared" si="15"/>
        <v>숨김</v>
      </c>
    </row>
    <row r="228" spans="1:14" s="262" customFormat="1" ht="18" hidden="1" customHeight="1">
      <c r="A228" s="301" t="str">
        <f>A223</f>
        <v>1.</v>
      </c>
      <c r="B228" s="298" t="str">
        <f t="shared" ref="B228:B234" si="17">IF(J228&gt;9,CONCATENATE(J228,"."),CONCATENATE("0",J228,"."))</f>
        <v>19.</v>
      </c>
      <c r="C228" s="257" t="s">
        <v>354</v>
      </c>
      <c r="D228" s="257" t="s">
        <v>559</v>
      </c>
      <c r="E228" s="258" t="s">
        <v>206</v>
      </c>
      <c r="F228" s="259"/>
      <c r="G228" s="257">
        <f t="shared" si="16"/>
        <v>0</v>
      </c>
      <c r="H228" s="261"/>
      <c r="J228" s="363">
        <f>SUM($K$3:K228)</f>
        <v>19</v>
      </c>
      <c r="K228" s="355"/>
      <c r="L228" s="355"/>
      <c r="M228" s="355"/>
      <c r="N228" s="361" t="str">
        <f t="shared" si="15"/>
        <v>숨김</v>
      </c>
    </row>
    <row r="229" spans="1:14" s="262" customFormat="1" ht="20.100000000000001" hidden="1" customHeight="1">
      <c r="A229" s="306"/>
      <c r="B229" s="300" t="str">
        <f t="shared" si="14"/>
        <v>.</v>
      </c>
      <c r="C229" s="201" t="s">
        <v>989</v>
      </c>
      <c r="D229" s="201" t="s">
        <v>990</v>
      </c>
      <c r="E229" s="202" t="s">
        <v>38</v>
      </c>
      <c r="F229" s="203">
        <f>구조물공총괄집계표!G51</f>
        <v>0</v>
      </c>
      <c r="G229" s="201">
        <f t="shared" si="16"/>
        <v>0</v>
      </c>
      <c r="H229" s="34"/>
      <c r="J229" s="363">
        <f>SUM($K$3:K229)</f>
        <v>19</v>
      </c>
      <c r="K229" s="355"/>
      <c r="L229" s="356"/>
      <c r="M229" s="355"/>
      <c r="N229" s="361" t="str">
        <f t="shared" si="15"/>
        <v>숨김</v>
      </c>
    </row>
    <row r="230" spans="1:14" s="262" customFormat="1" ht="20.100000000000001" customHeight="1">
      <c r="A230" s="301" t="str">
        <f>A228</f>
        <v>1.</v>
      </c>
      <c r="B230" s="298" t="str">
        <f t="shared" si="17"/>
        <v>20.</v>
      </c>
      <c r="C230" s="257" t="s">
        <v>355</v>
      </c>
      <c r="D230" s="257"/>
      <c r="E230" s="258" t="s">
        <v>8</v>
      </c>
      <c r="F230" s="313">
        <f>+구조물공총괄집계표!G70</f>
        <v>359.113</v>
      </c>
      <c r="G230" s="294">
        <f t="shared" si="16"/>
        <v>359.113</v>
      </c>
      <c r="H230" s="261"/>
      <c r="J230" s="363">
        <f>SUM($K$3:K230)</f>
        <v>20</v>
      </c>
      <c r="K230" s="355">
        <v>1</v>
      </c>
      <c r="L230" s="355"/>
      <c r="M230" s="355"/>
      <c r="N230" s="361" t="str">
        <f t="shared" si="15"/>
        <v>1</v>
      </c>
    </row>
    <row r="231" spans="1:14" s="262" customFormat="1" ht="20.100000000000001" hidden="1" customHeight="1">
      <c r="A231" s="301" t="str">
        <f>A230</f>
        <v>1.</v>
      </c>
      <c r="B231" s="298" t="str">
        <f t="shared" si="17"/>
        <v>20.</v>
      </c>
      <c r="C231" s="257" t="s">
        <v>356</v>
      </c>
      <c r="D231" s="257"/>
      <c r="E231" s="258" t="s">
        <v>12</v>
      </c>
      <c r="F231" s="259">
        <f>+구조물공총괄집계표!G106</f>
        <v>0</v>
      </c>
      <c r="G231" s="257">
        <f t="shared" si="16"/>
        <v>0</v>
      </c>
      <c r="H231" s="261"/>
      <c r="J231" s="363">
        <f>SUM($K$3:K231)</f>
        <v>20</v>
      </c>
      <c r="K231" s="355"/>
      <c r="L231" s="355"/>
      <c r="M231" s="355"/>
      <c r="N231" s="361" t="str">
        <f t="shared" si="15"/>
        <v>숨김</v>
      </c>
    </row>
    <row r="232" spans="1:14" s="262" customFormat="1" ht="20.100000000000001" hidden="1" customHeight="1">
      <c r="A232" s="301" t="str">
        <f>A231</f>
        <v>1.</v>
      </c>
      <c r="B232" s="298" t="str">
        <f t="shared" si="17"/>
        <v>20.</v>
      </c>
      <c r="C232" s="257" t="s">
        <v>724</v>
      </c>
      <c r="D232" s="257"/>
      <c r="E232" s="258" t="s">
        <v>12</v>
      </c>
      <c r="F232" s="259">
        <f>토공총괄집계표!H43</f>
        <v>0</v>
      </c>
      <c r="G232" s="257">
        <f t="shared" si="16"/>
        <v>0</v>
      </c>
      <c r="H232" s="261"/>
      <c r="J232" s="363">
        <f>SUM($K$3:K232)</f>
        <v>20</v>
      </c>
      <c r="K232" s="355"/>
      <c r="L232" s="355"/>
      <c r="M232" s="355"/>
      <c r="N232" s="361" t="str">
        <f t="shared" si="15"/>
        <v>숨김</v>
      </c>
    </row>
    <row r="233" spans="1:14" s="262" customFormat="1" ht="20.100000000000001" hidden="1" customHeight="1">
      <c r="A233" s="301" t="str">
        <f>A231</f>
        <v>1.</v>
      </c>
      <c r="B233" s="298" t="str">
        <f t="shared" si="17"/>
        <v>20.</v>
      </c>
      <c r="C233" s="257" t="s">
        <v>636</v>
      </c>
      <c r="D233" s="257" t="s">
        <v>941</v>
      </c>
      <c r="E233" s="258" t="s">
        <v>12</v>
      </c>
      <c r="F233" s="259"/>
      <c r="G233" s="257">
        <f t="shared" si="16"/>
        <v>0</v>
      </c>
      <c r="H233" s="261"/>
      <c r="J233" s="363">
        <f>SUM($K$3:K233)</f>
        <v>20</v>
      </c>
      <c r="K233" s="355"/>
      <c r="L233" s="355"/>
      <c r="M233" s="355"/>
      <c r="N233" s="361" t="str">
        <f t="shared" si="15"/>
        <v>숨김</v>
      </c>
    </row>
    <row r="234" spans="1:14" s="262" customFormat="1" ht="20.100000000000001" hidden="1" customHeight="1">
      <c r="A234" s="301" t="str">
        <f>A233</f>
        <v>1.</v>
      </c>
      <c r="B234" s="298" t="str">
        <f t="shared" si="17"/>
        <v>20.</v>
      </c>
      <c r="C234" s="257" t="s">
        <v>482</v>
      </c>
      <c r="D234" s="257"/>
      <c r="E234" s="258"/>
      <c r="F234" s="259"/>
      <c r="G234" s="257">
        <f t="shared" si="16"/>
        <v>0</v>
      </c>
      <c r="H234" s="261"/>
      <c r="J234" s="363">
        <f>SUM($K$3:K234)</f>
        <v>20</v>
      </c>
      <c r="K234" s="355"/>
      <c r="L234" s="355"/>
      <c r="M234" s="355"/>
      <c r="N234" s="361" t="str">
        <f t="shared" si="15"/>
        <v>숨김</v>
      </c>
    </row>
    <row r="235" spans="1:14" s="28" customFormat="1" ht="20.100000000000001" hidden="1" customHeight="1">
      <c r="A235" s="299"/>
      <c r="B235" s="300" t="str">
        <f t="shared" si="14"/>
        <v>.</v>
      </c>
      <c r="C235" s="36" t="s">
        <v>357</v>
      </c>
      <c r="D235" s="36" t="s">
        <v>563</v>
      </c>
      <c r="E235" s="202" t="s">
        <v>12</v>
      </c>
      <c r="F235" s="203">
        <f>F244</f>
        <v>0</v>
      </c>
      <c r="G235" s="201">
        <f t="shared" si="16"/>
        <v>0</v>
      </c>
      <c r="H235" s="322"/>
      <c r="J235" s="363">
        <f>SUM($K$3:K235)</f>
        <v>20</v>
      </c>
      <c r="K235" s="357"/>
      <c r="L235" s="357"/>
      <c r="M235" s="357"/>
      <c r="N235" s="361" t="str">
        <f t="shared" si="15"/>
        <v>숨김</v>
      </c>
    </row>
    <row r="236" spans="1:14" s="28" customFormat="1" ht="20.100000000000001" hidden="1" customHeight="1">
      <c r="A236" s="299"/>
      <c r="B236" s="300" t="str">
        <f t="shared" si="14"/>
        <v>.</v>
      </c>
      <c r="C236" s="36" t="s">
        <v>358</v>
      </c>
      <c r="D236" s="36" t="s">
        <v>359</v>
      </c>
      <c r="E236" s="202" t="s">
        <v>12</v>
      </c>
      <c r="F236" s="203"/>
      <c r="G236" s="201">
        <f t="shared" si="16"/>
        <v>0</v>
      </c>
      <c r="H236" s="34"/>
      <c r="J236" s="363">
        <f>SUM($K$3:K236)</f>
        <v>20</v>
      </c>
      <c r="K236" s="357"/>
      <c r="L236" s="357"/>
      <c r="M236" s="357"/>
      <c r="N236" s="361" t="str">
        <f t="shared" si="15"/>
        <v>숨김</v>
      </c>
    </row>
    <row r="237" spans="1:14" s="28" customFormat="1" ht="20.100000000000001" hidden="1" customHeight="1">
      <c r="A237" s="299"/>
      <c r="B237" s="300" t="str">
        <f t="shared" si="14"/>
        <v>.</v>
      </c>
      <c r="C237" s="36" t="s">
        <v>558</v>
      </c>
      <c r="D237" s="36" t="s">
        <v>536</v>
      </c>
      <c r="E237" s="202" t="s">
        <v>12</v>
      </c>
      <c r="F237" s="278"/>
      <c r="G237" s="201">
        <f t="shared" si="16"/>
        <v>0</v>
      </c>
      <c r="H237" s="34"/>
      <c r="J237" s="363">
        <f>SUM($K$3:K237)</f>
        <v>20</v>
      </c>
      <c r="K237" s="357"/>
      <c r="L237" s="357"/>
      <c r="M237" s="357"/>
      <c r="N237" s="361" t="str">
        <f t="shared" si="15"/>
        <v>숨김</v>
      </c>
    </row>
    <row r="238" spans="1:14" s="28" customFormat="1" ht="20.100000000000001" hidden="1" customHeight="1">
      <c r="A238" s="299"/>
      <c r="B238" s="300" t="str">
        <f t="shared" si="14"/>
        <v>.</v>
      </c>
      <c r="C238" s="36" t="s">
        <v>930</v>
      </c>
      <c r="D238" s="36"/>
      <c r="E238" s="202" t="s">
        <v>12</v>
      </c>
      <c r="F238" s="278">
        <f>구조물공총괄집계표!G94</f>
        <v>0</v>
      </c>
      <c r="G238" s="201">
        <f t="shared" si="16"/>
        <v>0</v>
      </c>
      <c r="H238" s="343"/>
      <c r="J238" s="363">
        <f>SUM($K$3:K238)</f>
        <v>20</v>
      </c>
      <c r="K238" s="357"/>
      <c r="L238" s="357"/>
      <c r="M238" s="357"/>
      <c r="N238" s="361" t="str">
        <f t="shared" si="15"/>
        <v>숨김</v>
      </c>
    </row>
    <row r="239" spans="1:14" s="28" customFormat="1" ht="20.100000000000001" hidden="1" customHeight="1">
      <c r="A239" s="299"/>
      <c r="B239" s="300" t="str">
        <f t="shared" si="14"/>
        <v>.</v>
      </c>
      <c r="C239" s="36" t="s">
        <v>929</v>
      </c>
      <c r="D239" s="36"/>
      <c r="E239" s="202" t="s">
        <v>12</v>
      </c>
      <c r="F239" s="278"/>
      <c r="G239" s="201">
        <f t="shared" si="16"/>
        <v>0</v>
      </c>
      <c r="H239" s="34"/>
      <c r="J239" s="363">
        <f>SUM($K$3:K239)</f>
        <v>20</v>
      </c>
      <c r="K239" s="357"/>
      <c r="L239" s="357"/>
      <c r="M239" s="357"/>
      <c r="N239" s="361" t="str">
        <f t="shared" si="15"/>
        <v>숨김</v>
      </c>
    </row>
    <row r="240" spans="1:14" s="262" customFormat="1" ht="20.100000000000001" hidden="1" customHeight="1">
      <c r="A240" s="301" t="str">
        <f>A234</f>
        <v>1.</v>
      </c>
      <c r="B240" s="298" t="str">
        <f>IF(J240&gt;9,CONCATENATE(J240,"."),CONCATENATE("0",J240,"."))</f>
        <v>20.</v>
      </c>
      <c r="C240" s="257" t="s">
        <v>104</v>
      </c>
      <c r="D240" s="257"/>
      <c r="E240" s="258"/>
      <c r="F240" s="259"/>
      <c r="G240" s="257"/>
      <c r="H240" s="261"/>
      <c r="J240" s="363">
        <f>SUM($K$3:K240)</f>
        <v>20</v>
      </c>
      <c r="K240" s="355"/>
      <c r="L240" s="355"/>
      <c r="M240" s="355"/>
      <c r="N240" s="361" t="str">
        <f t="shared" si="15"/>
        <v>숨김</v>
      </c>
    </row>
    <row r="241" spans="1:14" s="35" customFormat="1" ht="20.100000000000001" hidden="1" customHeight="1">
      <c r="A241" s="299"/>
      <c r="B241" s="300" t="str">
        <f t="shared" si="14"/>
        <v>.</v>
      </c>
      <c r="C241" s="201" t="s">
        <v>360</v>
      </c>
      <c r="D241" s="201" t="s">
        <v>361</v>
      </c>
      <c r="E241" s="202" t="s">
        <v>12</v>
      </c>
      <c r="F241" s="203">
        <f>구조물공총괄집계표!G44</f>
        <v>0</v>
      </c>
      <c r="G241" s="201">
        <f t="shared" ref="G241:G262" si="18">SUM(F241:F241)</f>
        <v>0</v>
      </c>
      <c r="H241" s="34"/>
      <c r="J241" s="363">
        <f>SUM($K$3:K241)</f>
        <v>20</v>
      </c>
      <c r="K241" s="356"/>
      <c r="L241" s="356"/>
      <c r="M241" s="356"/>
      <c r="N241" s="361" t="str">
        <f t="shared" si="15"/>
        <v>숨김</v>
      </c>
    </row>
    <row r="242" spans="1:14" s="35" customFormat="1" ht="20.100000000000001" hidden="1" customHeight="1">
      <c r="A242" s="299"/>
      <c r="B242" s="300" t="str">
        <f t="shared" si="14"/>
        <v>.</v>
      </c>
      <c r="C242" s="201" t="s">
        <v>703</v>
      </c>
      <c r="D242" s="201" t="s">
        <v>704</v>
      </c>
      <c r="E242" s="202" t="s">
        <v>12</v>
      </c>
      <c r="F242" s="203">
        <f>구조물공총괄집계표!G45</f>
        <v>0</v>
      </c>
      <c r="G242" s="201">
        <f t="shared" si="18"/>
        <v>0</v>
      </c>
      <c r="H242" s="34"/>
      <c r="J242" s="363">
        <f>SUM($K$3:K242)</f>
        <v>20</v>
      </c>
      <c r="K242" s="356"/>
      <c r="L242" s="356"/>
      <c r="M242" s="356"/>
      <c r="N242" s="361" t="str">
        <f t="shared" si="15"/>
        <v>숨김</v>
      </c>
    </row>
    <row r="243" spans="1:14" s="28" customFormat="1" ht="20.100000000000001" hidden="1" customHeight="1">
      <c r="A243" s="299"/>
      <c r="B243" s="300" t="str">
        <f t="shared" si="14"/>
        <v>.</v>
      </c>
      <c r="C243" s="201" t="s">
        <v>362</v>
      </c>
      <c r="D243" s="36" t="s">
        <v>561</v>
      </c>
      <c r="E243" s="202" t="s">
        <v>12</v>
      </c>
      <c r="F243" s="203">
        <f>구조물공총괄집계표!G46</f>
        <v>0</v>
      </c>
      <c r="G243" s="201">
        <f t="shared" si="18"/>
        <v>0</v>
      </c>
      <c r="H243" s="34"/>
      <c r="J243" s="363">
        <f>SUM($K$3:K243)</f>
        <v>20</v>
      </c>
      <c r="K243" s="357"/>
      <c r="L243" s="357"/>
      <c r="M243" s="357"/>
      <c r="N243" s="361" t="str">
        <f t="shared" si="15"/>
        <v>숨김</v>
      </c>
    </row>
    <row r="244" spans="1:14" s="28" customFormat="1" ht="20.100000000000001" hidden="1" customHeight="1">
      <c r="A244" s="299"/>
      <c r="B244" s="300" t="str">
        <f t="shared" si="14"/>
        <v>.</v>
      </c>
      <c r="C244" s="201" t="s">
        <v>363</v>
      </c>
      <c r="D244" s="201" t="s">
        <v>656</v>
      </c>
      <c r="E244" s="202" t="s">
        <v>12</v>
      </c>
      <c r="F244" s="203">
        <f>구조물공총괄집계표!G47</f>
        <v>0</v>
      </c>
      <c r="G244" s="201">
        <f t="shared" si="18"/>
        <v>0</v>
      </c>
      <c r="H244" s="34"/>
      <c r="J244" s="363">
        <f>SUM($K$3:K244)</f>
        <v>20</v>
      </c>
      <c r="K244" s="357"/>
      <c r="L244" s="357"/>
      <c r="M244" s="357"/>
      <c r="N244" s="361" t="str">
        <f t="shared" si="15"/>
        <v>숨김</v>
      </c>
    </row>
    <row r="245" spans="1:14" s="28" customFormat="1" ht="20.100000000000001" hidden="1" customHeight="1">
      <c r="A245" s="299"/>
      <c r="B245" s="300" t="str">
        <f t="shared" si="14"/>
        <v>.</v>
      </c>
      <c r="C245" s="201" t="s">
        <v>364</v>
      </c>
      <c r="D245" s="201" t="s">
        <v>593</v>
      </c>
      <c r="E245" s="202" t="s">
        <v>12</v>
      </c>
      <c r="F245" s="203">
        <f>구조물공총괄집계표!G48</f>
        <v>0</v>
      </c>
      <c r="G245" s="201">
        <f t="shared" si="18"/>
        <v>0</v>
      </c>
      <c r="H245" s="34"/>
      <c r="J245" s="363">
        <f>SUM($K$3:K245)</f>
        <v>20</v>
      </c>
      <c r="K245" s="357"/>
      <c r="L245" s="357"/>
      <c r="M245" s="357"/>
      <c r="N245" s="361" t="str">
        <f t="shared" si="15"/>
        <v>숨김</v>
      </c>
    </row>
    <row r="246" spans="1:14" s="28" customFormat="1" ht="20.100000000000001" hidden="1" customHeight="1">
      <c r="A246" s="299"/>
      <c r="B246" s="300" t="str">
        <f t="shared" si="14"/>
        <v>.</v>
      </c>
      <c r="C246" s="201" t="s">
        <v>365</v>
      </c>
      <c r="D246" s="201"/>
      <c r="E246" s="202"/>
      <c r="F246" s="203"/>
      <c r="G246" s="201">
        <f t="shared" si="18"/>
        <v>0</v>
      </c>
      <c r="H246" s="34"/>
      <c r="J246" s="363">
        <f>SUM($K$3:K246)</f>
        <v>20</v>
      </c>
      <c r="K246" s="357"/>
      <c r="L246" s="357"/>
      <c r="M246" s="357"/>
      <c r="N246" s="361" t="str">
        <f t="shared" si="15"/>
        <v>숨김</v>
      </c>
    </row>
    <row r="247" spans="1:14" s="28" customFormat="1" ht="20.100000000000001" hidden="1" customHeight="1">
      <c r="A247" s="299"/>
      <c r="B247" s="300" t="str">
        <f t="shared" si="14"/>
        <v>.</v>
      </c>
      <c r="C247" s="201" t="s">
        <v>365</v>
      </c>
      <c r="D247" s="201" t="s">
        <v>765</v>
      </c>
      <c r="E247" s="202" t="s">
        <v>330</v>
      </c>
      <c r="F247" s="203"/>
      <c r="G247" s="201">
        <f t="shared" si="18"/>
        <v>0</v>
      </c>
      <c r="H247" s="34"/>
      <c r="J247" s="363">
        <f>SUM($K$3:K247)</f>
        <v>20</v>
      </c>
      <c r="K247" s="357"/>
      <c r="L247" s="357"/>
      <c r="M247" s="357"/>
      <c r="N247" s="361" t="str">
        <f t="shared" si="15"/>
        <v>숨김</v>
      </c>
    </row>
    <row r="248" spans="1:14" s="28" customFormat="1" ht="20.100000000000001" hidden="1" customHeight="1">
      <c r="A248" s="299"/>
      <c r="B248" s="300" t="str">
        <f t="shared" si="14"/>
        <v>.</v>
      </c>
      <c r="C248" s="201" t="s">
        <v>365</v>
      </c>
      <c r="D248" s="201" t="s">
        <v>366</v>
      </c>
      <c r="E248" s="202" t="s">
        <v>330</v>
      </c>
      <c r="F248" s="203"/>
      <c r="G248" s="201">
        <f t="shared" si="18"/>
        <v>0</v>
      </c>
      <c r="H248" s="34"/>
      <c r="J248" s="363">
        <f>SUM($K$3:K248)</f>
        <v>20</v>
      </c>
      <c r="K248" s="357"/>
      <c r="L248" s="357"/>
      <c r="M248" s="357"/>
      <c r="N248" s="361" t="str">
        <f t="shared" si="15"/>
        <v>숨김</v>
      </c>
    </row>
    <row r="249" spans="1:14" s="262" customFormat="1" ht="20.100000000000001" hidden="1" customHeight="1">
      <c r="A249" s="301" t="str">
        <f>A240</f>
        <v>1.</v>
      </c>
      <c r="B249" s="298" t="str">
        <f>IF(J249&gt;9,CONCATENATE(J249,"."),CONCATENATE("0",J249,"."))</f>
        <v>20.</v>
      </c>
      <c r="C249" s="257" t="s">
        <v>367</v>
      </c>
      <c r="D249" s="257"/>
      <c r="E249" s="258"/>
      <c r="F249" s="259"/>
      <c r="G249" s="257">
        <f t="shared" si="18"/>
        <v>0</v>
      </c>
      <c r="H249" s="261"/>
      <c r="J249" s="363">
        <f>SUM($K$3:K249)</f>
        <v>20</v>
      </c>
      <c r="K249" s="355"/>
      <c r="L249" s="355"/>
      <c r="M249" s="355"/>
      <c r="N249" s="361" t="str">
        <f t="shared" si="15"/>
        <v>숨김</v>
      </c>
    </row>
    <row r="250" spans="1:14" s="35" customFormat="1" ht="20.100000000000001" hidden="1" customHeight="1">
      <c r="A250" s="299"/>
      <c r="B250" s="300" t="str">
        <f t="shared" si="14"/>
        <v>.</v>
      </c>
      <c r="C250" s="201" t="s">
        <v>285</v>
      </c>
      <c r="D250" s="201" t="s">
        <v>368</v>
      </c>
      <c r="E250" s="202" t="s">
        <v>206</v>
      </c>
      <c r="F250" s="203">
        <f>구조물공총괄집계표!G105</f>
        <v>0</v>
      </c>
      <c r="G250" s="201">
        <f t="shared" si="18"/>
        <v>0</v>
      </c>
      <c r="H250" s="34"/>
      <c r="J250" s="363">
        <f>SUM($K$3:K250)</f>
        <v>20</v>
      </c>
      <c r="K250" s="356"/>
      <c r="L250" s="356"/>
      <c r="M250" s="356"/>
      <c r="N250" s="361" t="str">
        <f t="shared" si="15"/>
        <v>숨김</v>
      </c>
    </row>
    <row r="251" spans="1:14" s="35" customFormat="1" ht="20.100000000000001" hidden="1" customHeight="1">
      <c r="A251" s="299"/>
      <c r="B251" s="300" t="str">
        <f t="shared" si="14"/>
        <v>.</v>
      </c>
      <c r="C251" s="201" t="s">
        <v>285</v>
      </c>
      <c r="D251" s="201" t="s">
        <v>369</v>
      </c>
      <c r="E251" s="202" t="s">
        <v>206</v>
      </c>
      <c r="F251" s="203"/>
      <c r="G251" s="201">
        <f t="shared" si="18"/>
        <v>0</v>
      </c>
      <c r="H251" s="34"/>
      <c r="J251" s="363">
        <f>SUM($K$3:K251)</f>
        <v>20</v>
      </c>
      <c r="K251" s="356"/>
      <c r="L251" s="356"/>
      <c r="M251" s="356"/>
      <c r="N251" s="361" t="str">
        <f t="shared" si="15"/>
        <v>숨김</v>
      </c>
    </row>
    <row r="252" spans="1:14" s="262" customFormat="1" ht="18.75" hidden="1" customHeight="1">
      <c r="A252" s="301" t="str">
        <f>A249</f>
        <v>1.</v>
      </c>
      <c r="B252" s="298" t="str">
        <f>IF(J252&gt;9,CONCATENATE(J252,"."),CONCATENATE("0",J252,"."))</f>
        <v>20.</v>
      </c>
      <c r="C252" s="257" t="s">
        <v>370</v>
      </c>
      <c r="D252" s="257"/>
      <c r="E252" s="258"/>
      <c r="F252" s="259"/>
      <c r="G252" s="257">
        <f t="shared" si="18"/>
        <v>0</v>
      </c>
      <c r="H252" s="261"/>
      <c r="J252" s="363">
        <f>SUM($K$3:K252)</f>
        <v>20</v>
      </c>
      <c r="K252" s="355"/>
      <c r="L252" s="355"/>
      <c r="M252" s="355"/>
      <c r="N252" s="361" t="str">
        <f t="shared" si="15"/>
        <v>숨김</v>
      </c>
    </row>
    <row r="253" spans="1:14" s="35" customFormat="1" ht="20.100000000000001" hidden="1" customHeight="1">
      <c r="A253" s="302"/>
      <c r="B253" s="300" t="str">
        <f t="shared" si="14"/>
        <v>.</v>
      </c>
      <c r="C253" s="201" t="s">
        <v>370</v>
      </c>
      <c r="D253" s="201" t="s">
        <v>729</v>
      </c>
      <c r="E253" s="202" t="s">
        <v>8</v>
      </c>
      <c r="F253" s="203">
        <f>+구조물공총괄집계표!G89</f>
        <v>0</v>
      </c>
      <c r="G253" s="201">
        <f t="shared" si="18"/>
        <v>0</v>
      </c>
      <c r="H253" s="34"/>
      <c r="J253" s="363">
        <f>SUM($K$3:K253)</f>
        <v>20</v>
      </c>
      <c r="K253" s="356"/>
      <c r="L253" s="356"/>
      <c r="M253" s="356"/>
      <c r="N253" s="361" t="str">
        <f t="shared" si="15"/>
        <v>숨김</v>
      </c>
    </row>
    <row r="254" spans="1:14" s="262" customFormat="1" ht="20.100000000000001" hidden="1" customHeight="1">
      <c r="A254" s="301" t="str">
        <f>A252</f>
        <v>1.</v>
      </c>
      <c r="B254" s="298" t="str">
        <f>IF(J254&gt;9,CONCATENATE(J254,"."),CONCATENATE("0",J254,"."))</f>
        <v>20.</v>
      </c>
      <c r="C254" s="257" t="s">
        <v>371</v>
      </c>
      <c r="D254" s="257" t="s">
        <v>223</v>
      </c>
      <c r="E254" s="258"/>
      <c r="F254" s="259"/>
      <c r="G254" s="257">
        <f t="shared" si="18"/>
        <v>0</v>
      </c>
      <c r="H254" s="261"/>
      <c r="J254" s="363">
        <f>SUM($K$3:K254)</f>
        <v>20</v>
      </c>
      <c r="K254" s="355"/>
      <c r="L254" s="355"/>
      <c r="M254" s="355"/>
      <c r="N254" s="361" t="str">
        <f t="shared" si="15"/>
        <v>숨김</v>
      </c>
    </row>
    <row r="255" spans="1:14" s="35" customFormat="1" ht="20.100000000000001" hidden="1" customHeight="1">
      <c r="A255" s="302"/>
      <c r="B255" s="300" t="str">
        <f t="shared" si="14"/>
        <v>.</v>
      </c>
      <c r="C255" s="201" t="s">
        <v>372</v>
      </c>
      <c r="D255" s="201" t="s">
        <v>361</v>
      </c>
      <c r="E255" s="202" t="s">
        <v>206</v>
      </c>
      <c r="F255" s="203">
        <f>+구조물공총괄집계표!G54</f>
        <v>0</v>
      </c>
      <c r="G255" s="201">
        <f t="shared" si="18"/>
        <v>0</v>
      </c>
      <c r="H255" s="34"/>
      <c r="J255" s="363">
        <f>SUM($K$3:K255)</f>
        <v>20</v>
      </c>
      <c r="K255" s="356"/>
      <c r="L255" s="356"/>
      <c r="M255" s="356"/>
      <c r="N255" s="361" t="str">
        <f t="shared" si="15"/>
        <v>숨김</v>
      </c>
    </row>
    <row r="256" spans="1:14" s="35" customFormat="1" ht="20.100000000000001" hidden="1" customHeight="1">
      <c r="A256" s="302"/>
      <c r="B256" s="300" t="str">
        <f t="shared" si="14"/>
        <v>.</v>
      </c>
      <c r="C256" s="201" t="s">
        <v>705</v>
      </c>
      <c r="D256" s="201"/>
      <c r="E256" s="202" t="s">
        <v>206</v>
      </c>
      <c r="F256" s="203">
        <f>+구조물공총괄집계표!G55</f>
        <v>0</v>
      </c>
      <c r="G256" s="201">
        <f t="shared" si="18"/>
        <v>0</v>
      </c>
      <c r="H256" s="34"/>
      <c r="J256" s="363">
        <f>SUM($K$3:K256)</f>
        <v>20</v>
      </c>
      <c r="K256" s="356"/>
      <c r="L256" s="356"/>
      <c r="M256" s="356"/>
      <c r="N256" s="361" t="str">
        <f t="shared" si="15"/>
        <v>숨김</v>
      </c>
    </row>
    <row r="257" spans="1:14" s="35" customFormat="1" ht="20.100000000000001" hidden="1" customHeight="1">
      <c r="A257" s="299"/>
      <c r="B257" s="300" t="str">
        <f t="shared" si="14"/>
        <v>.</v>
      </c>
      <c r="C257" s="201" t="s">
        <v>373</v>
      </c>
      <c r="D257" s="36"/>
      <c r="E257" s="202" t="s">
        <v>206</v>
      </c>
      <c r="F257" s="203">
        <f>+구조물공총괄집계표!G56</f>
        <v>0</v>
      </c>
      <c r="G257" s="201">
        <f t="shared" si="18"/>
        <v>0</v>
      </c>
      <c r="H257" s="34"/>
      <c r="J257" s="363">
        <f>SUM($K$3:K257)</f>
        <v>20</v>
      </c>
      <c r="K257" s="356"/>
      <c r="L257" s="356"/>
      <c r="M257" s="356"/>
      <c r="N257" s="361" t="str">
        <f t="shared" si="15"/>
        <v>숨김</v>
      </c>
    </row>
    <row r="258" spans="1:14" s="35" customFormat="1" ht="20.100000000000001" hidden="1" customHeight="1">
      <c r="A258" s="299"/>
      <c r="B258" s="300" t="str">
        <f t="shared" si="14"/>
        <v>.</v>
      </c>
      <c r="C258" s="201" t="s">
        <v>374</v>
      </c>
      <c r="D258" s="36"/>
      <c r="E258" s="202" t="s">
        <v>206</v>
      </c>
      <c r="F258" s="203">
        <f>+구조물공총괄집계표!G57</f>
        <v>0</v>
      </c>
      <c r="G258" s="201">
        <f t="shared" si="18"/>
        <v>0</v>
      </c>
      <c r="H258" s="34"/>
      <c r="J258" s="363">
        <f>SUM($K$3:K258)</f>
        <v>20</v>
      </c>
      <c r="K258" s="356"/>
      <c r="L258" s="356"/>
      <c r="M258" s="356"/>
      <c r="N258" s="361" t="str">
        <f t="shared" si="15"/>
        <v>숨김</v>
      </c>
    </row>
    <row r="259" spans="1:14" s="35" customFormat="1" ht="20.100000000000001" hidden="1" customHeight="1">
      <c r="A259" s="299"/>
      <c r="B259" s="300" t="str">
        <f t="shared" si="14"/>
        <v>.</v>
      </c>
      <c r="C259" s="201" t="s">
        <v>375</v>
      </c>
      <c r="D259" s="36"/>
      <c r="E259" s="202" t="s">
        <v>206</v>
      </c>
      <c r="F259" s="203">
        <f>+구조물공총괄집계표!G58</f>
        <v>0</v>
      </c>
      <c r="G259" s="201">
        <f t="shared" si="18"/>
        <v>0</v>
      </c>
      <c r="H259" s="34"/>
      <c r="J259" s="363">
        <f>SUM($K$3:K259)</f>
        <v>20</v>
      </c>
      <c r="K259" s="356"/>
      <c r="L259" s="356"/>
      <c r="M259" s="356"/>
      <c r="N259" s="361" t="str">
        <f t="shared" si="15"/>
        <v>숨김</v>
      </c>
    </row>
    <row r="260" spans="1:14" s="262" customFormat="1" ht="20.100000000000001" hidden="1" customHeight="1">
      <c r="A260" s="301" t="str">
        <f>A254</f>
        <v>1.</v>
      </c>
      <c r="B260" s="298" t="str">
        <f>IF(J260&gt;9,CONCATENATE(J260,"."),CONCATENATE("0",J260,"."))</f>
        <v>20.</v>
      </c>
      <c r="C260" s="257" t="s">
        <v>376</v>
      </c>
      <c r="D260" s="257" t="s">
        <v>615</v>
      </c>
      <c r="E260" s="258" t="s">
        <v>322</v>
      </c>
      <c r="F260" s="263"/>
      <c r="G260" s="257">
        <f t="shared" si="18"/>
        <v>0</v>
      </c>
      <c r="H260" s="261"/>
      <c r="J260" s="363">
        <f>SUM($K$3:K260)</f>
        <v>20</v>
      </c>
      <c r="K260" s="355"/>
      <c r="L260" s="355"/>
      <c r="M260" s="355"/>
      <c r="N260" s="361" t="str">
        <f t="shared" si="15"/>
        <v>숨김</v>
      </c>
    </row>
    <row r="261" spans="1:14" s="262" customFormat="1" ht="20.100000000000001" hidden="1" customHeight="1">
      <c r="A261" s="301" t="str">
        <f>A260</f>
        <v>1.</v>
      </c>
      <c r="B261" s="298" t="str">
        <f>IF(J261&gt;9,CONCATENATE(J261,"."),CONCATENATE("0",J261,"."))</f>
        <v>20.</v>
      </c>
      <c r="C261" s="257" t="s">
        <v>377</v>
      </c>
      <c r="D261" s="257"/>
      <c r="E261" s="258" t="s">
        <v>345</v>
      </c>
      <c r="F261" s="341"/>
      <c r="G261" s="257">
        <f t="shared" si="18"/>
        <v>0</v>
      </c>
      <c r="H261" s="342"/>
      <c r="J261" s="363">
        <f>SUM($K$3:K261)</f>
        <v>20</v>
      </c>
      <c r="K261" s="355"/>
      <c r="L261" s="355"/>
      <c r="M261" s="355"/>
      <c r="N261" s="361" t="str">
        <f t="shared" si="15"/>
        <v>숨김</v>
      </c>
    </row>
    <row r="262" spans="1:14" s="262" customFormat="1" ht="20.100000000000001" hidden="1" customHeight="1">
      <c r="A262" s="301" t="str">
        <f>A261</f>
        <v>1.</v>
      </c>
      <c r="B262" s="298" t="str">
        <f>IF(J262&gt;9,CONCATENATE(J262,"."),CONCATENATE("0",J262,"."))</f>
        <v>20.</v>
      </c>
      <c r="C262" s="257" t="s">
        <v>637</v>
      </c>
      <c r="D262" s="257"/>
      <c r="E262" s="258" t="s">
        <v>79</v>
      </c>
      <c r="F262" s="285"/>
      <c r="G262" s="257">
        <f t="shared" si="18"/>
        <v>0</v>
      </c>
      <c r="H262" s="261"/>
      <c r="J262" s="363">
        <f>SUM($K$3:K262)</f>
        <v>20</v>
      </c>
      <c r="K262" s="355"/>
      <c r="L262" s="355"/>
      <c r="M262" s="355"/>
      <c r="N262" s="361" t="str">
        <f t="shared" si="15"/>
        <v>숨김</v>
      </c>
    </row>
    <row r="263" spans="1:14" s="262" customFormat="1" ht="20.100000000000001" customHeight="1">
      <c r="A263" s="301" t="str">
        <f>A261</f>
        <v>1.</v>
      </c>
      <c r="B263" s="298" t="str">
        <f>IF(J263&gt;9,CONCATENATE(J263,"."),CONCATENATE("0",J263,"."))</f>
        <v>21.</v>
      </c>
      <c r="C263" s="257" t="s">
        <v>378</v>
      </c>
      <c r="D263" s="257"/>
      <c r="E263" s="258"/>
      <c r="F263" s="259"/>
      <c r="G263" s="257"/>
      <c r="H263" s="261"/>
      <c r="J263" s="363">
        <f>SUM($K$3:K263)</f>
        <v>21</v>
      </c>
      <c r="K263" s="355">
        <v>1</v>
      </c>
      <c r="L263" s="355"/>
      <c r="M263" s="355"/>
      <c r="N263" s="361" t="str">
        <f t="shared" si="15"/>
        <v>1</v>
      </c>
    </row>
    <row r="264" spans="1:14" s="35" customFormat="1" ht="20.100000000000001" customHeight="1">
      <c r="A264" s="299"/>
      <c r="B264" s="300" t="str">
        <f t="shared" si="14"/>
        <v>a.</v>
      </c>
      <c r="C264" s="201" t="s">
        <v>379</v>
      </c>
      <c r="D264" s="201"/>
      <c r="E264" s="202" t="s">
        <v>4</v>
      </c>
      <c r="F264" s="203">
        <f>토공총괄집계표!H52</f>
        <v>242</v>
      </c>
      <c r="G264" s="201">
        <f>SUM(F264:F264)</f>
        <v>242</v>
      </c>
      <c r="H264" s="34"/>
      <c r="J264" s="363">
        <f>SUM($K$3:K264)</f>
        <v>21</v>
      </c>
      <c r="K264" s="356"/>
      <c r="L264" s="356" t="s">
        <v>942</v>
      </c>
      <c r="M264" s="356"/>
      <c r="N264" s="361" t="str">
        <f t="shared" si="15"/>
        <v>1</v>
      </c>
    </row>
    <row r="265" spans="1:14" s="35" customFormat="1" ht="20.100000000000001" customHeight="1">
      <c r="A265" s="299"/>
      <c r="B265" s="300" t="str">
        <f t="shared" si="14"/>
        <v>b.</v>
      </c>
      <c r="C265" s="201" t="s">
        <v>954</v>
      </c>
      <c r="D265" s="201" t="s">
        <v>967</v>
      </c>
      <c r="E265" s="322" t="s">
        <v>38</v>
      </c>
      <c r="F265" s="203">
        <f>토공총괄집계표!H55</f>
        <v>33</v>
      </c>
      <c r="G265" s="201">
        <f>SUM(F265:F265)</f>
        <v>33</v>
      </c>
      <c r="H265" s="34"/>
      <c r="J265" s="363">
        <f>SUM($K$3:K265)</f>
        <v>21</v>
      </c>
      <c r="K265" s="356"/>
      <c r="L265" s="356" t="s">
        <v>943</v>
      </c>
      <c r="M265" s="356"/>
      <c r="N265" s="361" t="str">
        <f t="shared" si="15"/>
        <v>1</v>
      </c>
    </row>
    <row r="266" spans="1:14" s="35" customFormat="1" ht="20.100000000000001" customHeight="1">
      <c r="A266" s="299"/>
      <c r="B266" s="300" t="str">
        <f t="shared" si="14"/>
        <v>c.</v>
      </c>
      <c r="C266" s="201" t="s">
        <v>1149</v>
      </c>
      <c r="D266" s="201"/>
      <c r="E266" s="202" t="s">
        <v>76</v>
      </c>
      <c r="F266" s="203">
        <f>토공총괄집계표!H53</f>
        <v>114</v>
      </c>
      <c r="G266" s="201">
        <f>SUM(F266:F266)</f>
        <v>114</v>
      </c>
      <c r="H266" s="34"/>
      <c r="J266" s="363">
        <f>SUM($K$3:K266)</f>
        <v>21</v>
      </c>
      <c r="K266" s="356"/>
      <c r="L266" s="356" t="s">
        <v>944</v>
      </c>
      <c r="M266" s="356"/>
      <c r="N266" s="361" t="str">
        <f t="shared" si="15"/>
        <v>1</v>
      </c>
    </row>
    <row r="267" spans="1:14" s="35" customFormat="1" ht="20.100000000000001" customHeight="1">
      <c r="A267" s="299"/>
      <c r="B267" s="300" t="str">
        <f t="shared" si="14"/>
        <v>d.</v>
      </c>
      <c r="C267" s="201" t="s">
        <v>380</v>
      </c>
      <c r="D267" s="201"/>
      <c r="E267" s="202" t="s">
        <v>4</v>
      </c>
      <c r="F267" s="203">
        <f>+토공총괄집계표!H56</f>
        <v>242</v>
      </c>
      <c r="G267" s="201">
        <f>SUM(F267:F267)</f>
        <v>242</v>
      </c>
      <c r="H267" s="34"/>
      <c r="J267" s="363">
        <f>SUM($K$3:K267)</f>
        <v>21</v>
      </c>
      <c r="K267" s="356"/>
      <c r="L267" s="356" t="s">
        <v>945</v>
      </c>
      <c r="M267" s="356"/>
      <c r="N267" s="361" t="str">
        <f t="shared" si="15"/>
        <v>1</v>
      </c>
    </row>
    <row r="268" spans="1:14" s="35" customFormat="1" ht="19.5" hidden="1" customHeight="1">
      <c r="A268" s="303"/>
      <c r="B268" s="300" t="str">
        <f t="shared" si="14"/>
        <v>.</v>
      </c>
      <c r="C268" s="36" t="s">
        <v>452</v>
      </c>
      <c r="D268" s="36" t="s">
        <v>453</v>
      </c>
      <c r="E268" s="207" t="s">
        <v>454</v>
      </c>
      <c r="F268" s="203">
        <f>토공총괄집계표!H57</f>
        <v>0</v>
      </c>
      <c r="G268" s="201">
        <f>SUM(F268:F268)</f>
        <v>0</v>
      </c>
      <c r="H268" s="34"/>
      <c r="J268" s="363">
        <f>SUM($K$3:K268)</f>
        <v>21</v>
      </c>
      <c r="K268" s="356"/>
      <c r="L268" s="356"/>
      <c r="M268" s="356"/>
      <c r="N268" s="361" t="str">
        <f t="shared" si="15"/>
        <v>숨김</v>
      </c>
    </row>
    <row r="269" spans="1:14" s="35" customFormat="1" ht="19.5" hidden="1" customHeight="1">
      <c r="A269" s="301" t="str">
        <f>A260</f>
        <v>1.</v>
      </c>
      <c r="B269" s="298" t="str">
        <f>IF(J269&gt;9,CONCATENATE(J269,"."),CONCATENATE("0",J269,"."))</f>
        <v>21.</v>
      </c>
      <c r="C269" s="257" t="s">
        <v>983</v>
      </c>
      <c r="D269" s="257"/>
      <c r="E269" s="258"/>
      <c r="F269" s="259"/>
      <c r="G269" s="257"/>
      <c r="H269" s="261"/>
      <c r="J269" s="363">
        <f>SUM($K$3:K269)</f>
        <v>21</v>
      </c>
      <c r="K269" s="356"/>
      <c r="L269" s="356"/>
      <c r="M269" s="356"/>
      <c r="N269" s="361" t="str">
        <f t="shared" si="15"/>
        <v>숨김</v>
      </c>
    </row>
    <row r="270" spans="1:14" s="35" customFormat="1" ht="19.5" hidden="1" customHeight="1">
      <c r="A270" s="303"/>
      <c r="B270" s="300" t="str">
        <f t="shared" si="14"/>
        <v>.</v>
      </c>
      <c r="C270" s="36" t="s">
        <v>1022</v>
      </c>
      <c r="D270" s="201" t="s">
        <v>1031</v>
      </c>
      <c r="E270" s="202" t="s">
        <v>4</v>
      </c>
      <c r="F270" s="203">
        <f>구조물공총괄집계표!G65</f>
        <v>0</v>
      </c>
      <c r="G270" s="201">
        <f>SUM(F270:F270)</f>
        <v>0</v>
      </c>
      <c r="H270" s="34"/>
      <c r="J270" s="363">
        <f>SUM($K$3:K270)</f>
        <v>21</v>
      </c>
      <c r="K270" s="356"/>
      <c r="L270" s="356"/>
      <c r="M270" s="356"/>
      <c r="N270" s="361" t="str">
        <f t="shared" si="15"/>
        <v>숨김</v>
      </c>
    </row>
    <row r="271" spans="1:14" s="35" customFormat="1" ht="19.5" hidden="1" customHeight="1">
      <c r="A271" s="303"/>
      <c r="B271" s="300" t="str">
        <f t="shared" si="14"/>
        <v>.</v>
      </c>
      <c r="C271" s="36" t="s">
        <v>975</v>
      </c>
      <c r="D271" s="36" t="s">
        <v>976</v>
      </c>
      <c r="E271" s="202" t="s">
        <v>8</v>
      </c>
      <c r="F271" s="203"/>
      <c r="G271" s="201"/>
      <c r="H271" s="34"/>
      <c r="J271" s="363">
        <f>SUM($K$3:K271)</f>
        <v>21</v>
      </c>
      <c r="K271" s="356"/>
      <c r="L271" s="356"/>
      <c r="M271" s="356"/>
      <c r="N271" s="361" t="str">
        <f t="shared" si="15"/>
        <v>숨김</v>
      </c>
    </row>
    <row r="272" spans="1:14" s="262" customFormat="1" ht="20.100000000000001" customHeight="1">
      <c r="A272" s="301" t="str">
        <f>A263</f>
        <v>1.</v>
      </c>
      <c r="B272" s="298" t="str">
        <f>IF(J272&gt;9,CONCATENATE(J272,"."),CONCATENATE("0",J272,"."))</f>
        <v>22.</v>
      </c>
      <c r="C272" s="257" t="s">
        <v>381</v>
      </c>
      <c r="D272" s="257"/>
      <c r="E272" s="258"/>
      <c r="F272" s="259"/>
      <c r="G272" s="257"/>
      <c r="H272" s="261"/>
      <c r="J272" s="363">
        <f>SUM($K$3:K272)</f>
        <v>22</v>
      </c>
      <c r="K272" s="355">
        <v>1</v>
      </c>
      <c r="L272" s="355"/>
      <c r="M272" s="355"/>
      <c r="N272" s="361" t="str">
        <f t="shared" si="15"/>
        <v>1</v>
      </c>
    </row>
    <row r="273" spans="1:14" s="35" customFormat="1" ht="20.100000000000001" hidden="1" customHeight="1">
      <c r="A273" s="299"/>
      <c r="B273" s="300" t="str">
        <f t="shared" si="14"/>
        <v>.</v>
      </c>
      <c r="C273" s="201" t="s">
        <v>931</v>
      </c>
      <c r="D273" s="201" t="s">
        <v>932</v>
      </c>
      <c r="E273" s="202" t="s">
        <v>8</v>
      </c>
      <c r="F273" s="203"/>
      <c r="G273" s="201">
        <f t="shared" ref="G273:G280" si="19">SUM(F273:F273)</f>
        <v>0</v>
      </c>
      <c r="H273" s="34"/>
      <c r="J273" s="363">
        <f>SUM($K$3:K273)</f>
        <v>22</v>
      </c>
      <c r="K273" s="356"/>
      <c r="L273" s="356"/>
      <c r="M273" s="356"/>
      <c r="N273" s="361" t="str">
        <f t="shared" si="15"/>
        <v>숨김</v>
      </c>
    </row>
    <row r="274" spans="1:14" s="35" customFormat="1" ht="20.100000000000001" hidden="1" customHeight="1">
      <c r="A274" s="299"/>
      <c r="B274" s="300" t="str">
        <f t="shared" si="14"/>
        <v>.</v>
      </c>
      <c r="C274" s="201" t="s">
        <v>383</v>
      </c>
      <c r="D274" s="201" t="s">
        <v>384</v>
      </c>
      <c r="E274" s="202" t="s">
        <v>8</v>
      </c>
      <c r="F274" s="203"/>
      <c r="G274" s="201">
        <f t="shared" si="19"/>
        <v>0</v>
      </c>
      <c r="H274" s="34"/>
      <c r="J274" s="363">
        <f>SUM($K$3:K274)</f>
        <v>22</v>
      </c>
      <c r="K274" s="356"/>
      <c r="L274" s="356"/>
      <c r="M274" s="356"/>
      <c r="N274" s="361" t="str">
        <f t="shared" si="15"/>
        <v>숨김</v>
      </c>
    </row>
    <row r="275" spans="1:14" s="35" customFormat="1" ht="20.100000000000001" customHeight="1">
      <c r="A275" s="299"/>
      <c r="B275" s="300" t="str">
        <f t="shared" si="14"/>
        <v>a.</v>
      </c>
      <c r="C275" s="201" t="s">
        <v>383</v>
      </c>
      <c r="D275" s="201" t="s">
        <v>385</v>
      </c>
      <c r="E275" s="202" t="s">
        <v>8</v>
      </c>
      <c r="F275" s="203">
        <f>구조물공총괄집계표!G64</f>
        <v>507.22500000000002</v>
      </c>
      <c r="G275" s="201">
        <f t="shared" si="19"/>
        <v>507.22500000000002</v>
      </c>
      <c r="H275" s="34"/>
      <c r="J275" s="363">
        <f>SUM($K$3:K275)</f>
        <v>22</v>
      </c>
      <c r="K275" s="356"/>
      <c r="L275" s="356" t="s">
        <v>942</v>
      </c>
      <c r="M275" s="356"/>
      <c r="N275" s="361" t="str">
        <f t="shared" si="15"/>
        <v>1</v>
      </c>
    </row>
    <row r="276" spans="1:14" s="35" customFormat="1" ht="20.100000000000001" hidden="1" customHeight="1">
      <c r="A276" s="299"/>
      <c r="B276" s="300" t="str">
        <f t="shared" si="14"/>
        <v>.</v>
      </c>
      <c r="C276" s="201" t="s">
        <v>44</v>
      </c>
      <c r="D276" s="201" t="s">
        <v>928</v>
      </c>
      <c r="E276" s="202" t="s">
        <v>8</v>
      </c>
      <c r="F276" s="203"/>
      <c r="G276" s="201">
        <f t="shared" si="19"/>
        <v>0</v>
      </c>
      <c r="H276" s="34"/>
      <c r="J276" s="363">
        <f>SUM($K$3:K276)</f>
        <v>22</v>
      </c>
      <c r="K276" s="356"/>
      <c r="L276" s="356"/>
      <c r="M276" s="356"/>
      <c r="N276" s="361" t="str">
        <f t="shared" si="15"/>
        <v>숨김</v>
      </c>
    </row>
    <row r="277" spans="1:14" s="35" customFormat="1" ht="18" hidden="1" customHeight="1">
      <c r="A277" s="299"/>
      <c r="B277" s="300" t="str">
        <f t="shared" si="14"/>
        <v>.</v>
      </c>
      <c r="C277" s="201" t="s">
        <v>386</v>
      </c>
      <c r="D277" s="201" t="s">
        <v>387</v>
      </c>
      <c r="E277" s="202" t="s">
        <v>8</v>
      </c>
      <c r="F277" s="203"/>
      <c r="G277" s="201">
        <f t="shared" si="19"/>
        <v>0</v>
      </c>
      <c r="H277" s="34"/>
      <c r="J277" s="363">
        <f>SUM($K$3:K277)</f>
        <v>22</v>
      </c>
      <c r="K277" s="356"/>
      <c r="L277" s="356"/>
      <c r="M277" s="356"/>
      <c r="N277" s="361" t="str">
        <f t="shared" si="15"/>
        <v>숨김</v>
      </c>
    </row>
    <row r="278" spans="1:14" s="35" customFormat="1" ht="20.100000000000001" hidden="1" customHeight="1">
      <c r="A278" s="299"/>
      <c r="B278" s="300" t="str">
        <f t="shared" si="14"/>
        <v>.</v>
      </c>
      <c r="C278" s="201" t="s">
        <v>1022</v>
      </c>
      <c r="D278" s="201" t="s">
        <v>1031</v>
      </c>
      <c r="E278" s="202" t="s">
        <v>8</v>
      </c>
      <c r="F278" s="203"/>
      <c r="G278" s="201">
        <f t="shared" si="19"/>
        <v>0</v>
      </c>
      <c r="H278" s="34"/>
      <c r="J278" s="363">
        <v>19</v>
      </c>
      <c r="K278" s="356"/>
      <c r="L278" s="356"/>
      <c r="M278" s="356"/>
      <c r="N278" s="361" t="str">
        <f t="shared" si="15"/>
        <v>숨김</v>
      </c>
    </row>
    <row r="279" spans="1:14" s="35" customFormat="1" ht="20.100000000000001" customHeight="1">
      <c r="A279" s="299"/>
      <c r="B279" s="300" t="str">
        <f t="shared" si="14"/>
        <v>b.</v>
      </c>
      <c r="C279" s="201" t="s">
        <v>388</v>
      </c>
      <c r="D279" s="201" t="s">
        <v>1034</v>
      </c>
      <c r="E279" s="202" t="s">
        <v>8</v>
      </c>
      <c r="F279" s="203">
        <f>구조물공총괄집계표!G66</f>
        <v>760.83799999999997</v>
      </c>
      <c r="G279" s="201">
        <f t="shared" si="19"/>
        <v>760.83799999999997</v>
      </c>
      <c r="H279" s="34"/>
      <c r="J279" s="363">
        <f>SUM($K$3:K279)</f>
        <v>22</v>
      </c>
      <c r="K279" s="356"/>
      <c r="L279" s="356" t="s">
        <v>943</v>
      </c>
      <c r="M279" s="356"/>
      <c r="N279" s="361" t="str">
        <f t="shared" si="15"/>
        <v>1</v>
      </c>
    </row>
    <row r="280" spans="1:14" s="262" customFormat="1" ht="20.100000000000001" hidden="1" customHeight="1">
      <c r="A280" s="301" t="str">
        <f>A262</f>
        <v>1.</v>
      </c>
      <c r="B280" s="298" t="str">
        <f>IF(J280&gt;9,CONCATENATE(J280,"."),CONCATENATE("0",J280,"."))</f>
        <v>22.</v>
      </c>
      <c r="C280" s="257" t="s">
        <v>389</v>
      </c>
      <c r="D280" s="257"/>
      <c r="E280" s="258" t="s">
        <v>382</v>
      </c>
      <c r="F280" s="259">
        <f>토공총괄집계표!H30</f>
        <v>0</v>
      </c>
      <c r="G280" s="257">
        <f t="shared" si="19"/>
        <v>0</v>
      </c>
      <c r="H280" s="261"/>
      <c r="J280" s="363">
        <f>SUM($K$3:K280)</f>
        <v>22</v>
      </c>
      <c r="K280" s="355"/>
      <c r="L280" s="355"/>
      <c r="M280" s="355"/>
      <c r="N280" s="361" t="str">
        <f t="shared" si="15"/>
        <v>숨김</v>
      </c>
    </row>
    <row r="281" spans="1:14" s="262" customFormat="1" ht="21.95" customHeight="1">
      <c r="A281" s="301" t="str">
        <f>A280</f>
        <v>1.</v>
      </c>
      <c r="B281" s="298" t="str">
        <f>IF(J281&gt;9,CONCATENATE(J281,"."),CONCATENATE("0",J281,"."))</f>
        <v>23.</v>
      </c>
      <c r="C281" s="257" t="s">
        <v>390</v>
      </c>
      <c r="D281" s="257"/>
      <c r="E281" s="258"/>
      <c r="F281" s="263"/>
      <c r="G281" s="257">
        <v>0</v>
      </c>
      <c r="H281" s="342"/>
      <c r="J281" s="363">
        <f>SUM($K$3:K281)</f>
        <v>23</v>
      </c>
      <c r="K281" s="355">
        <v>1</v>
      </c>
      <c r="L281" s="355"/>
      <c r="M281" s="355"/>
      <c r="N281" s="361" t="str">
        <f t="shared" si="15"/>
        <v>1</v>
      </c>
    </row>
    <row r="282" spans="1:14" s="35" customFormat="1" ht="21.95" customHeight="1">
      <c r="A282" s="299"/>
      <c r="B282" s="300" t="str">
        <f t="shared" si="14"/>
        <v>a.</v>
      </c>
      <c r="C282" s="201" t="s">
        <v>417</v>
      </c>
      <c r="D282" s="201"/>
      <c r="E282" s="202"/>
      <c r="F282" s="203"/>
      <c r="G282" s="201">
        <f>SUM(F282:F282)</f>
        <v>0</v>
      </c>
      <c r="H282" s="34"/>
      <c r="J282" s="363">
        <f>SUM($K$3:K282)</f>
        <v>23</v>
      </c>
      <c r="K282" s="356"/>
      <c r="L282" s="356" t="s">
        <v>942</v>
      </c>
      <c r="M282" s="356"/>
      <c r="N282" s="361" t="str">
        <f t="shared" si="15"/>
        <v>1</v>
      </c>
    </row>
    <row r="283" spans="1:14" s="35" customFormat="1" ht="21.95" customHeight="1">
      <c r="A283" s="299"/>
      <c r="B283" s="300" t="str">
        <f t="shared" si="14"/>
        <v>a-1.</v>
      </c>
      <c r="C283" s="201" t="s">
        <v>1072</v>
      </c>
      <c r="D283" s="201" t="s">
        <v>407</v>
      </c>
      <c r="E283" s="202" t="s">
        <v>256</v>
      </c>
      <c r="F283" s="203">
        <f>구조물공총괄집계표!G180</f>
        <v>6888.84</v>
      </c>
      <c r="G283" s="201">
        <f t="shared" ref="G283:G324" si="20">SUM(F283:F283)</f>
        <v>6888.84</v>
      </c>
      <c r="H283" s="34"/>
      <c r="J283" s="363">
        <f>SUM($K$3:K283)</f>
        <v>23</v>
      </c>
      <c r="K283" s="356"/>
      <c r="L283" s="356" t="s">
        <v>942</v>
      </c>
      <c r="M283" s="356">
        <v>1</v>
      </c>
      <c r="N283" s="361" t="str">
        <f t="shared" si="15"/>
        <v>1</v>
      </c>
    </row>
    <row r="284" spans="1:14" s="35" customFormat="1" ht="21.95" hidden="1" customHeight="1">
      <c r="A284" s="299"/>
      <c r="B284" s="300" t="str">
        <f t="shared" ref="B284:B352" si="21">IF(M284="",CONCATENATE(L284,"."),CONCATENATE(L284,"-",M284,"."))</f>
        <v>.</v>
      </c>
      <c r="C284" s="201" t="s">
        <v>418</v>
      </c>
      <c r="D284" s="201" t="s">
        <v>408</v>
      </c>
      <c r="E284" s="202" t="s">
        <v>256</v>
      </c>
      <c r="F284" s="203"/>
      <c r="G284" s="201">
        <f t="shared" si="20"/>
        <v>0</v>
      </c>
      <c r="H284" s="34"/>
      <c r="J284" s="363">
        <f>SUM($K$3:K284)</f>
        <v>23</v>
      </c>
      <c r="K284" s="356"/>
      <c r="L284" s="356"/>
      <c r="M284" s="356"/>
      <c r="N284" s="361" t="str">
        <f t="shared" ref="N284:N352" si="22">IF(K284="",IF(L284="","숨김","1"),"1")</f>
        <v>숨김</v>
      </c>
    </row>
    <row r="285" spans="1:14" s="35" customFormat="1" ht="21.95" hidden="1" customHeight="1">
      <c r="A285" s="299"/>
      <c r="B285" s="300" t="str">
        <f t="shared" si="21"/>
        <v>.</v>
      </c>
      <c r="C285" s="201" t="s">
        <v>418</v>
      </c>
      <c r="D285" s="201" t="s">
        <v>409</v>
      </c>
      <c r="E285" s="202" t="s">
        <v>256</v>
      </c>
      <c r="F285" s="203"/>
      <c r="G285" s="201">
        <f t="shared" si="20"/>
        <v>0</v>
      </c>
      <c r="H285" s="34"/>
      <c r="J285" s="363">
        <f>SUM($K$3:K285)</f>
        <v>23</v>
      </c>
      <c r="K285" s="356"/>
      <c r="L285" s="356"/>
      <c r="M285" s="356"/>
      <c r="N285" s="361" t="str">
        <f t="shared" si="22"/>
        <v>숨김</v>
      </c>
    </row>
    <row r="286" spans="1:14" s="35" customFormat="1" ht="21.95" customHeight="1">
      <c r="A286" s="299"/>
      <c r="B286" s="300" t="str">
        <f t="shared" si="21"/>
        <v>a-2.</v>
      </c>
      <c r="C286" s="201" t="s">
        <v>419</v>
      </c>
      <c r="D286" s="201"/>
      <c r="E286" s="202" t="s">
        <v>109</v>
      </c>
      <c r="F286" s="203">
        <f>구조물공총괄집계표!G181</f>
        <v>6888.84</v>
      </c>
      <c r="G286" s="201">
        <f t="shared" si="20"/>
        <v>6888.84</v>
      </c>
      <c r="H286" s="34"/>
      <c r="J286" s="363">
        <f>SUM($K$3:K286)</f>
        <v>23</v>
      </c>
      <c r="K286" s="356"/>
      <c r="L286" s="356" t="s">
        <v>942</v>
      </c>
      <c r="M286" s="356">
        <v>2</v>
      </c>
      <c r="N286" s="361" t="str">
        <f t="shared" si="22"/>
        <v>1</v>
      </c>
    </row>
    <row r="287" spans="1:14" s="35" customFormat="1" ht="21.95" customHeight="1">
      <c r="A287" s="299"/>
      <c r="B287" s="300" t="str">
        <f t="shared" si="21"/>
        <v>a-3.</v>
      </c>
      <c r="C287" s="201" t="s">
        <v>674</v>
      </c>
      <c r="D287" s="201"/>
      <c r="E287" s="202" t="s">
        <v>421</v>
      </c>
      <c r="F287" s="203">
        <f>구조물공총괄집계표!G182</f>
        <v>2</v>
      </c>
      <c r="G287" s="201">
        <f t="shared" si="20"/>
        <v>2</v>
      </c>
      <c r="H287" s="34"/>
      <c r="J287" s="363">
        <f>SUM($K$3:K287)</f>
        <v>23</v>
      </c>
      <c r="K287" s="356"/>
      <c r="L287" s="356" t="s">
        <v>942</v>
      </c>
      <c r="M287" s="356">
        <v>3</v>
      </c>
      <c r="N287" s="361" t="str">
        <f t="shared" si="22"/>
        <v>1</v>
      </c>
    </row>
    <row r="288" spans="1:14" s="35" customFormat="1" ht="21.95" customHeight="1">
      <c r="A288" s="299"/>
      <c r="B288" s="300" t="str">
        <f t="shared" si="21"/>
        <v>a-4.</v>
      </c>
      <c r="C288" s="201" t="s">
        <v>422</v>
      </c>
      <c r="D288" s="201"/>
      <c r="E288" s="202" t="s">
        <v>109</v>
      </c>
      <c r="F288" s="203">
        <f>구조물공총괄집계표!G186</f>
        <v>8</v>
      </c>
      <c r="G288" s="201">
        <f t="shared" si="20"/>
        <v>8</v>
      </c>
      <c r="H288" s="34"/>
      <c r="J288" s="363">
        <f>SUM($K$3:K288)</f>
        <v>23</v>
      </c>
      <c r="K288" s="356"/>
      <c r="L288" s="356" t="s">
        <v>942</v>
      </c>
      <c r="M288" s="356">
        <v>4</v>
      </c>
      <c r="N288" s="361" t="str">
        <f t="shared" si="22"/>
        <v>1</v>
      </c>
    </row>
    <row r="289" spans="1:14" s="35" customFormat="1" ht="21.95" hidden="1" customHeight="1">
      <c r="A289" s="299"/>
      <c r="B289" s="300" t="str">
        <f t="shared" si="21"/>
        <v>.</v>
      </c>
      <c r="C289" s="201" t="s">
        <v>423</v>
      </c>
      <c r="D289" s="201"/>
      <c r="E289" s="202" t="s">
        <v>109</v>
      </c>
      <c r="F289" s="203"/>
      <c r="G289" s="201">
        <f t="shared" si="20"/>
        <v>0</v>
      </c>
      <c r="H289" s="34"/>
      <c r="J289" s="363">
        <f>SUM($K$3:K289)</f>
        <v>23</v>
      </c>
      <c r="K289" s="356"/>
      <c r="L289" s="356"/>
      <c r="M289" s="356"/>
      <c r="N289" s="361" t="str">
        <f t="shared" si="22"/>
        <v>숨김</v>
      </c>
    </row>
    <row r="290" spans="1:14" s="35" customFormat="1" ht="21.95" customHeight="1">
      <c r="A290" s="299"/>
      <c r="B290" s="300" t="str">
        <f t="shared" si="21"/>
        <v>a-5.</v>
      </c>
      <c r="C290" s="201" t="s">
        <v>1125</v>
      </c>
      <c r="D290" s="201"/>
      <c r="E290" s="202" t="s">
        <v>109</v>
      </c>
      <c r="F290" s="203">
        <f>구조물공총괄집계표!G183</f>
        <v>2</v>
      </c>
      <c r="G290" s="201">
        <f t="shared" si="20"/>
        <v>2</v>
      </c>
      <c r="H290" s="34"/>
      <c r="J290" s="363">
        <f>SUM($K$3:K290)</f>
        <v>23</v>
      </c>
      <c r="K290" s="356"/>
      <c r="L290" s="356" t="s">
        <v>942</v>
      </c>
      <c r="M290" s="356">
        <v>5</v>
      </c>
      <c r="N290" s="361" t="str">
        <f t="shared" si="22"/>
        <v>1</v>
      </c>
    </row>
    <row r="291" spans="1:14" s="35" customFormat="1" ht="21.95" customHeight="1">
      <c r="A291" s="299"/>
      <c r="B291" s="300" t="str">
        <f t="shared" si="21"/>
        <v>a-6.</v>
      </c>
      <c r="C291" s="201" t="s">
        <v>424</v>
      </c>
      <c r="D291" s="201"/>
      <c r="E291" s="202" t="s">
        <v>108</v>
      </c>
      <c r="F291" s="203">
        <f>구조물공총괄집계표!G184</f>
        <v>22</v>
      </c>
      <c r="G291" s="201">
        <f t="shared" si="20"/>
        <v>22</v>
      </c>
      <c r="H291" s="34"/>
      <c r="J291" s="363">
        <f>SUM($K$3:K291)</f>
        <v>23</v>
      </c>
      <c r="K291" s="356"/>
      <c r="L291" s="356" t="s">
        <v>942</v>
      </c>
      <c r="M291" s="356">
        <v>6</v>
      </c>
      <c r="N291" s="361" t="str">
        <f t="shared" si="22"/>
        <v>1</v>
      </c>
    </row>
    <row r="292" spans="1:14" s="35" customFormat="1" ht="21.95" customHeight="1">
      <c r="A292" s="299"/>
      <c r="B292" s="300" t="str">
        <f>IF(M292="",CONCATENATE(L292,"."),CONCATENATE(L292,"-",M292,"."))</f>
        <v>a-7.</v>
      </c>
      <c r="C292" s="201" t="s">
        <v>1075</v>
      </c>
      <c r="D292" s="201"/>
      <c r="E292" s="202" t="s">
        <v>108</v>
      </c>
      <c r="F292" s="203">
        <f>구조물공총괄집계표!G185</f>
        <v>6888.84</v>
      </c>
      <c r="G292" s="201">
        <f>SUM(F292:F292)</f>
        <v>6888.84</v>
      </c>
      <c r="H292" s="34"/>
      <c r="J292" s="363">
        <f>SUM($K$3:K292)</f>
        <v>23</v>
      </c>
      <c r="K292" s="356"/>
      <c r="L292" s="356" t="s">
        <v>942</v>
      </c>
      <c r="M292" s="356">
        <v>7</v>
      </c>
      <c r="N292" s="361" t="str">
        <f>IF(K292="",IF(L292="","숨김","1"),"1")</f>
        <v>1</v>
      </c>
    </row>
    <row r="293" spans="1:14" s="35" customFormat="1" ht="21.95" hidden="1" customHeight="1">
      <c r="A293" s="299"/>
      <c r="B293" s="300" t="str">
        <f t="shared" si="21"/>
        <v>.</v>
      </c>
      <c r="C293" s="201" t="s">
        <v>838</v>
      </c>
      <c r="D293" s="201" t="s">
        <v>846</v>
      </c>
      <c r="E293" s="202"/>
      <c r="F293" s="203"/>
      <c r="G293" s="201"/>
      <c r="H293" s="34"/>
      <c r="J293" s="363">
        <f>SUM($K$3:K293)</f>
        <v>23</v>
      </c>
      <c r="K293" s="356"/>
      <c r="L293" s="356"/>
      <c r="M293" s="356"/>
      <c r="N293" s="361" t="str">
        <f t="shared" si="22"/>
        <v>숨김</v>
      </c>
    </row>
    <row r="294" spans="1:14" s="35" customFormat="1" ht="21.95" hidden="1" customHeight="1">
      <c r="A294" s="299"/>
      <c r="B294" s="300" t="str">
        <f t="shared" si="21"/>
        <v>.</v>
      </c>
      <c r="C294" s="201" t="s">
        <v>839</v>
      </c>
      <c r="D294" s="201" t="s">
        <v>407</v>
      </c>
      <c r="E294" s="202" t="s">
        <v>38</v>
      </c>
      <c r="F294" s="203">
        <f>구조물공총괄집계표!G171</f>
        <v>0</v>
      </c>
      <c r="G294" s="201">
        <f t="shared" si="20"/>
        <v>0</v>
      </c>
      <c r="H294" s="34"/>
      <c r="J294" s="363">
        <f>SUM($K$3:K294)</f>
        <v>23</v>
      </c>
      <c r="K294" s="356"/>
      <c r="L294" s="356"/>
      <c r="M294" s="356"/>
      <c r="N294" s="361" t="str">
        <f t="shared" si="22"/>
        <v>숨김</v>
      </c>
    </row>
    <row r="295" spans="1:14" s="35" customFormat="1" ht="21.95" hidden="1" customHeight="1">
      <c r="A295" s="299"/>
      <c r="B295" s="300" t="str">
        <f t="shared" si="21"/>
        <v>.</v>
      </c>
      <c r="C295" s="201" t="s">
        <v>839</v>
      </c>
      <c r="D295" s="201" t="s">
        <v>821</v>
      </c>
      <c r="E295" s="202" t="s">
        <v>38</v>
      </c>
      <c r="F295" s="203">
        <f>구조물공총괄집계표!G172</f>
        <v>0</v>
      </c>
      <c r="G295" s="201">
        <f t="shared" si="20"/>
        <v>0</v>
      </c>
      <c r="H295" s="34"/>
      <c r="J295" s="363">
        <f>SUM($K$3:K295)</f>
        <v>23</v>
      </c>
      <c r="K295" s="356"/>
      <c r="L295" s="356"/>
      <c r="M295" s="356"/>
      <c r="N295" s="361" t="str">
        <f t="shared" si="22"/>
        <v>숨김</v>
      </c>
    </row>
    <row r="296" spans="1:14" s="35" customFormat="1" ht="21.95" hidden="1" customHeight="1">
      <c r="A296" s="299"/>
      <c r="B296" s="300" t="str">
        <f t="shared" si="21"/>
        <v>.</v>
      </c>
      <c r="C296" s="201" t="s">
        <v>839</v>
      </c>
      <c r="D296" s="201" t="s">
        <v>822</v>
      </c>
      <c r="E296" s="202" t="s">
        <v>38</v>
      </c>
      <c r="F296" s="203">
        <f>구조물공총괄집계표!G173</f>
        <v>0</v>
      </c>
      <c r="G296" s="201">
        <f t="shared" si="20"/>
        <v>0</v>
      </c>
      <c r="H296" s="34"/>
      <c r="J296" s="363">
        <f>SUM($K$3:K296)</f>
        <v>23</v>
      </c>
      <c r="K296" s="356"/>
      <c r="L296" s="356"/>
      <c r="M296" s="356"/>
      <c r="N296" s="361" t="str">
        <f t="shared" si="22"/>
        <v>숨김</v>
      </c>
    </row>
    <row r="297" spans="1:14" s="35" customFormat="1" ht="21.95" hidden="1" customHeight="1">
      <c r="A297" s="299"/>
      <c r="B297" s="300" t="str">
        <f t="shared" si="21"/>
        <v>.</v>
      </c>
      <c r="C297" s="201" t="s">
        <v>1037</v>
      </c>
      <c r="D297" s="201"/>
      <c r="E297" s="202" t="s">
        <v>108</v>
      </c>
      <c r="F297" s="203">
        <f>구조물공총괄집계표!G174</f>
        <v>0</v>
      </c>
      <c r="G297" s="201">
        <f t="shared" si="20"/>
        <v>0</v>
      </c>
      <c r="H297" s="34"/>
      <c r="J297" s="363">
        <f>SUM($K$3:K297)</f>
        <v>23</v>
      </c>
      <c r="K297" s="356"/>
      <c r="L297" s="356"/>
      <c r="M297" s="356"/>
      <c r="N297" s="361" t="str">
        <f t="shared" si="22"/>
        <v>숨김</v>
      </c>
    </row>
    <row r="298" spans="1:14" s="35" customFormat="1" ht="21.95" hidden="1" customHeight="1">
      <c r="A298" s="299"/>
      <c r="B298" s="300" t="str">
        <f t="shared" si="21"/>
        <v>.</v>
      </c>
      <c r="C298" s="201" t="s">
        <v>840</v>
      </c>
      <c r="D298" s="201"/>
      <c r="E298" s="202" t="s">
        <v>38</v>
      </c>
      <c r="F298" s="203">
        <f>구조물공총괄집계표!G175</f>
        <v>0</v>
      </c>
      <c r="G298" s="201">
        <f t="shared" si="20"/>
        <v>0</v>
      </c>
      <c r="H298" s="34"/>
      <c r="J298" s="363">
        <f>SUM($K$3:K298)</f>
        <v>23</v>
      </c>
      <c r="K298" s="356"/>
      <c r="L298" s="356"/>
      <c r="M298" s="356"/>
      <c r="N298" s="361" t="str">
        <f t="shared" si="22"/>
        <v>숨김</v>
      </c>
    </row>
    <row r="299" spans="1:14" s="35" customFormat="1" ht="21.95" hidden="1" customHeight="1">
      <c r="A299" s="299"/>
      <c r="B299" s="300" t="str">
        <f t="shared" si="21"/>
        <v>.</v>
      </c>
      <c r="C299" s="201" t="s">
        <v>841</v>
      </c>
      <c r="D299" s="201"/>
      <c r="E299" s="202" t="s">
        <v>109</v>
      </c>
      <c r="F299" s="203">
        <f>구조물공총괄집계표!G176</f>
        <v>0</v>
      </c>
      <c r="G299" s="201">
        <f t="shared" si="20"/>
        <v>0</v>
      </c>
      <c r="H299" s="34"/>
      <c r="J299" s="363">
        <f>SUM($K$3:K299)</f>
        <v>23</v>
      </c>
      <c r="K299" s="356"/>
      <c r="L299" s="356"/>
      <c r="M299" s="356"/>
      <c r="N299" s="361" t="str">
        <f t="shared" si="22"/>
        <v>숨김</v>
      </c>
    </row>
    <row r="300" spans="1:14" s="35" customFormat="1" ht="21.95" hidden="1" customHeight="1">
      <c r="A300" s="299"/>
      <c r="B300" s="300" t="str">
        <f t="shared" si="21"/>
        <v>.</v>
      </c>
      <c r="C300" s="201" t="s">
        <v>842</v>
      </c>
      <c r="D300" s="201"/>
      <c r="E300" s="202" t="s">
        <v>109</v>
      </c>
      <c r="F300" s="203">
        <f>구조물공총괄집계표!G178</f>
        <v>0</v>
      </c>
      <c r="G300" s="201">
        <f t="shared" si="20"/>
        <v>0</v>
      </c>
      <c r="H300" s="34"/>
      <c r="J300" s="363">
        <f>SUM($K$3:K300)</f>
        <v>23</v>
      </c>
      <c r="K300" s="356"/>
      <c r="L300" s="356"/>
      <c r="M300" s="356"/>
      <c r="N300" s="361" t="str">
        <f t="shared" si="22"/>
        <v>숨김</v>
      </c>
    </row>
    <row r="301" spans="1:14" s="35" customFormat="1" ht="21.95" hidden="1" customHeight="1">
      <c r="A301" s="299"/>
      <c r="B301" s="300" t="str">
        <f t="shared" si="21"/>
        <v>.</v>
      </c>
      <c r="C301" s="201" t="s">
        <v>843</v>
      </c>
      <c r="D301" s="201"/>
      <c r="E301" s="202" t="s">
        <v>38</v>
      </c>
      <c r="F301" s="203">
        <f>구조물공총괄집계표!G179</f>
        <v>0</v>
      </c>
      <c r="G301" s="201">
        <f t="shared" si="20"/>
        <v>0</v>
      </c>
      <c r="H301" s="34"/>
      <c r="J301" s="363">
        <f>SUM($K$3:K301)</f>
        <v>23</v>
      </c>
      <c r="K301" s="356"/>
      <c r="L301" s="356"/>
      <c r="M301" s="356"/>
      <c r="N301" s="361" t="str">
        <f t="shared" si="22"/>
        <v>숨김</v>
      </c>
    </row>
    <row r="302" spans="1:14" s="35" customFormat="1" ht="21.95" hidden="1" customHeight="1">
      <c r="A302" s="299"/>
      <c r="B302" s="300" t="str">
        <f t="shared" si="21"/>
        <v>.</v>
      </c>
      <c r="C302" s="201" t="s">
        <v>844</v>
      </c>
      <c r="D302" s="201"/>
      <c r="E302" s="202" t="s">
        <v>38</v>
      </c>
      <c r="F302" s="203">
        <f>구조물공총괄집계표!G177</f>
        <v>0</v>
      </c>
      <c r="G302" s="201">
        <f t="shared" si="20"/>
        <v>0</v>
      </c>
      <c r="H302" s="34"/>
      <c r="J302" s="363">
        <f>SUM($K$3:K302)</f>
        <v>23</v>
      </c>
      <c r="K302" s="356"/>
      <c r="L302" s="356"/>
      <c r="M302" s="356"/>
      <c r="N302" s="361" t="str">
        <f t="shared" si="22"/>
        <v>숨김</v>
      </c>
    </row>
    <row r="303" spans="1:14" s="35" customFormat="1" ht="20.100000000000001" customHeight="1">
      <c r="A303" s="299"/>
      <c r="B303" s="300" t="str">
        <f t="shared" si="21"/>
        <v>b-1.</v>
      </c>
      <c r="C303" s="201" t="s">
        <v>1039</v>
      </c>
      <c r="D303" s="201"/>
      <c r="E303" s="202"/>
      <c r="F303" s="203"/>
      <c r="G303" s="201"/>
      <c r="H303" s="34"/>
      <c r="J303" s="363">
        <f>SUM($K$3:K303)</f>
        <v>23</v>
      </c>
      <c r="K303" s="356"/>
      <c r="L303" s="356" t="s">
        <v>943</v>
      </c>
      <c r="M303" s="356">
        <v>1</v>
      </c>
      <c r="N303" s="361" t="str">
        <f t="shared" si="22"/>
        <v>1</v>
      </c>
    </row>
    <row r="304" spans="1:14" s="35" customFormat="1" ht="21.75" hidden="1" customHeight="1">
      <c r="A304" s="299"/>
      <c r="B304" s="300" t="str">
        <f t="shared" si="21"/>
        <v>.</v>
      </c>
      <c r="C304" s="201" t="s">
        <v>847</v>
      </c>
      <c r="D304" s="201" t="s">
        <v>848</v>
      </c>
      <c r="E304" s="202" t="s">
        <v>38</v>
      </c>
      <c r="F304" s="203"/>
      <c r="G304" s="201">
        <f t="shared" si="20"/>
        <v>0</v>
      </c>
      <c r="H304" s="331"/>
      <c r="J304" s="363">
        <f>SUM($K$3:K304)</f>
        <v>23</v>
      </c>
      <c r="K304" s="356"/>
      <c r="L304" s="356"/>
      <c r="M304" s="356"/>
      <c r="N304" s="361" t="str">
        <f t="shared" si="22"/>
        <v>숨김</v>
      </c>
    </row>
    <row r="305" spans="1:14" s="35" customFormat="1" ht="21.75" hidden="1" customHeight="1">
      <c r="A305" s="299"/>
      <c r="B305" s="300" t="str">
        <f t="shared" si="21"/>
        <v>.</v>
      </c>
      <c r="C305" s="201" t="s">
        <v>847</v>
      </c>
      <c r="D305" s="201" t="s">
        <v>1041</v>
      </c>
      <c r="E305" s="202" t="s">
        <v>421</v>
      </c>
      <c r="F305" s="203"/>
      <c r="G305" s="201">
        <f t="shared" si="20"/>
        <v>0</v>
      </c>
      <c r="H305" s="331"/>
      <c r="J305" s="363">
        <f>SUM($K$3:K305)</f>
        <v>23</v>
      </c>
      <c r="K305" s="356"/>
      <c r="L305" s="356"/>
      <c r="M305" s="356"/>
      <c r="N305" s="361" t="str">
        <f t="shared" si="22"/>
        <v>숨김</v>
      </c>
    </row>
    <row r="306" spans="1:14" s="35" customFormat="1" ht="21.75" customHeight="1">
      <c r="A306" s="299"/>
      <c r="B306" s="300" t="str">
        <f t="shared" si="21"/>
        <v>b-2.</v>
      </c>
      <c r="C306" s="201" t="s">
        <v>425</v>
      </c>
      <c r="D306" s="201" t="s">
        <v>426</v>
      </c>
      <c r="E306" s="202" t="s">
        <v>421</v>
      </c>
      <c r="F306" s="203">
        <f>구조물공총괄집계표!G187</f>
        <v>8</v>
      </c>
      <c r="G306" s="201">
        <f t="shared" si="20"/>
        <v>8</v>
      </c>
      <c r="H306" s="331"/>
      <c r="J306" s="363">
        <f>SUM($K$3:K306)</f>
        <v>23</v>
      </c>
      <c r="K306" s="356"/>
      <c r="L306" s="356" t="s">
        <v>943</v>
      </c>
      <c r="M306" s="356">
        <v>2</v>
      </c>
      <c r="N306" s="361" t="str">
        <f t="shared" si="22"/>
        <v>1</v>
      </c>
    </row>
    <row r="307" spans="1:14" s="35" customFormat="1" ht="21.75" customHeight="1">
      <c r="A307" s="299"/>
      <c r="B307" s="300" t="str">
        <f t="shared" si="21"/>
        <v>b-3.</v>
      </c>
      <c r="C307" s="201" t="s">
        <v>425</v>
      </c>
      <c r="D307" s="201" t="s">
        <v>850</v>
      </c>
      <c r="E307" s="202" t="s">
        <v>421</v>
      </c>
      <c r="F307" s="203">
        <f>구조물공총괄집계표!G188</f>
        <v>32</v>
      </c>
      <c r="G307" s="201">
        <f t="shared" si="20"/>
        <v>32</v>
      </c>
      <c r="H307" s="331"/>
      <c r="J307" s="363">
        <f>SUM($K$3:K307)</f>
        <v>23</v>
      </c>
      <c r="K307" s="356"/>
      <c r="L307" s="356" t="s">
        <v>943</v>
      </c>
      <c r="M307" s="356">
        <v>3</v>
      </c>
      <c r="N307" s="361" t="str">
        <f t="shared" si="22"/>
        <v>1</v>
      </c>
    </row>
    <row r="308" spans="1:14" s="35" customFormat="1" ht="21.75" hidden="1" customHeight="1">
      <c r="A308" s="299"/>
      <c r="B308" s="300" t="str">
        <f t="shared" si="21"/>
        <v>.</v>
      </c>
      <c r="C308" s="201" t="s">
        <v>847</v>
      </c>
      <c r="D308" s="201" t="s">
        <v>851</v>
      </c>
      <c r="E308" s="202" t="s">
        <v>421</v>
      </c>
      <c r="F308" s="203"/>
      <c r="G308" s="201">
        <f t="shared" si="20"/>
        <v>0</v>
      </c>
      <c r="H308" s="331"/>
      <c r="J308" s="363">
        <f>SUM($K$3:K308)</f>
        <v>23</v>
      </c>
      <c r="K308" s="356"/>
      <c r="L308" s="356"/>
      <c r="M308" s="356"/>
      <c r="N308" s="361" t="str">
        <f t="shared" si="22"/>
        <v>숨김</v>
      </c>
    </row>
    <row r="309" spans="1:14" s="35" customFormat="1" ht="21.75" hidden="1" customHeight="1">
      <c r="A309" s="299"/>
      <c r="B309" s="300" t="str">
        <f t="shared" si="21"/>
        <v>.</v>
      </c>
      <c r="C309" s="201" t="s">
        <v>847</v>
      </c>
      <c r="D309" s="201" t="s">
        <v>852</v>
      </c>
      <c r="E309" s="202" t="s">
        <v>109</v>
      </c>
      <c r="F309" s="203"/>
      <c r="G309" s="201">
        <f t="shared" si="20"/>
        <v>0</v>
      </c>
      <c r="H309" s="331"/>
      <c r="J309" s="363">
        <f>SUM($K$3:K309)</f>
        <v>23</v>
      </c>
      <c r="K309" s="356"/>
      <c r="L309" s="356"/>
      <c r="M309" s="356"/>
      <c r="N309" s="361" t="str">
        <f t="shared" si="22"/>
        <v>숨김</v>
      </c>
    </row>
    <row r="310" spans="1:14" s="35" customFormat="1" ht="21.75" hidden="1" customHeight="1">
      <c r="A310" s="299"/>
      <c r="B310" s="300" t="str">
        <f t="shared" si="21"/>
        <v>.</v>
      </c>
      <c r="C310" s="201" t="s">
        <v>425</v>
      </c>
      <c r="D310" s="201" t="s">
        <v>845</v>
      </c>
      <c r="E310" s="202" t="s">
        <v>38</v>
      </c>
      <c r="F310" s="203"/>
      <c r="G310" s="201">
        <f t="shared" si="20"/>
        <v>0</v>
      </c>
      <c r="H310" s="331"/>
      <c r="J310" s="363">
        <f>SUM($K$3:K310)</f>
        <v>23</v>
      </c>
      <c r="K310" s="356"/>
      <c r="L310" s="356"/>
      <c r="M310" s="356"/>
      <c r="N310" s="361" t="str">
        <f t="shared" si="22"/>
        <v>숨김</v>
      </c>
    </row>
    <row r="311" spans="1:14" s="35" customFormat="1" ht="21.75" hidden="1" customHeight="1">
      <c r="A311" s="299"/>
      <c r="B311" s="300" t="str">
        <f t="shared" si="21"/>
        <v>.</v>
      </c>
      <c r="C311" s="201" t="s">
        <v>425</v>
      </c>
      <c r="D311" s="201" t="s">
        <v>1041</v>
      </c>
      <c r="E311" s="202" t="s">
        <v>421</v>
      </c>
      <c r="F311" s="203"/>
      <c r="G311" s="201">
        <f t="shared" si="20"/>
        <v>0</v>
      </c>
      <c r="H311" s="331"/>
      <c r="J311" s="363">
        <f>SUM($K$3:K311)</f>
        <v>23</v>
      </c>
      <c r="K311" s="356"/>
      <c r="L311" s="356"/>
      <c r="M311" s="356"/>
      <c r="N311" s="361" t="str">
        <f t="shared" si="22"/>
        <v>숨김</v>
      </c>
    </row>
    <row r="312" spans="1:14" s="35" customFormat="1" ht="21.75" hidden="1" customHeight="1">
      <c r="A312" s="299"/>
      <c r="B312" s="300" t="str">
        <f t="shared" si="21"/>
        <v>.</v>
      </c>
      <c r="C312" s="201" t="s">
        <v>425</v>
      </c>
      <c r="D312" s="201" t="s">
        <v>849</v>
      </c>
      <c r="E312" s="202" t="s">
        <v>421</v>
      </c>
      <c r="F312" s="203"/>
      <c r="G312" s="201">
        <f t="shared" si="20"/>
        <v>0</v>
      </c>
      <c r="H312" s="331"/>
      <c r="J312" s="363">
        <f>SUM($K$3:K312)</f>
        <v>23</v>
      </c>
      <c r="K312" s="356"/>
      <c r="L312" s="356"/>
      <c r="M312" s="356"/>
      <c r="N312" s="361" t="str">
        <f t="shared" si="22"/>
        <v>숨김</v>
      </c>
    </row>
    <row r="313" spans="1:14" s="35" customFormat="1" ht="21.75" hidden="1" customHeight="1">
      <c r="A313" s="299"/>
      <c r="B313" s="300" t="str">
        <f t="shared" si="21"/>
        <v>.</v>
      </c>
      <c r="C313" s="201" t="s">
        <v>425</v>
      </c>
      <c r="D313" s="201" t="s">
        <v>426</v>
      </c>
      <c r="E313" s="202" t="s">
        <v>421</v>
      </c>
      <c r="F313" s="203"/>
      <c r="G313" s="201">
        <f t="shared" si="20"/>
        <v>0</v>
      </c>
      <c r="H313" s="331"/>
      <c r="J313" s="363">
        <f>SUM($K$3:K313)</f>
        <v>23</v>
      </c>
      <c r="K313" s="356"/>
      <c r="L313" s="356"/>
      <c r="M313" s="356"/>
      <c r="N313" s="361" t="str">
        <f t="shared" si="22"/>
        <v>숨김</v>
      </c>
    </row>
    <row r="314" spans="1:14" s="35" customFormat="1" ht="21.75" hidden="1" customHeight="1">
      <c r="A314" s="299"/>
      <c r="B314" s="300" t="str">
        <f t="shared" si="21"/>
        <v>.</v>
      </c>
      <c r="C314" s="201" t="s">
        <v>425</v>
      </c>
      <c r="D314" s="201" t="s">
        <v>850</v>
      </c>
      <c r="E314" s="202" t="s">
        <v>421</v>
      </c>
      <c r="F314" s="203"/>
      <c r="G314" s="201">
        <f t="shared" si="20"/>
        <v>0</v>
      </c>
      <c r="H314" s="331"/>
      <c r="J314" s="363">
        <f>SUM($K$3:K314)</f>
        <v>23</v>
      </c>
      <c r="K314" s="356"/>
      <c r="L314" s="356"/>
      <c r="M314" s="356"/>
      <c r="N314" s="361" t="str">
        <f t="shared" si="22"/>
        <v>숨김</v>
      </c>
    </row>
    <row r="315" spans="1:14" s="35" customFormat="1" ht="21.75" hidden="1" customHeight="1">
      <c r="A315" s="299"/>
      <c r="B315" s="300" t="str">
        <f t="shared" si="21"/>
        <v>.</v>
      </c>
      <c r="C315" s="201" t="s">
        <v>425</v>
      </c>
      <c r="D315" s="201" t="s">
        <v>851</v>
      </c>
      <c r="E315" s="202" t="s">
        <v>421</v>
      </c>
      <c r="F315" s="203"/>
      <c r="G315" s="201">
        <f t="shared" si="20"/>
        <v>0</v>
      </c>
      <c r="H315" s="331"/>
      <c r="J315" s="363">
        <f>SUM($K$3:K315)</f>
        <v>23</v>
      </c>
      <c r="K315" s="356"/>
      <c r="L315" s="356"/>
      <c r="M315" s="356"/>
      <c r="N315" s="361" t="str">
        <f t="shared" si="22"/>
        <v>숨김</v>
      </c>
    </row>
    <row r="316" spans="1:14" s="35" customFormat="1" ht="20.100000000000001" hidden="1" customHeight="1">
      <c r="A316" s="299"/>
      <c r="B316" s="300" t="str">
        <f t="shared" si="21"/>
        <v>.</v>
      </c>
      <c r="C316" s="201" t="s">
        <v>1040</v>
      </c>
      <c r="D316" s="201" t="s">
        <v>852</v>
      </c>
      <c r="E316" s="202" t="s">
        <v>109</v>
      </c>
      <c r="F316" s="203"/>
      <c r="G316" s="201">
        <f t="shared" si="20"/>
        <v>0</v>
      </c>
      <c r="H316" s="331"/>
      <c r="J316" s="363">
        <f>SUM($K$3:K316)</f>
        <v>23</v>
      </c>
      <c r="K316" s="356"/>
      <c r="L316" s="356"/>
      <c r="M316" s="356"/>
      <c r="N316" s="361" t="str">
        <f t="shared" si="22"/>
        <v>숨김</v>
      </c>
    </row>
    <row r="317" spans="1:14" s="35" customFormat="1" ht="21.95" hidden="1" customHeight="1">
      <c r="A317" s="299"/>
      <c r="B317" s="300" t="str">
        <f t="shared" si="21"/>
        <v>.</v>
      </c>
      <c r="C317" s="201" t="s">
        <v>427</v>
      </c>
      <c r="D317" s="201" t="s">
        <v>848</v>
      </c>
      <c r="E317" s="202" t="s">
        <v>421</v>
      </c>
      <c r="F317" s="203"/>
      <c r="G317" s="201">
        <f t="shared" si="20"/>
        <v>0</v>
      </c>
      <c r="H317" s="34"/>
      <c r="J317" s="363">
        <f>SUM($K$3:K317)</f>
        <v>23</v>
      </c>
      <c r="K317" s="356"/>
      <c r="L317" s="356"/>
      <c r="M317" s="356"/>
      <c r="N317" s="361" t="str">
        <f t="shared" si="22"/>
        <v>숨김</v>
      </c>
    </row>
    <row r="318" spans="1:14" s="35" customFormat="1" ht="21.95" customHeight="1">
      <c r="A318" s="299"/>
      <c r="B318" s="300" t="str">
        <f t="shared" si="21"/>
        <v>b-4.</v>
      </c>
      <c r="C318" s="201" t="s">
        <v>1113</v>
      </c>
      <c r="D318" s="201" t="s">
        <v>428</v>
      </c>
      <c r="E318" s="202" t="s">
        <v>421</v>
      </c>
      <c r="F318" s="203">
        <f>구조물공총괄집계표!G189</f>
        <v>24</v>
      </c>
      <c r="G318" s="201">
        <f t="shared" si="20"/>
        <v>24</v>
      </c>
      <c r="H318" s="34"/>
      <c r="J318" s="363">
        <f>SUM($K$3:K318)</f>
        <v>23</v>
      </c>
      <c r="K318" s="356"/>
      <c r="L318" s="356" t="s">
        <v>943</v>
      </c>
      <c r="M318" s="356">
        <v>4</v>
      </c>
      <c r="N318" s="361" t="str">
        <f t="shared" si="22"/>
        <v>1</v>
      </c>
    </row>
    <row r="319" spans="1:14" s="35" customFormat="1" ht="21.95" customHeight="1">
      <c r="A319" s="299"/>
      <c r="B319" s="300" t="str">
        <f t="shared" si="21"/>
        <v>b-5.</v>
      </c>
      <c r="C319" s="201" t="s">
        <v>1119</v>
      </c>
      <c r="D319" s="201" t="s">
        <v>428</v>
      </c>
      <c r="E319" s="202" t="s">
        <v>421</v>
      </c>
      <c r="F319" s="203">
        <f>구조물공총괄집계표!G190</f>
        <v>16</v>
      </c>
      <c r="G319" s="201">
        <f t="shared" si="20"/>
        <v>16</v>
      </c>
      <c r="H319" s="34"/>
      <c r="J319" s="363">
        <f>SUM($K$3:K319)</f>
        <v>23</v>
      </c>
      <c r="K319" s="356"/>
      <c r="L319" s="356" t="s">
        <v>943</v>
      </c>
      <c r="M319" s="356">
        <v>5</v>
      </c>
      <c r="N319" s="361" t="str">
        <f t="shared" si="22"/>
        <v>1</v>
      </c>
    </row>
    <row r="320" spans="1:14" s="35" customFormat="1" ht="20.100000000000001" customHeight="1">
      <c r="A320" s="299"/>
      <c r="B320" s="300" t="str">
        <f t="shared" si="21"/>
        <v>c.</v>
      </c>
      <c r="C320" s="201" t="s">
        <v>429</v>
      </c>
      <c r="D320" s="201" t="s">
        <v>1085</v>
      </c>
      <c r="E320" s="202" t="s">
        <v>421</v>
      </c>
      <c r="F320" s="203">
        <f>구조물공총괄집계표!G191</f>
        <v>144</v>
      </c>
      <c r="G320" s="201">
        <f t="shared" si="20"/>
        <v>144</v>
      </c>
      <c r="H320" s="34"/>
      <c r="J320" s="363">
        <f>SUM($K$3:K320)</f>
        <v>23</v>
      </c>
      <c r="K320" s="356"/>
      <c r="L320" s="356" t="s">
        <v>944</v>
      </c>
      <c r="M320" s="356"/>
      <c r="N320" s="361" t="str">
        <f t="shared" si="22"/>
        <v>1</v>
      </c>
    </row>
    <row r="321" spans="1:14" s="35" customFormat="1" ht="20.100000000000001" hidden="1" customHeight="1">
      <c r="A321" s="299"/>
      <c r="B321" s="300" t="str">
        <f>IF(M321="",CONCATENATE(L321,"."),CONCATENATE(L321,"-",M321,"."))</f>
        <v>.</v>
      </c>
      <c r="C321" s="201" t="s">
        <v>429</v>
      </c>
      <c r="D321" s="201" t="s">
        <v>1042</v>
      </c>
      <c r="E321" s="202" t="s">
        <v>421</v>
      </c>
      <c r="F321" s="203"/>
      <c r="G321" s="201">
        <f t="shared" si="20"/>
        <v>0</v>
      </c>
      <c r="H321" s="34"/>
      <c r="J321" s="363">
        <f>SUM($K$3:K321)</f>
        <v>23</v>
      </c>
      <c r="K321" s="356"/>
      <c r="L321" s="356"/>
      <c r="M321" s="356"/>
      <c r="N321" s="361" t="str">
        <f>IF(K321="",IF(L321="","숨김","1"),"1")</f>
        <v>숨김</v>
      </c>
    </row>
    <row r="322" spans="1:14" s="35" customFormat="1" ht="20.100000000000001" customHeight="1">
      <c r="A322" s="299"/>
      <c r="B322" s="300" t="str">
        <f>IF(M322="",CONCATENATE(L322,"."),CONCATENATE(L322,"-",M322,"."))</f>
        <v>d.</v>
      </c>
      <c r="C322" s="201" t="s">
        <v>1120</v>
      </c>
      <c r="D322" s="201"/>
      <c r="E322" s="202" t="s">
        <v>421</v>
      </c>
      <c r="F322" s="203">
        <f>구조물공총괄집계표!G191</f>
        <v>144</v>
      </c>
      <c r="G322" s="201">
        <f t="shared" si="20"/>
        <v>144</v>
      </c>
      <c r="H322" s="34"/>
      <c r="J322" s="363">
        <f>SUM($K$3:K322)</f>
        <v>23</v>
      </c>
      <c r="K322" s="356"/>
      <c r="L322" s="356" t="s">
        <v>945</v>
      </c>
      <c r="M322" s="356"/>
      <c r="N322" s="361" t="str">
        <f>IF(K322="",IF(L322="","숨김","1"),"1")</f>
        <v>1</v>
      </c>
    </row>
    <row r="323" spans="1:14" s="35" customFormat="1" ht="20.100000000000001" customHeight="1">
      <c r="A323" s="299"/>
      <c r="B323" s="300" t="str">
        <f t="shared" si="21"/>
        <v>d-1.</v>
      </c>
      <c r="C323" s="201" t="s">
        <v>1121</v>
      </c>
      <c r="D323" s="201"/>
      <c r="E323" s="202" t="s">
        <v>421</v>
      </c>
      <c r="F323" s="203">
        <f>구조물공총괄집계표!G192</f>
        <v>72</v>
      </c>
      <c r="G323" s="201">
        <f t="shared" si="20"/>
        <v>72</v>
      </c>
      <c r="H323" s="34"/>
      <c r="J323" s="363">
        <f>SUM($K$3:K323)</f>
        <v>23</v>
      </c>
      <c r="K323" s="356"/>
      <c r="L323" s="356" t="s">
        <v>945</v>
      </c>
      <c r="M323" s="356">
        <v>1</v>
      </c>
      <c r="N323" s="361" t="str">
        <f t="shared" si="22"/>
        <v>1</v>
      </c>
    </row>
    <row r="324" spans="1:14" s="35" customFormat="1" ht="18" customHeight="1">
      <c r="A324" s="299"/>
      <c r="B324" s="300" t="str">
        <f t="shared" si="21"/>
        <v>d-2.</v>
      </c>
      <c r="C324" s="201" t="s">
        <v>1122</v>
      </c>
      <c r="D324" s="201" t="s">
        <v>1123</v>
      </c>
      <c r="E324" s="202" t="s">
        <v>421</v>
      </c>
      <c r="F324" s="203">
        <f>구조물공총괄집계표!G193</f>
        <v>72</v>
      </c>
      <c r="G324" s="201">
        <f t="shared" si="20"/>
        <v>72</v>
      </c>
      <c r="H324" s="34"/>
      <c r="J324" s="363">
        <f>SUM($K$3:K324)</f>
        <v>23</v>
      </c>
      <c r="K324" s="356"/>
      <c r="L324" s="356" t="s">
        <v>945</v>
      </c>
      <c r="M324" s="356">
        <v>2</v>
      </c>
      <c r="N324" s="361" t="str">
        <f t="shared" si="22"/>
        <v>1</v>
      </c>
    </row>
    <row r="325" spans="1:14" s="35" customFormat="1" ht="20.100000000000001" hidden="1" customHeight="1">
      <c r="A325" s="299"/>
      <c r="B325" s="300" t="str">
        <f t="shared" si="21"/>
        <v>.</v>
      </c>
      <c r="C325" s="201" t="s">
        <v>430</v>
      </c>
      <c r="D325" s="201" t="s">
        <v>431</v>
      </c>
      <c r="E325" s="202" t="s">
        <v>421</v>
      </c>
      <c r="F325" s="203"/>
      <c r="G325" s="201">
        <f t="shared" ref="G325:G348" si="23">SUM(F325:F325)</f>
        <v>0</v>
      </c>
      <c r="H325" s="344"/>
      <c r="J325" s="363">
        <f>SUM($K$3:K325)</f>
        <v>23</v>
      </c>
      <c r="K325" s="356"/>
      <c r="L325" s="356"/>
      <c r="M325" s="356"/>
      <c r="N325" s="361" t="str">
        <f t="shared" si="22"/>
        <v>숨김</v>
      </c>
    </row>
    <row r="326" spans="1:14" s="35" customFormat="1" ht="20.100000000000001" hidden="1" customHeight="1">
      <c r="A326" s="299"/>
      <c r="B326" s="300" t="str">
        <f t="shared" si="21"/>
        <v>.</v>
      </c>
      <c r="C326" s="201" t="s">
        <v>694</v>
      </c>
      <c r="D326" s="201" t="s">
        <v>695</v>
      </c>
      <c r="E326" s="202" t="s">
        <v>109</v>
      </c>
      <c r="F326" s="203"/>
      <c r="G326" s="201">
        <f t="shared" si="23"/>
        <v>0</v>
      </c>
      <c r="H326" s="345"/>
      <c r="J326" s="363">
        <f>SUM($K$3:K326)</f>
        <v>23</v>
      </c>
      <c r="K326" s="356"/>
      <c r="L326" s="356"/>
      <c r="M326" s="356"/>
      <c r="N326" s="361" t="str">
        <f t="shared" si="22"/>
        <v>숨김</v>
      </c>
    </row>
    <row r="327" spans="1:14" s="35" customFormat="1" ht="20.100000000000001" customHeight="1">
      <c r="A327" s="299"/>
      <c r="B327" s="300" t="str">
        <f t="shared" si="21"/>
        <v>e.</v>
      </c>
      <c r="C327" s="201" t="s">
        <v>1114</v>
      </c>
      <c r="D327" s="201"/>
      <c r="E327" s="202" t="s">
        <v>421</v>
      </c>
      <c r="F327" s="203">
        <f>구조물공총괄집계표!G204</f>
        <v>752</v>
      </c>
      <c r="G327" s="201">
        <f t="shared" si="23"/>
        <v>752</v>
      </c>
      <c r="H327" s="332"/>
      <c r="J327" s="363">
        <f>SUM($K$3:K327)</f>
        <v>23</v>
      </c>
      <c r="K327" s="356"/>
      <c r="L327" s="356" t="s">
        <v>1126</v>
      </c>
      <c r="M327" s="356"/>
      <c r="N327" s="361" t="str">
        <f t="shared" si="22"/>
        <v>1</v>
      </c>
    </row>
    <row r="328" spans="1:14" s="35" customFormat="1" ht="20.100000000000001" customHeight="1">
      <c r="A328" s="299"/>
      <c r="B328" s="300" t="str">
        <f t="shared" si="21"/>
        <v>f.</v>
      </c>
      <c r="C328" s="201" t="s">
        <v>696</v>
      </c>
      <c r="D328" s="201" t="s">
        <v>1115</v>
      </c>
      <c r="E328" s="202" t="s">
        <v>421</v>
      </c>
      <c r="F328" s="203">
        <f>구조물공총괄집계표!G202</f>
        <v>16</v>
      </c>
      <c r="G328" s="201">
        <f t="shared" si="23"/>
        <v>16</v>
      </c>
      <c r="H328" s="332"/>
      <c r="J328" s="363">
        <f>SUM($K$3:K328)</f>
        <v>23</v>
      </c>
      <c r="K328" s="356"/>
      <c r="L328" s="356" t="s">
        <v>1127</v>
      </c>
      <c r="M328" s="356"/>
      <c r="N328" s="361" t="str">
        <f t="shared" si="22"/>
        <v>1</v>
      </c>
    </row>
    <row r="329" spans="1:14" s="35" customFormat="1" ht="20.100000000000001" hidden="1" customHeight="1">
      <c r="A329" s="299"/>
      <c r="B329" s="300" t="str">
        <f t="shared" si="21"/>
        <v>.</v>
      </c>
      <c r="C329" s="201" t="s">
        <v>696</v>
      </c>
      <c r="D329" s="201" t="s">
        <v>901</v>
      </c>
      <c r="E329" s="202" t="s">
        <v>421</v>
      </c>
      <c r="F329" s="203"/>
      <c r="G329" s="201">
        <f>SUM(F329:F329)</f>
        <v>0</v>
      </c>
      <c r="H329" s="332"/>
      <c r="J329" s="363">
        <f>SUM($K$3:K329)</f>
        <v>23</v>
      </c>
      <c r="K329" s="356"/>
      <c r="L329" s="356"/>
      <c r="M329" s="356"/>
      <c r="N329" s="361" t="str">
        <f t="shared" si="22"/>
        <v>숨김</v>
      </c>
    </row>
    <row r="330" spans="1:14" s="35" customFormat="1" ht="20.100000000000001" hidden="1" customHeight="1">
      <c r="A330" s="299"/>
      <c r="B330" s="300" t="str">
        <f t="shared" si="21"/>
        <v>.</v>
      </c>
      <c r="C330" s="201" t="s">
        <v>697</v>
      </c>
      <c r="D330" s="201"/>
      <c r="E330" s="202" t="s">
        <v>421</v>
      </c>
      <c r="F330" s="203"/>
      <c r="G330" s="201">
        <f t="shared" si="23"/>
        <v>0</v>
      </c>
      <c r="H330" s="332"/>
      <c r="J330" s="363">
        <f>SUM($K$3:K330)</f>
        <v>23</v>
      </c>
      <c r="K330" s="356"/>
      <c r="L330" s="356"/>
      <c r="M330" s="356"/>
      <c r="N330" s="361" t="str">
        <f t="shared" si="22"/>
        <v>숨김</v>
      </c>
    </row>
    <row r="331" spans="1:14" s="35" customFormat="1" ht="20.100000000000001" customHeight="1">
      <c r="A331" s="299"/>
      <c r="B331" s="300" t="str">
        <f t="shared" si="21"/>
        <v>g.</v>
      </c>
      <c r="C331" s="201" t="s">
        <v>1116</v>
      </c>
      <c r="D331" s="201"/>
      <c r="E331" s="202" t="s">
        <v>421</v>
      </c>
      <c r="F331" s="203">
        <f>구조물공총괄집계표!G198</f>
        <v>32</v>
      </c>
      <c r="G331" s="201">
        <f t="shared" si="23"/>
        <v>32</v>
      </c>
      <c r="H331" s="331"/>
      <c r="J331" s="363">
        <f>SUM($K$3:K331)</f>
        <v>23</v>
      </c>
      <c r="K331" s="356"/>
      <c r="L331" s="356" t="s">
        <v>1128</v>
      </c>
      <c r="M331" s="356"/>
      <c r="N331" s="361" t="str">
        <f t="shared" si="22"/>
        <v>1</v>
      </c>
    </row>
    <row r="332" spans="1:14" s="35" customFormat="1" ht="20.100000000000001" customHeight="1">
      <c r="A332" s="299"/>
      <c r="B332" s="300" t="str">
        <f t="shared" si="21"/>
        <v>g-1.</v>
      </c>
      <c r="C332" s="201" t="s">
        <v>1134</v>
      </c>
      <c r="D332" s="201" t="s">
        <v>1117</v>
      </c>
      <c r="E332" s="202" t="s">
        <v>109</v>
      </c>
      <c r="F332" s="203">
        <f>구조물공총괄집계표!G199</f>
        <v>16</v>
      </c>
      <c r="G332" s="201">
        <f t="shared" si="23"/>
        <v>16</v>
      </c>
      <c r="H332" s="34"/>
      <c r="J332" s="363">
        <f>SUM($K$3:K332)</f>
        <v>23</v>
      </c>
      <c r="K332" s="356"/>
      <c r="L332" s="356" t="s">
        <v>1128</v>
      </c>
      <c r="M332" s="356">
        <v>1</v>
      </c>
      <c r="N332" s="361" t="str">
        <f t="shared" si="22"/>
        <v>1</v>
      </c>
    </row>
    <row r="333" spans="1:14" s="35" customFormat="1" ht="20.100000000000001" customHeight="1">
      <c r="A333" s="299"/>
      <c r="B333" s="300" t="str">
        <f>IF(M333="",CONCATENATE(L333,"."),CONCATENATE(L333,"-",M333,"."))</f>
        <v>g-2.</v>
      </c>
      <c r="C333" s="201" t="s">
        <v>1134</v>
      </c>
      <c r="D333" s="201" t="s">
        <v>1108</v>
      </c>
      <c r="E333" s="202" t="s">
        <v>109</v>
      </c>
      <c r="F333" s="203">
        <f>구조물공총괄집계표!G200</f>
        <v>16</v>
      </c>
      <c r="G333" s="201">
        <f>SUM(F333:F333)</f>
        <v>16</v>
      </c>
      <c r="H333" s="34"/>
      <c r="J333" s="363">
        <f>SUM($K$3:K333)</f>
        <v>23</v>
      </c>
      <c r="K333" s="356"/>
      <c r="L333" s="356" t="s">
        <v>1128</v>
      </c>
      <c r="M333" s="356">
        <v>2</v>
      </c>
      <c r="N333" s="361" t="str">
        <f>IF(K333="",IF(L333="","숨김","1"),"1")</f>
        <v>1</v>
      </c>
    </row>
    <row r="334" spans="1:14" s="35" customFormat="1" ht="20.100000000000001" hidden="1" customHeight="1">
      <c r="A334" s="299"/>
      <c r="B334" s="300" t="str">
        <f>IF(M334="",CONCATENATE(L334,"."),CONCATENATE(L334,"-",M334,"."))</f>
        <v>.</v>
      </c>
      <c r="C334" s="201" t="s">
        <v>432</v>
      </c>
      <c r="D334" s="201" t="s">
        <v>1109</v>
      </c>
      <c r="E334" s="202" t="s">
        <v>109</v>
      </c>
      <c r="F334" s="203"/>
      <c r="G334" s="201">
        <f>SUM(F334:F334)</f>
        <v>0</v>
      </c>
      <c r="H334" s="34"/>
      <c r="J334" s="363">
        <f>SUM($K$3:K334)</f>
        <v>23</v>
      </c>
      <c r="K334" s="356"/>
      <c r="L334" s="356"/>
      <c r="M334" s="356"/>
      <c r="N334" s="361" t="str">
        <f>IF(K334="",IF(L334="","숨김","1"),"1")</f>
        <v>숨김</v>
      </c>
    </row>
    <row r="335" spans="1:14" s="35" customFormat="1" ht="20.100000000000001" customHeight="1">
      <c r="A335" s="299"/>
      <c r="B335" s="300" t="str">
        <f t="shared" si="21"/>
        <v>h.</v>
      </c>
      <c r="C335" s="201" t="s">
        <v>1118</v>
      </c>
      <c r="D335" s="201" t="s">
        <v>1135</v>
      </c>
      <c r="E335" s="202" t="s">
        <v>421</v>
      </c>
      <c r="F335" s="203">
        <f>구조물공총괄집계표!G197</f>
        <v>88</v>
      </c>
      <c r="G335" s="201">
        <f t="shared" si="23"/>
        <v>88</v>
      </c>
      <c r="H335" s="34"/>
      <c r="J335" s="363">
        <f>SUM($K$3:K335)</f>
        <v>23</v>
      </c>
      <c r="K335" s="356"/>
      <c r="L335" s="356" t="s">
        <v>1129</v>
      </c>
      <c r="M335" s="356"/>
      <c r="N335" s="361" t="str">
        <f t="shared" si="22"/>
        <v>1</v>
      </c>
    </row>
    <row r="336" spans="1:14" s="35" customFormat="1" ht="20.100000000000001" hidden="1" customHeight="1">
      <c r="A336" s="299"/>
      <c r="B336" s="300" t="str">
        <f t="shared" si="21"/>
        <v>.</v>
      </c>
      <c r="C336" s="201" t="s">
        <v>853</v>
      </c>
      <c r="D336" s="201" t="s">
        <v>854</v>
      </c>
      <c r="E336" s="202" t="s">
        <v>8</v>
      </c>
      <c r="F336" s="203"/>
      <c r="G336" s="201">
        <f t="shared" si="23"/>
        <v>0</v>
      </c>
      <c r="H336" s="34"/>
      <c r="J336" s="363">
        <f>SUM($K$3:K336)</f>
        <v>23</v>
      </c>
      <c r="K336" s="356"/>
      <c r="L336" s="356"/>
      <c r="M336" s="356"/>
      <c r="N336" s="361" t="str">
        <f t="shared" si="22"/>
        <v>숨김</v>
      </c>
    </row>
    <row r="337" spans="1:14" s="35" customFormat="1" ht="20.100000000000001" customHeight="1">
      <c r="A337" s="299"/>
      <c r="B337" s="300" t="str">
        <f t="shared" si="21"/>
        <v>i.</v>
      </c>
      <c r="C337" s="201" t="s">
        <v>1132</v>
      </c>
      <c r="D337" s="201"/>
      <c r="E337" s="202"/>
      <c r="F337" s="203"/>
      <c r="G337" s="201">
        <f t="shared" si="23"/>
        <v>0</v>
      </c>
      <c r="H337" s="34"/>
      <c r="J337" s="363">
        <f>SUM($K$3:K337)</f>
        <v>23</v>
      </c>
      <c r="K337" s="356"/>
      <c r="L337" s="356" t="s">
        <v>1130</v>
      </c>
      <c r="M337" s="356"/>
      <c r="N337" s="361" t="str">
        <f t="shared" si="22"/>
        <v>1</v>
      </c>
    </row>
    <row r="338" spans="1:14" s="35" customFormat="1" ht="20.100000000000001" customHeight="1">
      <c r="A338" s="299"/>
      <c r="B338" s="300" t="str">
        <f t="shared" si="21"/>
        <v>i-1.</v>
      </c>
      <c r="C338" s="201" t="s">
        <v>433</v>
      </c>
      <c r="D338" s="201" t="s">
        <v>434</v>
      </c>
      <c r="E338" s="202" t="s">
        <v>256</v>
      </c>
      <c r="F338" s="203">
        <f>구조물공총괄집계표!G205</f>
        <v>8</v>
      </c>
      <c r="G338" s="201">
        <f t="shared" si="23"/>
        <v>8</v>
      </c>
      <c r="H338" s="34"/>
      <c r="J338" s="363">
        <f>SUM($K$3:K338)</f>
        <v>23</v>
      </c>
      <c r="K338" s="356"/>
      <c r="L338" s="356" t="s">
        <v>1130</v>
      </c>
      <c r="M338" s="356">
        <v>1</v>
      </c>
      <c r="N338" s="361" t="str">
        <f t="shared" si="22"/>
        <v>1</v>
      </c>
    </row>
    <row r="339" spans="1:14" s="35" customFormat="1" ht="20.100000000000001" customHeight="1">
      <c r="A339" s="299"/>
      <c r="B339" s="300" t="str">
        <f>IF(M339="",CONCATENATE(L339,"."),CONCATENATE(L339,"-",M339,"."))</f>
        <v>i-2.</v>
      </c>
      <c r="C339" s="201" t="s">
        <v>433</v>
      </c>
      <c r="D339" s="201" t="s">
        <v>1110</v>
      </c>
      <c r="E339" s="202" t="s">
        <v>38</v>
      </c>
      <c r="F339" s="203">
        <f>구조물공총괄집계표!G206</f>
        <v>64</v>
      </c>
      <c r="G339" s="201">
        <f>SUM(F339:F339)</f>
        <v>64</v>
      </c>
      <c r="H339" s="34"/>
      <c r="J339" s="363">
        <f>SUM($K$3:K339)</f>
        <v>23</v>
      </c>
      <c r="K339" s="356"/>
      <c r="L339" s="356" t="s">
        <v>1130</v>
      </c>
      <c r="M339" s="356">
        <v>2</v>
      </c>
      <c r="N339" s="361" t="str">
        <f>IF(K339="",IF(L339="","숨김","1"),"1")</f>
        <v>1</v>
      </c>
    </row>
    <row r="340" spans="1:14" s="35" customFormat="1" ht="20.100000000000001" customHeight="1">
      <c r="A340" s="299"/>
      <c r="B340" s="300" t="str">
        <f t="shared" si="21"/>
        <v>j.</v>
      </c>
      <c r="C340" s="201" t="s">
        <v>1124</v>
      </c>
      <c r="D340" s="201" t="s">
        <v>435</v>
      </c>
      <c r="E340" s="202" t="s">
        <v>256</v>
      </c>
      <c r="F340" s="203">
        <f>구조물공총괄집계표!G203</f>
        <v>195</v>
      </c>
      <c r="G340" s="201">
        <f t="shared" si="23"/>
        <v>195</v>
      </c>
      <c r="H340" s="34"/>
      <c r="J340" s="363">
        <f>SUM($K$3:K340)</f>
        <v>23</v>
      </c>
      <c r="K340" s="356"/>
      <c r="L340" s="356" t="s">
        <v>1131</v>
      </c>
      <c r="M340" s="356"/>
      <c r="N340" s="361" t="str">
        <f t="shared" si="22"/>
        <v>1</v>
      </c>
    </row>
    <row r="341" spans="1:14" s="35" customFormat="1" ht="20.100000000000001" hidden="1" customHeight="1">
      <c r="A341" s="299"/>
      <c r="B341" s="300" t="str">
        <f t="shared" si="21"/>
        <v>.</v>
      </c>
      <c r="C341" s="201" t="s">
        <v>855</v>
      </c>
      <c r="D341" s="201"/>
      <c r="E341" s="202"/>
      <c r="F341" s="203"/>
      <c r="G341" s="201">
        <f t="shared" si="23"/>
        <v>0</v>
      </c>
      <c r="H341" s="34"/>
      <c r="J341" s="363">
        <f>SUM($K$3:K341)</f>
        <v>23</v>
      </c>
      <c r="K341" s="356"/>
      <c r="L341" s="356"/>
      <c r="M341" s="356"/>
      <c r="N341" s="361" t="str">
        <f t="shared" si="22"/>
        <v>숨김</v>
      </c>
    </row>
    <row r="342" spans="1:14" s="35" customFormat="1" ht="20.100000000000001" hidden="1" customHeight="1">
      <c r="A342" s="299"/>
      <c r="B342" s="300" t="str">
        <f t="shared" si="21"/>
        <v>.</v>
      </c>
      <c r="C342" s="201" t="s">
        <v>856</v>
      </c>
      <c r="D342" s="201" t="s">
        <v>407</v>
      </c>
      <c r="E342" s="202" t="s">
        <v>38</v>
      </c>
      <c r="F342" s="203">
        <f>구조물공총괄집계표!G207</f>
        <v>0</v>
      </c>
      <c r="G342" s="201">
        <f t="shared" si="23"/>
        <v>0</v>
      </c>
      <c r="H342" s="34"/>
      <c r="J342" s="363">
        <f>SUM($K$3:K342)</f>
        <v>23</v>
      </c>
      <c r="K342" s="356"/>
      <c r="L342" s="356"/>
      <c r="M342" s="356"/>
      <c r="N342" s="361" t="str">
        <f t="shared" si="22"/>
        <v>숨김</v>
      </c>
    </row>
    <row r="343" spans="1:14" s="35" customFormat="1" ht="20.100000000000001" hidden="1" customHeight="1">
      <c r="A343" s="299"/>
      <c r="B343" s="300" t="str">
        <f t="shared" si="21"/>
        <v>.</v>
      </c>
      <c r="C343" s="201" t="s">
        <v>856</v>
      </c>
      <c r="D343" s="201" t="s">
        <v>821</v>
      </c>
      <c r="E343" s="202" t="s">
        <v>38</v>
      </c>
      <c r="F343" s="203"/>
      <c r="G343" s="201">
        <f t="shared" si="23"/>
        <v>0</v>
      </c>
      <c r="H343" s="34"/>
      <c r="J343" s="363">
        <f>SUM($K$3:K343)</f>
        <v>23</v>
      </c>
      <c r="K343" s="356"/>
      <c r="L343" s="356"/>
      <c r="M343" s="356"/>
      <c r="N343" s="361" t="str">
        <f t="shared" si="22"/>
        <v>숨김</v>
      </c>
    </row>
    <row r="344" spans="1:14" s="35" customFormat="1" ht="20.100000000000001" hidden="1" customHeight="1">
      <c r="A344" s="299"/>
      <c r="B344" s="300" t="str">
        <f t="shared" si="21"/>
        <v>.</v>
      </c>
      <c r="C344" s="201" t="s">
        <v>856</v>
      </c>
      <c r="D344" s="201" t="s">
        <v>822</v>
      </c>
      <c r="E344" s="202" t="s">
        <v>38</v>
      </c>
      <c r="F344" s="203">
        <f>구조물공총괄집계표!G209</f>
        <v>0</v>
      </c>
      <c r="G344" s="201">
        <f t="shared" si="23"/>
        <v>0</v>
      </c>
      <c r="H344" s="34"/>
      <c r="J344" s="363">
        <f>SUM($K$3:K344)</f>
        <v>23</v>
      </c>
      <c r="K344" s="356"/>
      <c r="L344" s="356"/>
      <c r="M344" s="356"/>
      <c r="N344" s="361" t="str">
        <f t="shared" si="22"/>
        <v>숨김</v>
      </c>
    </row>
    <row r="345" spans="1:14" s="35" customFormat="1" ht="20.100000000000001" hidden="1" customHeight="1">
      <c r="A345" s="299"/>
      <c r="B345" s="300" t="str">
        <f t="shared" si="21"/>
        <v>.</v>
      </c>
      <c r="C345" s="201" t="s">
        <v>862</v>
      </c>
      <c r="D345" s="201" t="s">
        <v>863</v>
      </c>
      <c r="E345" s="202" t="s">
        <v>860</v>
      </c>
      <c r="F345" s="203">
        <f>구조물공총괄집계표!G210</f>
        <v>0</v>
      </c>
      <c r="G345" s="201">
        <f t="shared" si="23"/>
        <v>0</v>
      </c>
      <c r="H345" s="34"/>
      <c r="J345" s="363">
        <f>SUM($K$3:K345)</f>
        <v>23</v>
      </c>
      <c r="K345" s="356"/>
      <c r="L345" s="356"/>
      <c r="M345" s="356"/>
      <c r="N345" s="361" t="str">
        <f t="shared" si="22"/>
        <v>숨김</v>
      </c>
    </row>
    <row r="346" spans="1:14" s="35" customFormat="1" ht="20.100000000000001" hidden="1" customHeight="1">
      <c r="A346" s="299"/>
      <c r="B346" s="300" t="str">
        <f t="shared" si="21"/>
        <v>.</v>
      </c>
      <c r="C346" s="201" t="s">
        <v>857</v>
      </c>
      <c r="D346" s="201"/>
      <c r="E346" s="202" t="s">
        <v>860</v>
      </c>
      <c r="F346" s="203">
        <f>구조물공총괄집계표!G211</f>
        <v>0</v>
      </c>
      <c r="G346" s="201">
        <f t="shared" si="23"/>
        <v>0</v>
      </c>
      <c r="H346" s="34"/>
      <c r="J346" s="363">
        <f>SUM($K$3:K346)</f>
        <v>23</v>
      </c>
      <c r="K346" s="356"/>
      <c r="L346" s="356"/>
      <c r="M346" s="356"/>
      <c r="N346" s="361" t="str">
        <f t="shared" si="22"/>
        <v>숨김</v>
      </c>
    </row>
    <row r="347" spans="1:14" s="35" customFormat="1" ht="20.100000000000001" hidden="1" customHeight="1">
      <c r="A347" s="299"/>
      <c r="B347" s="300" t="str">
        <f t="shared" si="21"/>
        <v>.</v>
      </c>
      <c r="C347" s="201" t="s">
        <v>858</v>
      </c>
      <c r="D347" s="201"/>
      <c r="E347" s="202" t="s">
        <v>861</v>
      </c>
      <c r="F347" s="203">
        <f>구조물공총괄집계표!G212</f>
        <v>0</v>
      </c>
      <c r="G347" s="201">
        <f t="shared" si="23"/>
        <v>0</v>
      </c>
      <c r="H347" s="34"/>
      <c r="J347" s="363">
        <f>SUM($K$3:K347)</f>
        <v>23</v>
      </c>
      <c r="K347" s="356"/>
      <c r="L347" s="356"/>
      <c r="M347" s="356"/>
      <c r="N347" s="361" t="str">
        <f t="shared" si="22"/>
        <v>숨김</v>
      </c>
    </row>
    <row r="348" spans="1:14" s="35" customFormat="1" ht="20.100000000000001" hidden="1" customHeight="1">
      <c r="A348" s="299"/>
      <c r="B348" s="300" t="str">
        <f t="shared" si="21"/>
        <v>.</v>
      </c>
      <c r="C348" s="201" t="s">
        <v>859</v>
      </c>
      <c r="D348" s="201"/>
      <c r="E348" s="202" t="s">
        <v>860</v>
      </c>
      <c r="F348" s="203">
        <f>구조물공총괄집계표!G213</f>
        <v>0</v>
      </c>
      <c r="G348" s="201">
        <f t="shared" si="23"/>
        <v>0</v>
      </c>
      <c r="H348" s="34"/>
      <c r="J348" s="363">
        <f>SUM($K$3:K348)</f>
        <v>23</v>
      </c>
      <c r="K348" s="356"/>
      <c r="L348" s="356"/>
      <c r="M348" s="356"/>
      <c r="N348" s="361" t="str">
        <f t="shared" si="22"/>
        <v>숨김</v>
      </c>
    </row>
    <row r="349" spans="1:14" s="35" customFormat="1" ht="20.100000000000001" customHeight="1">
      <c r="A349" s="299"/>
      <c r="B349" s="300" t="str">
        <f t="shared" si="21"/>
        <v>k.</v>
      </c>
      <c r="C349" s="201" t="s">
        <v>436</v>
      </c>
      <c r="D349" s="201"/>
      <c r="E349" s="202"/>
      <c r="F349" s="203"/>
      <c r="G349" s="201"/>
      <c r="H349" s="34"/>
      <c r="J349" s="363">
        <f>SUM($K$3:K349)</f>
        <v>23</v>
      </c>
      <c r="K349" s="356"/>
      <c r="L349" s="356" t="s">
        <v>1176</v>
      </c>
      <c r="M349" s="356"/>
      <c r="N349" s="361" t="str">
        <f t="shared" si="22"/>
        <v>1</v>
      </c>
    </row>
    <row r="350" spans="1:14" s="35" customFormat="1" ht="20.100000000000001" customHeight="1">
      <c r="A350" s="299"/>
      <c r="B350" s="300" t="str">
        <f t="shared" si="21"/>
        <v>k-1.</v>
      </c>
      <c r="C350" s="201" t="s">
        <v>437</v>
      </c>
      <c r="D350" s="201" t="s">
        <v>420</v>
      </c>
      <c r="E350" s="202" t="s">
        <v>438</v>
      </c>
      <c r="F350" s="205">
        <f>구조물공총괄집계표!G223</f>
        <v>458.89100000000002</v>
      </c>
      <c r="G350" s="206">
        <f t="shared" ref="G350:G361" si="24">SUM(F350:F350)</f>
        <v>458.89100000000002</v>
      </c>
      <c r="H350" s="34"/>
      <c r="J350" s="363">
        <f>SUM($K$3:K350)</f>
        <v>23</v>
      </c>
      <c r="K350" s="356"/>
      <c r="L350" s="356" t="s">
        <v>1176</v>
      </c>
      <c r="M350" s="356">
        <v>1</v>
      </c>
      <c r="N350" s="361" t="str">
        <f t="shared" si="22"/>
        <v>1</v>
      </c>
    </row>
    <row r="351" spans="1:14" s="35" customFormat="1" ht="20.100000000000001" customHeight="1">
      <c r="A351" s="299"/>
      <c r="B351" s="300" t="str">
        <f t="shared" si="21"/>
        <v>k-2.</v>
      </c>
      <c r="C351" s="201" t="s">
        <v>439</v>
      </c>
      <c r="D351" s="201" t="s">
        <v>848</v>
      </c>
      <c r="E351" s="202" t="s">
        <v>438</v>
      </c>
      <c r="F351" s="205">
        <f>구조물공총괄집계표!G225</f>
        <v>6.1980000000000004</v>
      </c>
      <c r="G351" s="206">
        <f t="shared" si="24"/>
        <v>6.1980000000000004</v>
      </c>
      <c r="H351" s="34"/>
      <c r="J351" s="363">
        <f>SUM($K$3:K351)</f>
        <v>23</v>
      </c>
      <c r="K351" s="356"/>
      <c r="L351" s="356" t="s">
        <v>1176</v>
      </c>
      <c r="M351" s="356">
        <v>2</v>
      </c>
      <c r="N351" s="361" t="str">
        <f t="shared" si="22"/>
        <v>1</v>
      </c>
    </row>
    <row r="352" spans="1:14" s="35" customFormat="1" ht="20.100000000000001" customHeight="1">
      <c r="A352" s="299"/>
      <c r="B352" s="300" t="str">
        <f t="shared" si="21"/>
        <v>k-3.</v>
      </c>
      <c r="C352" s="201" t="s">
        <v>439</v>
      </c>
      <c r="D352" s="201" t="s">
        <v>428</v>
      </c>
      <c r="E352" s="202" t="s">
        <v>438</v>
      </c>
      <c r="F352" s="205">
        <f>구조물공총괄집계표!G224</f>
        <v>104.22199999999999</v>
      </c>
      <c r="G352" s="206">
        <f t="shared" si="24"/>
        <v>104.22199999999999</v>
      </c>
      <c r="H352" s="34"/>
      <c r="J352" s="363">
        <f>SUM($K$3:K352)</f>
        <v>23</v>
      </c>
      <c r="K352" s="356"/>
      <c r="L352" s="356" t="s">
        <v>1176</v>
      </c>
      <c r="M352" s="356">
        <v>3</v>
      </c>
      <c r="N352" s="361" t="str">
        <f t="shared" si="22"/>
        <v>1</v>
      </c>
    </row>
    <row r="353" spans="1:14" s="35" customFormat="1" ht="20.100000000000001" customHeight="1">
      <c r="A353" s="304"/>
      <c r="B353" s="300" t="str">
        <f>IF(M353="",CONCATENATE(L353,"."),CONCATENATE(L353,"-",M353,"."))</f>
        <v>k-4.</v>
      </c>
      <c r="C353" s="201" t="s">
        <v>440</v>
      </c>
      <c r="D353" s="201" t="s">
        <v>1110</v>
      </c>
      <c r="E353" s="202" t="s">
        <v>438</v>
      </c>
      <c r="F353" s="205">
        <f>구조물공총괄집계표!G226</f>
        <v>1.1200000000000001</v>
      </c>
      <c r="G353" s="206">
        <f>SUM(F353:F353)</f>
        <v>1.1200000000000001</v>
      </c>
      <c r="H353" s="34"/>
      <c r="J353" s="363">
        <f>SUM($K$3:K353)</f>
        <v>23</v>
      </c>
      <c r="K353" s="356"/>
      <c r="L353" s="356" t="s">
        <v>1176</v>
      </c>
      <c r="M353" s="356">
        <v>4</v>
      </c>
      <c r="N353" s="361" t="str">
        <f>IF(K353="",IF(L353="","숨김","1"),"1")</f>
        <v>1</v>
      </c>
    </row>
    <row r="354" spans="1:14" s="35" customFormat="1" ht="20.100000000000001" customHeight="1">
      <c r="A354" s="304"/>
      <c r="B354" s="300" t="str">
        <f t="shared" ref="B354:B431" si="25">IF(M354="",CONCATENATE(L354,"."),CONCATENATE(L354,"-",M354,"."))</f>
        <v>k-5.</v>
      </c>
      <c r="C354" s="201" t="s">
        <v>440</v>
      </c>
      <c r="D354" s="201" t="s">
        <v>434</v>
      </c>
      <c r="E354" s="202" t="s">
        <v>438</v>
      </c>
      <c r="F354" s="205">
        <f>구조물공총괄집계표!G227</f>
        <v>14.507999999999999</v>
      </c>
      <c r="G354" s="206">
        <f t="shared" si="24"/>
        <v>14.507999999999999</v>
      </c>
      <c r="H354" s="34"/>
      <c r="J354" s="363">
        <f>SUM($K$3:K354)</f>
        <v>23</v>
      </c>
      <c r="K354" s="356"/>
      <c r="L354" s="356" t="s">
        <v>1176</v>
      </c>
      <c r="M354" s="356">
        <v>5</v>
      </c>
      <c r="N354" s="361" t="str">
        <f t="shared" ref="N354:N431" si="26">IF(K354="",IF(L354="","숨김","1"),"1")</f>
        <v>1</v>
      </c>
    </row>
    <row r="355" spans="1:14" s="35" customFormat="1" ht="20.100000000000001" customHeight="1">
      <c r="A355" s="304"/>
      <c r="B355" s="300" t="str">
        <f>IF(M355="",CONCATENATE(L355,"."),CONCATENATE(L355,"-",M355,"."))</f>
        <v>k-6.</v>
      </c>
      <c r="C355" s="201" t="s">
        <v>1136</v>
      </c>
      <c r="D355" s="201" t="s">
        <v>435</v>
      </c>
      <c r="E355" s="202" t="s">
        <v>438</v>
      </c>
      <c r="F355" s="26">
        <f>구조물공총괄집계표!G228</f>
        <v>3.6539999999999999</v>
      </c>
      <c r="G355" s="206">
        <f>SUM(F355:F355)</f>
        <v>3.6539999999999999</v>
      </c>
      <c r="H355" s="34"/>
      <c r="J355" s="363">
        <f>SUM($K$3:K355)</f>
        <v>23</v>
      </c>
      <c r="K355" s="356"/>
      <c r="L355" s="356" t="s">
        <v>1176</v>
      </c>
      <c r="M355" s="356">
        <v>6</v>
      </c>
      <c r="N355" s="361" t="str">
        <f>IF(K355="",IF(L355="","숨김","1"),"1")</f>
        <v>1</v>
      </c>
    </row>
    <row r="356" spans="1:14" s="35" customFormat="1" ht="20.100000000000001" customHeight="1">
      <c r="A356" s="305"/>
      <c r="B356" s="300" t="str">
        <f t="shared" si="25"/>
        <v>k-7.</v>
      </c>
      <c r="C356" s="201" t="s">
        <v>1136</v>
      </c>
      <c r="D356" s="201" t="s">
        <v>1085</v>
      </c>
      <c r="E356" s="202" t="s">
        <v>438</v>
      </c>
      <c r="F356" s="26">
        <f>구조물공총괄집계표!G229</f>
        <v>3.089</v>
      </c>
      <c r="G356" s="206">
        <f t="shared" si="24"/>
        <v>3.089</v>
      </c>
      <c r="H356" s="34"/>
      <c r="J356" s="363">
        <f>SUM($K$3:K356)</f>
        <v>23</v>
      </c>
      <c r="K356" s="356"/>
      <c r="L356" s="356" t="s">
        <v>1176</v>
      </c>
      <c r="M356" s="356">
        <v>7</v>
      </c>
      <c r="N356" s="361" t="str">
        <f t="shared" si="26"/>
        <v>1</v>
      </c>
    </row>
    <row r="357" spans="1:14" s="35" customFormat="1" ht="20.100000000000001" customHeight="1">
      <c r="A357" s="301" t="str">
        <f>A281</f>
        <v>1.</v>
      </c>
      <c r="B357" s="298" t="str">
        <f>IF(J357&gt;9,CONCATENATE(J357,"."),CONCATENATE("0",J357,"."))</f>
        <v>24.</v>
      </c>
      <c r="C357" s="257" t="s">
        <v>921</v>
      </c>
      <c r="D357" s="257"/>
      <c r="E357" s="316" t="s">
        <v>79</v>
      </c>
      <c r="F357" s="271">
        <v>1</v>
      </c>
      <c r="G357" s="257">
        <f t="shared" si="24"/>
        <v>1</v>
      </c>
      <c r="H357" s="264"/>
      <c r="J357" s="363">
        <f>SUM($K$3:K357)</f>
        <v>24</v>
      </c>
      <c r="K357" s="356">
        <v>1</v>
      </c>
      <c r="L357" s="356"/>
      <c r="M357" s="356"/>
      <c r="N357" s="361" t="str">
        <f t="shared" si="26"/>
        <v>1</v>
      </c>
    </row>
    <row r="358" spans="1:14" s="35" customFormat="1" ht="20.100000000000001" hidden="1" customHeight="1">
      <c r="A358" s="299"/>
      <c r="B358" s="300" t="str">
        <f t="shared" si="25"/>
        <v>.</v>
      </c>
      <c r="C358" s="201" t="s">
        <v>922</v>
      </c>
      <c r="D358" s="201"/>
      <c r="E358" s="202" t="s">
        <v>76</v>
      </c>
      <c r="F358" s="325"/>
      <c r="G358" s="201">
        <f t="shared" si="24"/>
        <v>0</v>
      </c>
      <c r="H358" s="34"/>
      <c r="J358" s="363">
        <f>SUM($K$3:K358)</f>
        <v>24</v>
      </c>
      <c r="K358" s="356"/>
      <c r="L358" s="356"/>
      <c r="M358" s="356"/>
      <c r="N358" s="361" t="str">
        <f t="shared" si="26"/>
        <v>숨김</v>
      </c>
    </row>
    <row r="359" spans="1:14" s="35" customFormat="1" ht="20.100000000000001" hidden="1" customHeight="1">
      <c r="A359" s="299"/>
      <c r="B359" s="300" t="str">
        <f t="shared" si="25"/>
        <v>.</v>
      </c>
      <c r="C359" s="201" t="s">
        <v>924</v>
      </c>
      <c r="D359" s="201"/>
      <c r="E359" s="202" t="s">
        <v>76</v>
      </c>
      <c r="F359" s="325"/>
      <c r="G359" s="201">
        <f t="shared" si="24"/>
        <v>0</v>
      </c>
      <c r="H359" s="34"/>
      <c r="J359" s="363">
        <f>SUM($K$3:K359)</f>
        <v>24</v>
      </c>
      <c r="K359" s="356"/>
      <c r="L359" s="356"/>
      <c r="M359" s="356"/>
      <c r="N359" s="361" t="str">
        <f t="shared" si="26"/>
        <v>숨김</v>
      </c>
    </row>
    <row r="360" spans="1:14" s="35" customFormat="1" ht="20.100000000000001" hidden="1" customHeight="1">
      <c r="A360" s="299"/>
      <c r="B360" s="300" t="str">
        <f t="shared" si="25"/>
        <v>.</v>
      </c>
      <c r="C360" s="201" t="s">
        <v>926</v>
      </c>
      <c r="D360" s="201"/>
      <c r="E360" s="202" t="s">
        <v>76</v>
      </c>
      <c r="F360" s="325"/>
      <c r="G360" s="201">
        <f t="shared" si="24"/>
        <v>0</v>
      </c>
      <c r="H360" s="34"/>
      <c r="J360" s="363">
        <f>SUM($K$3:K360)</f>
        <v>24</v>
      </c>
      <c r="K360" s="356"/>
      <c r="L360" s="356"/>
      <c r="M360" s="356"/>
      <c r="N360" s="361" t="str">
        <f t="shared" si="26"/>
        <v>숨김</v>
      </c>
    </row>
    <row r="361" spans="1:14" s="35" customFormat="1" ht="20.100000000000001" hidden="1" customHeight="1">
      <c r="A361" s="299"/>
      <c r="B361" s="300" t="str">
        <f t="shared" si="25"/>
        <v>.</v>
      </c>
      <c r="C361" s="201" t="s">
        <v>927</v>
      </c>
      <c r="D361" s="201"/>
      <c r="E361" s="202" t="s">
        <v>923</v>
      </c>
      <c r="F361" s="325"/>
      <c r="G361" s="201">
        <f t="shared" si="24"/>
        <v>0</v>
      </c>
      <c r="H361" s="34"/>
      <c r="J361" s="363">
        <f>SUM($K$3:K361)</f>
        <v>24</v>
      </c>
      <c r="K361" s="356"/>
      <c r="L361" s="356"/>
      <c r="M361" s="356"/>
      <c r="N361" s="361" t="str">
        <f t="shared" si="26"/>
        <v>숨김</v>
      </c>
    </row>
    <row r="362" spans="1:14" s="35" customFormat="1" ht="20.100000000000001" hidden="1" customHeight="1">
      <c r="A362" s="299"/>
      <c r="B362" s="300" t="str">
        <f>IF(M362="",CONCATENATE(L362,"."),CONCATENATE(L362,"-",M362,"."))</f>
        <v>.</v>
      </c>
      <c r="C362" s="201" t="s">
        <v>925</v>
      </c>
      <c r="D362" s="201"/>
      <c r="E362" s="202" t="s">
        <v>108</v>
      </c>
      <c r="F362" s="325"/>
      <c r="G362" s="201">
        <f>SUM(F362:F362)</f>
        <v>0</v>
      </c>
      <c r="H362" s="34"/>
      <c r="J362" s="363">
        <f>SUM($K$3:K362)</f>
        <v>24</v>
      </c>
      <c r="K362" s="356"/>
      <c r="L362" s="356"/>
      <c r="M362" s="356"/>
      <c r="N362" s="361" t="str">
        <f>IF(K362="",IF(L362="","숨김","1"),"1")</f>
        <v>숨김</v>
      </c>
    </row>
    <row r="363" spans="1:14" s="35" customFormat="1" ht="20.100000000000001" hidden="1" customHeight="1">
      <c r="A363" s="299"/>
      <c r="B363" s="300" t="str">
        <f>IF(M363="",CONCATENATE(L363,"."),CONCATENATE(L363,"-",M363,"."))</f>
        <v>.</v>
      </c>
      <c r="C363" s="201" t="s">
        <v>985</v>
      </c>
      <c r="D363" s="201"/>
      <c r="E363" s="202" t="s">
        <v>108</v>
      </c>
      <c r="F363" s="325"/>
      <c r="G363" s="201">
        <f>SUM(F363:F363)</f>
        <v>0</v>
      </c>
      <c r="H363" s="34"/>
      <c r="J363" s="363">
        <f>SUM($K$3:K363)</f>
        <v>24</v>
      </c>
      <c r="K363" s="356"/>
      <c r="L363" s="356"/>
      <c r="M363" s="356"/>
      <c r="N363" s="361" t="str">
        <f>IF(K363="",IF(L363="","숨김","1"),"1")</f>
        <v>숨김</v>
      </c>
    </row>
    <row r="364" spans="1:14" s="35" customFormat="1" ht="20.100000000000001" hidden="1" customHeight="1">
      <c r="A364" s="299"/>
      <c r="B364" s="300" t="str">
        <f>IF(M364="",CONCATENATE(L364,"."),CONCATENATE(L364,"-",M364,"."))</f>
        <v>.</v>
      </c>
      <c r="C364" s="201" t="s">
        <v>986</v>
      </c>
      <c r="D364" s="201"/>
      <c r="E364" s="202" t="s">
        <v>108</v>
      </c>
      <c r="F364" s="325"/>
      <c r="G364" s="201">
        <f>SUM(F364:F364)</f>
        <v>0</v>
      </c>
      <c r="H364" s="34"/>
      <c r="J364" s="363">
        <f>SUM($K$3:K364)</f>
        <v>24</v>
      </c>
      <c r="K364" s="356"/>
      <c r="L364" s="356"/>
      <c r="M364" s="356"/>
      <c r="N364" s="361" t="str">
        <f>IF(K364="",IF(L364="","숨김","1"),"1")</f>
        <v>숨김</v>
      </c>
    </row>
    <row r="365" spans="1:14" s="35" customFormat="1" ht="20.100000000000001" hidden="1" customHeight="1">
      <c r="A365" s="299"/>
      <c r="B365" s="300" t="str">
        <f>IF(M365="",CONCATENATE(L365,"."),CONCATENATE(L365,"-",M365,"."))</f>
        <v>.</v>
      </c>
      <c r="C365" s="201" t="s">
        <v>987</v>
      </c>
      <c r="D365" s="201"/>
      <c r="E365" s="202" t="s">
        <v>38</v>
      </c>
      <c r="F365" s="404"/>
      <c r="G365" s="206">
        <f>SUM(F365:F365)</f>
        <v>0</v>
      </c>
      <c r="H365" s="34"/>
      <c r="J365" s="363">
        <f>SUM($K$3:K365)</f>
        <v>24</v>
      </c>
      <c r="K365" s="356"/>
      <c r="L365" s="356"/>
      <c r="M365" s="356"/>
      <c r="N365" s="361" t="str">
        <f>IF(K365="",IF(L365="","숨김","1"),"1")</f>
        <v>숨김</v>
      </c>
    </row>
    <row r="366" spans="1:14" s="35" customFormat="1" ht="20.100000000000001" hidden="1" customHeight="1">
      <c r="A366" s="299"/>
      <c r="B366" s="300" t="str">
        <f>IF(M366="",CONCATENATE(L366,"."),CONCATENATE(L366,"-",M366,"."))</f>
        <v>.</v>
      </c>
      <c r="C366" s="201" t="s">
        <v>988</v>
      </c>
      <c r="D366" s="201"/>
      <c r="E366" s="202" t="s">
        <v>38</v>
      </c>
      <c r="F366" s="404"/>
      <c r="G366" s="206">
        <f>SUM(F366:F366)</f>
        <v>0</v>
      </c>
      <c r="H366" s="34"/>
      <c r="J366" s="363">
        <f>SUM($K$3:K366)</f>
        <v>24</v>
      </c>
      <c r="K366" s="356"/>
      <c r="L366" s="356"/>
      <c r="M366" s="356"/>
      <c r="N366" s="361" t="str">
        <f>IF(K366="",IF(L366="","숨김","1"),"1")</f>
        <v>숨김</v>
      </c>
    </row>
    <row r="367" spans="1:14" s="265" customFormat="1" ht="20.100000000000001" hidden="1" customHeight="1">
      <c r="A367" s="301" t="str">
        <f>A357</f>
        <v>1.</v>
      </c>
      <c r="B367" s="298" t="str">
        <f>IF(J367&gt;9,CONCATENATE(J367,"."),CONCATENATE("0",J367,"."))</f>
        <v>24.</v>
      </c>
      <c r="C367" s="257" t="s">
        <v>787</v>
      </c>
      <c r="D367" s="257"/>
      <c r="E367" s="258"/>
      <c r="F367" s="271"/>
      <c r="G367" s="257"/>
      <c r="H367" s="264"/>
      <c r="J367" s="363">
        <f>SUM($K$3:K367)</f>
        <v>24</v>
      </c>
      <c r="K367" s="359"/>
      <c r="L367" s="359"/>
      <c r="M367" s="359"/>
      <c r="N367" s="361" t="str">
        <f t="shared" si="26"/>
        <v>숨김</v>
      </c>
    </row>
    <row r="368" spans="1:14" s="265" customFormat="1" ht="20.100000000000001" hidden="1" customHeight="1">
      <c r="A368" s="306"/>
      <c r="B368" s="300" t="str">
        <f t="shared" si="25"/>
        <v>.</v>
      </c>
      <c r="C368" s="201" t="s">
        <v>778</v>
      </c>
      <c r="D368" s="201" t="s">
        <v>775</v>
      </c>
      <c r="E368" s="202" t="s">
        <v>8</v>
      </c>
      <c r="F368" s="203"/>
      <c r="G368" s="201">
        <f>SUM(F368:F368)</f>
        <v>0</v>
      </c>
      <c r="H368" s="286"/>
      <c r="J368" s="363">
        <f>SUM($K$3:K368)</f>
        <v>24</v>
      </c>
      <c r="K368" s="359"/>
      <c r="L368" s="359"/>
      <c r="M368" s="359"/>
      <c r="N368" s="361" t="str">
        <f t="shared" si="26"/>
        <v>숨김</v>
      </c>
    </row>
    <row r="369" spans="1:14" s="265" customFormat="1" ht="20.100000000000001" hidden="1" customHeight="1">
      <c r="A369" s="306"/>
      <c r="B369" s="300" t="str">
        <f t="shared" si="25"/>
        <v>.</v>
      </c>
      <c r="C369" s="201" t="s">
        <v>777</v>
      </c>
      <c r="D369" s="201" t="s">
        <v>903</v>
      </c>
      <c r="E369" s="202" t="s">
        <v>76</v>
      </c>
      <c r="F369" s="203">
        <f>구조물공총괄집계표!G123</f>
        <v>0</v>
      </c>
      <c r="G369" s="201">
        <f>SUM(F369:F369)</f>
        <v>0</v>
      </c>
      <c r="H369" s="286"/>
      <c r="J369" s="363">
        <f>SUM($K$3:K369)</f>
        <v>24</v>
      </c>
      <c r="K369" s="359"/>
      <c r="L369" s="359"/>
      <c r="M369" s="359"/>
      <c r="N369" s="361" t="str">
        <f t="shared" si="26"/>
        <v>숨김</v>
      </c>
    </row>
    <row r="370" spans="1:14" s="265" customFormat="1" ht="20.100000000000001" hidden="1" customHeight="1">
      <c r="A370" s="301" t="str">
        <f>A367</f>
        <v>1.</v>
      </c>
      <c r="B370" s="298" t="str">
        <f>IF(J370&gt;9,CONCATENATE(J370,"."),CONCATENATE("0",J370,"."))</f>
        <v>24.</v>
      </c>
      <c r="C370" s="257" t="s">
        <v>566</v>
      </c>
      <c r="D370" s="257"/>
      <c r="E370" s="295"/>
      <c r="F370" s="313"/>
      <c r="G370" s="294"/>
      <c r="H370" s="264"/>
      <c r="J370" s="363">
        <f>SUM($K$3:K370)</f>
        <v>24</v>
      </c>
      <c r="K370" s="359"/>
      <c r="L370" s="359"/>
      <c r="M370" s="359"/>
      <c r="N370" s="361" t="str">
        <f t="shared" si="26"/>
        <v>숨김</v>
      </c>
    </row>
    <row r="371" spans="1:14" s="265" customFormat="1" ht="20.100000000000001" hidden="1" customHeight="1">
      <c r="A371" s="306"/>
      <c r="B371" s="300" t="str">
        <f t="shared" si="25"/>
        <v>.</v>
      </c>
      <c r="C371" s="201" t="s">
        <v>292</v>
      </c>
      <c r="D371" s="201"/>
      <c r="E371" s="202"/>
      <c r="F371" s="203"/>
      <c r="G371" s="201">
        <f>SUM(F371:F371)</f>
        <v>0</v>
      </c>
      <c r="H371" s="286"/>
      <c r="J371" s="363">
        <f>SUM($K$3:K371)</f>
        <v>24</v>
      </c>
      <c r="K371" s="359"/>
      <c r="L371" s="359"/>
      <c r="M371" s="359"/>
      <c r="N371" s="361" t="str">
        <f t="shared" si="26"/>
        <v>숨김</v>
      </c>
    </row>
    <row r="372" spans="1:14" s="265" customFormat="1" ht="20.100000000000001" hidden="1" customHeight="1">
      <c r="A372" s="306"/>
      <c r="B372" s="300" t="str">
        <f t="shared" si="25"/>
        <v>.</v>
      </c>
      <c r="C372" s="201" t="s">
        <v>293</v>
      </c>
      <c r="D372" s="201" t="s">
        <v>479</v>
      </c>
      <c r="E372" s="202" t="s">
        <v>4</v>
      </c>
      <c r="F372" s="203"/>
      <c r="G372" s="201">
        <f t="shared" ref="G372:G385" si="27">SUM(F372:F372)</f>
        <v>0</v>
      </c>
      <c r="H372" s="286"/>
      <c r="J372" s="363">
        <f>SUM($K$3:K372)</f>
        <v>24</v>
      </c>
      <c r="K372" s="359"/>
      <c r="L372" s="359"/>
      <c r="M372" s="359"/>
      <c r="N372" s="361" t="str">
        <f t="shared" si="26"/>
        <v>숨김</v>
      </c>
    </row>
    <row r="373" spans="1:14" s="265" customFormat="1" ht="20.100000000000001" hidden="1" customHeight="1">
      <c r="A373" s="306"/>
      <c r="B373" s="300" t="str">
        <f t="shared" si="25"/>
        <v>.</v>
      </c>
      <c r="C373" s="201" t="s">
        <v>293</v>
      </c>
      <c r="D373" s="201" t="s">
        <v>257</v>
      </c>
      <c r="E373" s="202" t="s">
        <v>4</v>
      </c>
      <c r="F373" s="203"/>
      <c r="G373" s="201">
        <f t="shared" si="27"/>
        <v>0</v>
      </c>
      <c r="H373" s="286"/>
      <c r="J373" s="363">
        <f>SUM($K$3:K373)</f>
        <v>24</v>
      </c>
      <c r="K373" s="359"/>
      <c r="L373" s="359"/>
      <c r="M373" s="359"/>
      <c r="N373" s="361" t="str">
        <f t="shared" si="26"/>
        <v>숨김</v>
      </c>
    </row>
    <row r="374" spans="1:14" s="265" customFormat="1" ht="20.100000000000001" hidden="1" customHeight="1">
      <c r="A374" s="306"/>
      <c r="B374" s="300" t="str">
        <f t="shared" si="25"/>
        <v>.</v>
      </c>
      <c r="C374" s="201" t="s">
        <v>300</v>
      </c>
      <c r="D374" s="201"/>
      <c r="E374" s="202" t="s">
        <v>8</v>
      </c>
      <c r="F374" s="203"/>
      <c r="G374" s="201">
        <f t="shared" si="27"/>
        <v>0</v>
      </c>
      <c r="H374" s="286"/>
      <c r="J374" s="363">
        <f>SUM($K$3:K374)</f>
        <v>24</v>
      </c>
      <c r="K374" s="359"/>
      <c r="L374" s="359"/>
      <c r="M374" s="359"/>
      <c r="N374" s="361" t="str">
        <f t="shared" si="26"/>
        <v>숨김</v>
      </c>
    </row>
    <row r="375" spans="1:14" s="265" customFormat="1" ht="20.100000000000001" hidden="1" customHeight="1">
      <c r="A375" s="306"/>
      <c r="B375" s="300" t="str">
        <f t="shared" si="25"/>
        <v>.</v>
      </c>
      <c r="C375" s="201" t="s">
        <v>301</v>
      </c>
      <c r="D375" s="201" t="s">
        <v>598</v>
      </c>
      <c r="E375" s="202" t="s">
        <v>4</v>
      </c>
      <c r="F375" s="203"/>
      <c r="G375" s="201">
        <f t="shared" si="27"/>
        <v>0</v>
      </c>
      <c r="H375" s="286"/>
      <c r="J375" s="363">
        <f>SUM($K$3:K375)</f>
        <v>24</v>
      </c>
      <c r="K375" s="359"/>
      <c r="L375" s="359"/>
      <c r="M375" s="359"/>
      <c r="N375" s="361" t="str">
        <f t="shared" si="26"/>
        <v>숨김</v>
      </c>
    </row>
    <row r="376" spans="1:14" s="265" customFormat="1" ht="20.100000000000001" hidden="1" customHeight="1">
      <c r="A376" s="306"/>
      <c r="B376" s="300" t="str">
        <f t="shared" si="25"/>
        <v>.</v>
      </c>
      <c r="C376" s="201" t="s">
        <v>302</v>
      </c>
      <c r="D376" s="201"/>
      <c r="E376" s="202" t="s">
        <v>303</v>
      </c>
      <c r="F376" s="203"/>
      <c r="G376" s="201">
        <f t="shared" si="27"/>
        <v>0</v>
      </c>
      <c r="H376" s="286"/>
      <c r="J376" s="363">
        <f>SUM($K$3:K376)</f>
        <v>24</v>
      </c>
      <c r="K376" s="359"/>
      <c r="L376" s="359"/>
      <c r="M376" s="359"/>
      <c r="N376" s="361" t="str">
        <f t="shared" si="26"/>
        <v>숨김</v>
      </c>
    </row>
    <row r="377" spans="1:14" s="265" customFormat="1" ht="20.100000000000001" hidden="1" customHeight="1">
      <c r="A377" s="306"/>
      <c r="B377" s="300" t="str">
        <f t="shared" si="25"/>
        <v>.</v>
      </c>
      <c r="C377" s="201" t="s">
        <v>567</v>
      </c>
      <c r="D377" s="201"/>
      <c r="E377" s="317"/>
      <c r="F377" s="203"/>
      <c r="G377" s="201">
        <f t="shared" si="27"/>
        <v>0</v>
      </c>
      <c r="H377" s="286"/>
      <c r="J377" s="363">
        <f>SUM($K$3:K377)</f>
        <v>24</v>
      </c>
      <c r="K377" s="359"/>
      <c r="L377" s="359"/>
      <c r="M377" s="359"/>
      <c r="N377" s="361" t="str">
        <f t="shared" si="26"/>
        <v>숨김</v>
      </c>
    </row>
    <row r="378" spans="1:14" s="265" customFormat="1" ht="20.100000000000001" hidden="1" customHeight="1">
      <c r="A378" s="306"/>
      <c r="B378" s="300" t="str">
        <f t="shared" si="25"/>
        <v>.</v>
      </c>
      <c r="C378" s="201" t="s">
        <v>567</v>
      </c>
      <c r="D378" s="201" t="s">
        <v>568</v>
      </c>
      <c r="E378" s="317" t="s">
        <v>8</v>
      </c>
      <c r="F378" s="203"/>
      <c r="G378" s="201">
        <f t="shared" si="27"/>
        <v>0</v>
      </c>
      <c r="H378" s="286"/>
      <c r="J378" s="363">
        <f>SUM($K$3:K378)</f>
        <v>24</v>
      </c>
      <c r="K378" s="359"/>
      <c r="L378" s="359"/>
      <c r="M378" s="359"/>
      <c r="N378" s="361" t="str">
        <f t="shared" si="26"/>
        <v>숨김</v>
      </c>
    </row>
    <row r="379" spans="1:14" s="265" customFormat="1" ht="20.100000000000001" hidden="1" customHeight="1">
      <c r="A379" s="306"/>
      <c r="B379" s="300" t="str">
        <f t="shared" si="25"/>
        <v>.</v>
      </c>
      <c r="C379" s="201" t="s">
        <v>567</v>
      </c>
      <c r="D379" s="201" t="s">
        <v>569</v>
      </c>
      <c r="E379" s="317" t="s">
        <v>8</v>
      </c>
      <c r="F379" s="203"/>
      <c r="G379" s="201">
        <f t="shared" si="27"/>
        <v>0</v>
      </c>
      <c r="H379" s="286"/>
      <c r="J379" s="363">
        <f>SUM($K$3:K379)</f>
        <v>24</v>
      </c>
      <c r="K379" s="359"/>
      <c r="L379" s="359"/>
      <c r="M379" s="359"/>
      <c r="N379" s="361" t="str">
        <f t="shared" si="26"/>
        <v>숨김</v>
      </c>
    </row>
    <row r="380" spans="1:14" s="265" customFormat="1" ht="20.100000000000001" hidden="1" customHeight="1">
      <c r="A380" s="306"/>
      <c r="B380" s="300" t="str">
        <f t="shared" si="25"/>
        <v>.</v>
      </c>
      <c r="C380" s="201" t="s">
        <v>567</v>
      </c>
      <c r="D380" s="201" t="s">
        <v>570</v>
      </c>
      <c r="E380" s="317" t="s">
        <v>8</v>
      </c>
      <c r="F380" s="203"/>
      <c r="G380" s="201">
        <f t="shared" si="27"/>
        <v>0</v>
      </c>
      <c r="H380" s="286"/>
      <c r="J380" s="363">
        <f>SUM($K$3:K380)</f>
        <v>24</v>
      </c>
      <c r="K380" s="359"/>
      <c r="L380" s="359"/>
      <c r="M380" s="359"/>
      <c r="N380" s="361" t="str">
        <f t="shared" si="26"/>
        <v>숨김</v>
      </c>
    </row>
    <row r="381" spans="1:14" s="265" customFormat="1" ht="20.100000000000001" hidden="1" customHeight="1">
      <c r="A381" s="306"/>
      <c r="B381" s="300" t="str">
        <f t="shared" si="25"/>
        <v>.</v>
      </c>
      <c r="C381" s="201" t="s">
        <v>571</v>
      </c>
      <c r="D381" s="28"/>
      <c r="E381" s="318"/>
      <c r="F381" s="203"/>
      <c r="G381" s="201">
        <f t="shared" si="27"/>
        <v>0</v>
      </c>
      <c r="H381" s="286"/>
      <c r="J381" s="363">
        <f>SUM($K$3:K381)</f>
        <v>24</v>
      </c>
      <c r="K381" s="359"/>
      <c r="L381" s="359"/>
      <c r="M381" s="359"/>
      <c r="N381" s="361" t="str">
        <f t="shared" si="26"/>
        <v>숨김</v>
      </c>
    </row>
    <row r="382" spans="1:14" s="265" customFormat="1" ht="20.100000000000001" hidden="1" customHeight="1">
      <c r="A382" s="306"/>
      <c r="B382" s="300" t="str">
        <f t="shared" si="25"/>
        <v>.</v>
      </c>
      <c r="C382" s="201" t="s">
        <v>571</v>
      </c>
      <c r="D382" s="201" t="s">
        <v>211</v>
      </c>
      <c r="E382" s="317" t="s">
        <v>8</v>
      </c>
      <c r="F382" s="203"/>
      <c r="G382" s="201">
        <f t="shared" si="27"/>
        <v>0</v>
      </c>
      <c r="H382" s="286"/>
      <c r="J382" s="363">
        <f>SUM($K$3:K382)</f>
        <v>24</v>
      </c>
      <c r="K382" s="359"/>
      <c r="L382" s="359"/>
      <c r="M382" s="359"/>
      <c r="N382" s="361" t="str">
        <f t="shared" si="26"/>
        <v>숨김</v>
      </c>
    </row>
    <row r="383" spans="1:14" s="265" customFormat="1" ht="20.100000000000001" hidden="1" customHeight="1">
      <c r="A383" s="306"/>
      <c r="B383" s="300" t="str">
        <f t="shared" si="25"/>
        <v>.</v>
      </c>
      <c r="C383" s="201" t="s">
        <v>571</v>
      </c>
      <c r="D383" s="201" t="s">
        <v>210</v>
      </c>
      <c r="E383" s="317" t="s">
        <v>8</v>
      </c>
      <c r="F383" s="203"/>
      <c r="G383" s="201">
        <f t="shared" si="27"/>
        <v>0</v>
      </c>
      <c r="H383" s="286"/>
      <c r="J383" s="363">
        <f>SUM($K$3:K383)</f>
        <v>24</v>
      </c>
      <c r="K383" s="359"/>
      <c r="L383" s="359"/>
      <c r="M383" s="359"/>
      <c r="N383" s="361" t="str">
        <f t="shared" si="26"/>
        <v>숨김</v>
      </c>
    </row>
    <row r="384" spans="1:14" s="265" customFormat="1" ht="20.100000000000001" hidden="1" customHeight="1">
      <c r="A384" s="306"/>
      <c r="B384" s="300" t="str">
        <f t="shared" si="25"/>
        <v>.</v>
      </c>
      <c r="C384" s="201" t="s">
        <v>571</v>
      </c>
      <c r="D384" s="201" t="s">
        <v>572</v>
      </c>
      <c r="E384" s="317" t="s">
        <v>8</v>
      </c>
      <c r="F384" s="203"/>
      <c r="G384" s="201">
        <f t="shared" si="27"/>
        <v>0</v>
      </c>
      <c r="H384" s="286"/>
      <c r="J384" s="363">
        <f>SUM($K$3:K384)</f>
        <v>24</v>
      </c>
      <c r="K384" s="359"/>
      <c r="L384" s="359"/>
      <c r="M384" s="359"/>
      <c r="N384" s="361" t="str">
        <f t="shared" si="26"/>
        <v>숨김</v>
      </c>
    </row>
    <row r="385" spans="1:14" s="265" customFormat="1" ht="20.100000000000001" hidden="1" customHeight="1">
      <c r="A385" s="306"/>
      <c r="B385" s="300" t="str">
        <f t="shared" si="25"/>
        <v>.</v>
      </c>
      <c r="C385" s="201" t="s">
        <v>573</v>
      </c>
      <c r="D385" s="201"/>
      <c r="E385" s="317"/>
      <c r="F385" s="203"/>
      <c r="G385" s="201">
        <f t="shared" si="27"/>
        <v>0</v>
      </c>
      <c r="H385" s="286"/>
      <c r="J385" s="363">
        <f>SUM($K$3:K385)</f>
        <v>24</v>
      </c>
      <c r="K385" s="359"/>
      <c r="L385" s="359"/>
      <c r="M385" s="359"/>
      <c r="N385" s="361" t="str">
        <f t="shared" si="26"/>
        <v>숨김</v>
      </c>
    </row>
    <row r="386" spans="1:14" s="265" customFormat="1" ht="20.100000000000001" hidden="1" customHeight="1">
      <c r="A386" s="306"/>
      <c r="B386" s="300" t="str">
        <f t="shared" si="25"/>
        <v>.</v>
      </c>
      <c r="C386" s="201" t="s">
        <v>573</v>
      </c>
      <c r="D386" s="201" t="s">
        <v>209</v>
      </c>
      <c r="E386" s="317" t="s">
        <v>8</v>
      </c>
      <c r="F386" s="203"/>
      <c r="G386" s="201">
        <f t="shared" ref="G386:G412" si="28">SUM(F386:F386)</f>
        <v>0</v>
      </c>
      <c r="H386" s="286"/>
      <c r="J386" s="363">
        <f>SUM($K$3:K386)</f>
        <v>24</v>
      </c>
      <c r="K386" s="359"/>
      <c r="L386" s="359"/>
      <c r="M386" s="359"/>
      <c r="N386" s="361" t="str">
        <f t="shared" si="26"/>
        <v>숨김</v>
      </c>
    </row>
    <row r="387" spans="1:14" s="265" customFormat="1" ht="20.100000000000001" hidden="1" customHeight="1">
      <c r="A387" s="302"/>
      <c r="B387" s="300" t="str">
        <f t="shared" si="25"/>
        <v>.</v>
      </c>
      <c r="C387" s="201" t="s">
        <v>574</v>
      </c>
      <c r="D387" s="201"/>
      <c r="E387" s="317"/>
      <c r="F387" s="203"/>
      <c r="G387" s="201">
        <f t="shared" si="28"/>
        <v>0</v>
      </c>
      <c r="H387" s="286"/>
      <c r="J387" s="363">
        <f>SUM($K$3:K387)</f>
        <v>24</v>
      </c>
      <c r="K387" s="359"/>
      <c r="L387" s="359"/>
      <c r="M387" s="359"/>
      <c r="N387" s="361" t="str">
        <f t="shared" si="26"/>
        <v>숨김</v>
      </c>
    </row>
    <row r="388" spans="1:14" s="265" customFormat="1" ht="20.100000000000001" hidden="1" customHeight="1">
      <c r="A388" s="299"/>
      <c r="B388" s="300" t="str">
        <f t="shared" si="25"/>
        <v>.</v>
      </c>
      <c r="C388" s="201" t="s">
        <v>575</v>
      </c>
      <c r="D388" s="201" t="s">
        <v>212</v>
      </c>
      <c r="E388" s="317" t="s">
        <v>8</v>
      </c>
      <c r="F388" s="203"/>
      <c r="G388" s="201">
        <f t="shared" si="28"/>
        <v>0</v>
      </c>
      <c r="H388" s="286"/>
      <c r="J388" s="363">
        <f>SUM($K$3:K388)</f>
        <v>24</v>
      </c>
      <c r="K388" s="359"/>
      <c r="L388" s="359"/>
      <c r="M388" s="359"/>
      <c r="N388" s="361" t="str">
        <f t="shared" si="26"/>
        <v>숨김</v>
      </c>
    </row>
    <row r="389" spans="1:14" s="265" customFormat="1" ht="20.100000000000001" hidden="1" customHeight="1">
      <c r="A389" s="299"/>
      <c r="B389" s="300" t="str">
        <f t="shared" si="25"/>
        <v>.</v>
      </c>
      <c r="C389" s="201" t="s">
        <v>576</v>
      </c>
      <c r="D389" s="201"/>
      <c r="E389" s="317" t="s">
        <v>38</v>
      </c>
      <c r="F389" s="203"/>
      <c r="G389" s="201">
        <f t="shared" si="28"/>
        <v>0</v>
      </c>
      <c r="H389" s="286"/>
      <c r="J389" s="363">
        <f>SUM($K$3:K389)</f>
        <v>24</v>
      </c>
      <c r="K389" s="359"/>
      <c r="L389" s="359"/>
      <c r="M389" s="359"/>
      <c r="N389" s="361" t="str">
        <f t="shared" si="26"/>
        <v>숨김</v>
      </c>
    </row>
    <row r="390" spans="1:14" s="265" customFormat="1" ht="20.100000000000001" hidden="1" customHeight="1">
      <c r="A390" s="302"/>
      <c r="B390" s="300" t="str">
        <f t="shared" si="25"/>
        <v>.</v>
      </c>
      <c r="C390" s="201" t="s">
        <v>577</v>
      </c>
      <c r="D390" s="201"/>
      <c r="E390" s="317"/>
      <c r="F390" s="203"/>
      <c r="G390" s="201">
        <f t="shared" si="28"/>
        <v>0</v>
      </c>
      <c r="H390" s="286"/>
      <c r="J390" s="363">
        <f>SUM($K$3:K390)</f>
        <v>24</v>
      </c>
      <c r="K390" s="359"/>
      <c r="L390" s="359"/>
      <c r="M390" s="359"/>
      <c r="N390" s="361" t="str">
        <f t="shared" si="26"/>
        <v>숨김</v>
      </c>
    </row>
    <row r="391" spans="1:14" s="265" customFormat="1" ht="20.100000000000001" hidden="1" customHeight="1">
      <c r="A391" s="299"/>
      <c r="B391" s="300" t="str">
        <f t="shared" si="25"/>
        <v>.</v>
      </c>
      <c r="C391" s="201" t="s">
        <v>577</v>
      </c>
      <c r="D391" s="201" t="s">
        <v>578</v>
      </c>
      <c r="E391" s="317" t="s">
        <v>214</v>
      </c>
      <c r="F391" s="203"/>
      <c r="G391" s="201">
        <f t="shared" si="28"/>
        <v>0</v>
      </c>
      <c r="H391" s="286"/>
      <c r="J391" s="363">
        <f>SUM($K$3:K391)</f>
        <v>24</v>
      </c>
      <c r="K391" s="359"/>
      <c r="L391" s="359"/>
      <c r="M391" s="359"/>
      <c r="N391" s="361" t="str">
        <f t="shared" si="26"/>
        <v>숨김</v>
      </c>
    </row>
    <row r="392" spans="1:14" s="265" customFormat="1" ht="20.100000000000001" hidden="1" customHeight="1">
      <c r="A392" s="299"/>
      <c r="B392" s="300" t="str">
        <f t="shared" si="25"/>
        <v>.</v>
      </c>
      <c r="C392" s="201" t="s">
        <v>577</v>
      </c>
      <c r="D392" s="201" t="s">
        <v>215</v>
      </c>
      <c r="E392" s="317" t="s">
        <v>214</v>
      </c>
      <c r="F392" s="203"/>
      <c r="G392" s="201">
        <f t="shared" si="28"/>
        <v>0</v>
      </c>
      <c r="H392" s="286"/>
      <c r="J392" s="363">
        <f>SUM($K$3:K392)</f>
        <v>24</v>
      </c>
      <c r="K392" s="359"/>
      <c r="L392" s="359"/>
      <c r="M392" s="359"/>
      <c r="N392" s="361" t="str">
        <f t="shared" si="26"/>
        <v>숨김</v>
      </c>
    </row>
    <row r="393" spans="1:14" s="265" customFormat="1" ht="20.100000000000001" hidden="1" customHeight="1">
      <c r="A393" s="299"/>
      <c r="B393" s="300" t="str">
        <f t="shared" si="25"/>
        <v>.</v>
      </c>
      <c r="C393" s="201" t="s">
        <v>577</v>
      </c>
      <c r="D393" s="201" t="s">
        <v>216</v>
      </c>
      <c r="E393" s="317" t="s">
        <v>214</v>
      </c>
      <c r="F393" s="205"/>
      <c r="G393" s="206">
        <f t="shared" si="28"/>
        <v>0</v>
      </c>
      <c r="H393" s="286"/>
      <c r="J393" s="363">
        <f>SUM($K$3:K393)</f>
        <v>24</v>
      </c>
      <c r="K393" s="359"/>
      <c r="L393" s="359"/>
      <c r="M393" s="359"/>
      <c r="N393" s="361" t="str">
        <f t="shared" si="26"/>
        <v>숨김</v>
      </c>
    </row>
    <row r="394" spans="1:14" s="265" customFormat="1" ht="20.100000000000001" hidden="1" customHeight="1">
      <c r="A394" s="299"/>
      <c r="B394" s="300" t="str">
        <f t="shared" si="25"/>
        <v>.</v>
      </c>
      <c r="C394" s="201" t="s">
        <v>577</v>
      </c>
      <c r="D394" s="201" t="s">
        <v>21</v>
      </c>
      <c r="E394" s="317" t="s">
        <v>214</v>
      </c>
      <c r="F394" s="203"/>
      <c r="G394" s="201">
        <f t="shared" si="28"/>
        <v>0</v>
      </c>
      <c r="H394" s="286"/>
      <c r="J394" s="363">
        <f>SUM($K$3:K394)</f>
        <v>24</v>
      </c>
      <c r="K394" s="359"/>
      <c r="L394" s="359"/>
      <c r="M394" s="359"/>
      <c r="N394" s="361" t="str">
        <f t="shared" si="26"/>
        <v>숨김</v>
      </c>
    </row>
    <row r="395" spans="1:14" s="265" customFormat="1" ht="20.100000000000001" hidden="1" customHeight="1">
      <c r="A395" s="302"/>
      <c r="B395" s="300" t="str">
        <f t="shared" si="25"/>
        <v>.</v>
      </c>
      <c r="C395" s="201" t="s">
        <v>579</v>
      </c>
      <c r="D395" s="201"/>
      <c r="E395" s="317"/>
      <c r="F395" s="203"/>
      <c r="G395" s="201">
        <f t="shared" si="28"/>
        <v>0</v>
      </c>
      <c r="H395" s="286"/>
      <c r="J395" s="363">
        <f>SUM($K$3:K395)</f>
        <v>24</v>
      </c>
      <c r="K395" s="359"/>
      <c r="L395" s="359"/>
      <c r="M395" s="359"/>
      <c r="N395" s="361" t="str">
        <f t="shared" si="26"/>
        <v>숨김</v>
      </c>
    </row>
    <row r="396" spans="1:14" s="265" customFormat="1" ht="20.100000000000001" hidden="1" customHeight="1">
      <c r="A396" s="299"/>
      <c r="B396" s="300" t="str">
        <f t="shared" si="25"/>
        <v>.</v>
      </c>
      <c r="C396" s="201" t="s">
        <v>579</v>
      </c>
      <c r="D396" s="201" t="s">
        <v>653</v>
      </c>
      <c r="E396" s="317" t="s">
        <v>4</v>
      </c>
      <c r="F396" s="203"/>
      <c r="G396" s="201">
        <f t="shared" si="28"/>
        <v>0</v>
      </c>
      <c r="H396" s="286"/>
      <c r="J396" s="363">
        <f>SUM($K$3:K396)</f>
        <v>24</v>
      </c>
      <c r="K396" s="359"/>
      <c r="L396" s="359"/>
      <c r="M396" s="359"/>
      <c r="N396" s="361" t="str">
        <f t="shared" si="26"/>
        <v>숨김</v>
      </c>
    </row>
    <row r="397" spans="1:14" s="265" customFormat="1" ht="20.100000000000001" hidden="1" customHeight="1">
      <c r="A397" s="299"/>
      <c r="B397" s="300" t="str">
        <f t="shared" si="25"/>
        <v>.</v>
      </c>
      <c r="C397" s="201" t="s">
        <v>579</v>
      </c>
      <c r="D397" s="201" t="s">
        <v>580</v>
      </c>
      <c r="E397" s="317" t="s">
        <v>4</v>
      </c>
      <c r="F397" s="203"/>
      <c r="G397" s="201">
        <f t="shared" si="28"/>
        <v>0</v>
      </c>
      <c r="H397" s="286"/>
      <c r="J397" s="363">
        <f>SUM($K$3:K397)</f>
        <v>24</v>
      </c>
      <c r="K397" s="359"/>
      <c r="L397" s="359"/>
      <c r="M397" s="359"/>
      <c r="N397" s="361" t="str">
        <f t="shared" si="26"/>
        <v>숨김</v>
      </c>
    </row>
    <row r="398" spans="1:14" s="265" customFormat="1" ht="20.100000000000001" hidden="1" customHeight="1">
      <c r="A398" s="299"/>
      <c r="B398" s="300" t="str">
        <f t="shared" si="25"/>
        <v>.</v>
      </c>
      <c r="C398" s="201" t="s">
        <v>579</v>
      </c>
      <c r="D398" s="201" t="s">
        <v>217</v>
      </c>
      <c r="E398" s="317" t="s">
        <v>4</v>
      </c>
      <c r="F398" s="203"/>
      <c r="G398" s="201">
        <f t="shared" si="28"/>
        <v>0</v>
      </c>
      <c r="H398" s="286"/>
      <c r="J398" s="363">
        <f>SUM($K$3:K398)</f>
        <v>24</v>
      </c>
      <c r="K398" s="359"/>
      <c r="L398" s="359"/>
      <c r="M398" s="359"/>
      <c r="N398" s="361" t="str">
        <f t="shared" si="26"/>
        <v>숨김</v>
      </c>
    </row>
    <row r="399" spans="1:14" s="265" customFormat="1" ht="20.100000000000001" hidden="1" customHeight="1">
      <c r="A399" s="302"/>
      <c r="B399" s="300" t="str">
        <f t="shared" si="25"/>
        <v>.</v>
      </c>
      <c r="C399" s="201" t="s">
        <v>581</v>
      </c>
      <c r="D399" s="201"/>
      <c r="E399" s="317"/>
      <c r="F399" s="203"/>
      <c r="G399" s="201">
        <f t="shared" si="28"/>
        <v>0</v>
      </c>
      <c r="H399" s="286"/>
      <c r="J399" s="363">
        <f>SUM($K$3:K399)</f>
        <v>24</v>
      </c>
      <c r="K399" s="359"/>
      <c r="L399" s="359"/>
      <c r="M399" s="359"/>
      <c r="N399" s="361" t="str">
        <f t="shared" si="26"/>
        <v>숨김</v>
      </c>
    </row>
    <row r="400" spans="1:14" s="265" customFormat="1" ht="20.100000000000001" hidden="1" customHeight="1">
      <c r="A400" s="299"/>
      <c r="B400" s="300" t="str">
        <f t="shared" si="25"/>
        <v>.</v>
      </c>
      <c r="C400" s="201" t="s">
        <v>582</v>
      </c>
      <c r="D400" s="201" t="s">
        <v>110</v>
      </c>
      <c r="E400" s="317" t="s">
        <v>8</v>
      </c>
      <c r="F400" s="203"/>
      <c r="G400" s="201">
        <f t="shared" si="28"/>
        <v>0</v>
      </c>
      <c r="H400" s="286"/>
      <c r="J400" s="363">
        <f>SUM($K$3:K400)</f>
        <v>24</v>
      </c>
      <c r="K400" s="359"/>
      <c r="L400" s="359"/>
      <c r="M400" s="359"/>
      <c r="N400" s="361" t="str">
        <f t="shared" si="26"/>
        <v>숨김</v>
      </c>
    </row>
    <row r="401" spans="1:14" s="265" customFormat="1" ht="20.100000000000001" hidden="1" customHeight="1">
      <c r="A401" s="299"/>
      <c r="B401" s="300" t="str">
        <f t="shared" si="25"/>
        <v>.</v>
      </c>
      <c r="C401" s="201" t="s">
        <v>582</v>
      </c>
      <c r="D401" s="201" t="s">
        <v>635</v>
      </c>
      <c r="E401" s="317" t="s">
        <v>8</v>
      </c>
      <c r="F401" s="203"/>
      <c r="G401" s="201">
        <f t="shared" si="28"/>
        <v>0</v>
      </c>
      <c r="H401" s="286"/>
      <c r="J401" s="363">
        <f>SUM($K$3:K401)</f>
        <v>24</v>
      </c>
      <c r="K401" s="359"/>
      <c r="L401" s="359"/>
      <c r="M401" s="359"/>
      <c r="N401" s="361" t="str">
        <f t="shared" si="26"/>
        <v>숨김</v>
      </c>
    </row>
    <row r="402" spans="1:14" s="265" customFormat="1" ht="20.100000000000001" hidden="1" customHeight="1">
      <c r="A402" s="302"/>
      <c r="B402" s="300" t="str">
        <f t="shared" si="25"/>
        <v>.</v>
      </c>
      <c r="C402" s="201" t="s">
        <v>583</v>
      </c>
      <c r="D402" s="201"/>
      <c r="E402" s="317"/>
      <c r="F402" s="203"/>
      <c r="G402" s="201"/>
      <c r="H402" s="286"/>
      <c r="J402" s="363">
        <f>SUM($K$3:K402)</f>
        <v>24</v>
      </c>
      <c r="K402" s="359"/>
      <c r="L402" s="359"/>
      <c r="M402" s="359"/>
      <c r="N402" s="361" t="str">
        <f t="shared" si="26"/>
        <v>숨김</v>
      </c>
    </row>
    <row r="403" spans="1:14" s="265" customFormat="1" ht="20.100000000000001" hidden="1" customHeight="1">
      <c r="A403" s="299"/>
      <c r="B403" s="300" t="str">
        <f t="shared" si="25"/>
        <v>.</v>
      </c>
      <c r="C403" s="201" t="s">
        <v>584</v>
      </c>
      <c r="D403" s="201"/>
      <c r="E403" s="317" t="s">
        <v>8</v>
      </c>
      <c r="F403" s="203">
        <f>구조물공총괄집계표!G120</f>
        <v>0</v>
      </c>
      <c r="G403" s="201">
        <f t="shared" si="28"/>
        <v>0</v>
      </c>
      <c r="H403" s="286"/>
      <c r="J403" s="363">
        <f>SUM($K$3:K403)</f>
        <v>24</v>
      </c>
      <c r="K403" s="359"/>
      <c r="L403" s="359"/>
      <c r="M403" s="359"/>
      <c r="N403" s="361" t="str">
        <f t="shared" si="26"/>
        <v>숨김</v>
      </c>
    </row>
    <row r="404" spans="1:14" s="265" customFormat="1" ht="20.100000000000001" hidden="1" customHeight="1">
      <c r="A404" s="299"/>
      <c r="B404" s="300" t="str">
        <f t="shared" si="25"/>
        <v>.</v>
      </c>
      <c r="C404" s="201" t="s">
        <v>585</v>
      </c>
      <c r="D404" s="201"/>
      <c r="E404" s="317" t="s">
        <v>8</v>
      </c>
      <c r="F404" s="203">
        <f>구조물공총괄집계표!G119</f>
        <v>0</v>
      </c>
      <c r="G404" s="201">
        <f t="shared" si="28"/>
        <v>0</v>
      </c>
      <c r="H404" s="286"/>
      <c r="J404" s="363">
        <f>SUM($K$3:K404)</f>
        <v>24</v>
      </c>
      <c r="K404" s="359"/>
      <c r="L404" s="359"/>
      <c r="M404" s="359"/>
      <c r="N404" s="361" t="str">
        <f t="shared" si="26"/>
        <v>숨김</v>
      </c>
    </row>
    <row r="405" spans="1:14" s="265" customFormat="1" ht="20.100000000000001" hidden="1" customHeight="1">
      <c r="A405" s="299"/>
      <c r="B405" s="300" t="str">
        <f t="shared" si="25"/>
        <v>.</v>
      </c>
      <c r="C405" s="201" t="s">
        <v>638</v>
      </c>
      <c r="D405" s="201" t="s">
        <v>639</v>
      </c>
      <c r="E405" s="317" t="s">
        <v>12</v>
      </c>
      <c r="F405" s="203">
        <f>구조물공총괄집계표!G118</f>
        <v>0</v>
      </c>
      <c r="G405" s="201">
        <f t="shared" si="28"/>
        <v>0</v>
      </c>
      <c r="H405" s="286"/>
      <c r="J405" s="363">
        <f>SUM($K$3:K405)</f>
        <v>24</v>
      </c>
      <c r="K405" s="359"/>
      <c r="L405" s="359"/>
      <c r="M405" s="359"/>
      <c r="N405" s="361" t="str">
        <f t="shared" si="26"/>
        <v>숨김</v>
      </c>
    </row>
    <row r="406" spans="1:14" s="265" customFormat="1" ht="20.100000000000001" hidden="1" customHeight="1">
      <c r="A406" s="302"/>
      <c r="B406" s="300" t="str">
        <f t="shared" si="25"/>
        <v>.</v>
      </c>
      <c r="C406" s="201" t="s">
        <v>640</v>
      </c>
      <c r="D406" s="201" t="s">
        <v>641</v>
      </c>
      <c r="E406" s="317" t="s">
        <v>8</v>
      </c>
      <c r="F406" s="203"/>
      <c r="G406" s="201">
        <f t="shared" si="28"/>
        <v>0</v>
      </c>
      <c r="H406" s="286"/>
      <c r="J406" s="363">
        <f>SUM($K$3:K406)</f>
        <v>24</v>
      </c>
      <c r="K406" s="359"/>
      <c r="L406" s="359"/>
      <c r="M406" s="359"/>
      <c r="N406" s="361" t="str">
        <f t="shared" si="26"/>
        <v>숨김</v>
      </c>
    </row>
    <row r="407" spans="1:14" s="265" customFormat="1" ht="20.100000000000001" hidden="1" customHeight="1">
      <c r="A407" s="302"/>
      <c r="B407" s="300" t="str">
        <f t="shared" si="25"/>
        <v>.</v>
      </c>
      <c r="C407" s="201" t="s">
        <v>642</v>
      </c>
      <c r="D407" s="201" t="s">
        <v>643</v>
      </c>
      <c r="E407" s="317" t="s">
        <v>587</v>
      </c>
      <c r="F407" s="203"/>
      <c r="G407" s="201">
        <f t="shared" si="28"/>
        <v>0</v>
      </c>
      <c r="H407" s="286"/>
      <c r="J407" s="363">
        <f>SUM($K$3:K407)</f>
        <v>24</v>
      </c>
      <c r="K407" s="359"/>
      <c r="L407" s="359"/>
      <c r="M407" s="359"/>
      <c r="N407" s="361" t="str">
        <f t="shared" si="26"/>
        <v>숨김</v>
      </c>
    </row>
    <row r="408" spans="1:14" s="265" customFormat="1" ht="20.100000000000001" hidden="1" customHeight="1">
      <c r="A408" s="302"/>
      <c r="B408" s="300" t="str">
        <f t="shared" si="25"/>
        <v>.</v>
      </c>
      <c r="C408" s="201" t="s">
        <v>644</v>
      </c>
      <c r="D408" s="201" t="s">
        <v>645</v>
      </c>
      <c r="E408" s="317" t="s">
        <v>586</v>
      </c>
      <c r="F408" s="203"/>
      <c r="G408" s="201">
        <f t="shared" si="28"/>
        <v>0</v>
      </c>
      <c r="H408" s="286"/>
      <c r="J408" s="363">
        <f>SUM($K$3:K408)</f>
        <v>24</v>
      </c>
      <c r="K408" s="359"/>
      <c r="L408" s="359"/>
      <c r="M408" s="359"/>
      <c r="N408" s="361" t="str">
        <f t="shared" si="26"/>
        <v>숨김</v>
      </c>
    </row>
    <row r="409" spans="1:14" s="265" customFormat="1" ht="20.100000000000001" hidden="1" customHeight="1">
      <c r="A409" s="302"/>
      <c r="B409" s="300" t="str">
        <f t="shared" si="25"/>
        <v>.</v>
      </c>
      <c r="C409" s="201" t="s">
        <v>588</v>
      </c>
      <c r="D409" s="201"/>
      <c r="E409" s="317" t="s">
        <v>586</v>
      </c>
      <c r="F409" s="203">
        <f>구조물공총괄집계표!G121</f>
        <v>0</v>
      </c>
      <c r="G409" s="201">
        <f t="shared" si="28"/>
        <v>0</v>
      </c>
      <c r="H409" s="286"/>
      <c r="J409" s="363">
        <f>SUM($K$3:K409)</f>
        <v>24</v>
      </c>
      <c r="K409" s="359"/>
      <c r="L409" s="359"/>
      <c r="M409" s="359"/>
      <c r="N409" s="361" t="str">
        <f t="shared" si="26"/>
        <v>숨김</v>
      </c>
    </row>
    <row r="410" spans="1:14" s="265" customFormat="1" ht="20.100000000000001" hidden="1" customHeight="1">
      <c r="A410" s="302"/>
      <c r="B410" s="300" t="str">
        <f t="shared" si="25"/>
        <v>.</v>
      </c>
      <c r="C410" s="201" t="s">
        <v>589</v>
      </c>
      <c r="D410" s="201"/>
      <c r="E410" s="317" t="s">
        <v>590</v>
      </c>
      <c r="F410" s="203">
        <f>구조물공총괄집계표!G116</f>
        <v>0</v>
      </c>
      <c r="G410" s="201">
        <f t="shared" si="28"/>
        <v>0</v>
      </c>
      <c r="H410" s="286"/>
      <c r="J410" s="363">
        <f>SUM($K$3:K410)</f>
        <v>24</v>
      </c>
      <c r="K410" s="359"/>
      <c r="L410" s="359"/>
      <c r="M410" s="359"/>
      <c r="N410" s="361" t="str">
        <f t="shared" si="26"/>
        <v>숨김</v>
      </c>
    </row>
    <row r="411" spans="1:14" s="265" customFormat="1" ht="20.100000000000001" hidden="1" customHeight="1">
      <c r="A411" s="302"/>
      <c r="B411" s="300" t="str">
        <f t="shared" si="25"/>
        <v>.</v>
      </c>
      <c r="C411" s="201" t="s">
        <v>646</v>
      </c>
      <c r="D411" s="201"/>
      <c r="E411" s="317" t="s">
        <v>586</v>
      </c>
      <c r="F411" s="203">
        <f>구조물공총괄집계표!G117</f>
        <v>0</v>
      </c>
      <c r="G411" s="201">
        <f t="shared" si="28"/>
        <v>0</v>
      </c>
      <c r="H411" s="286"/>
      <c r="J411" s="363">
        <f>SUM($K$3:K411)</f>
        <v>24</v>
      </c>
      <c r="K411" s="359"/>
      <c r="L411" s="359"/>
      <c r="M411" s="359"/>
      <c r="N411" s="361" t="str">
        <f t="shared" si="26"/>
        <v>숨김</v>
      </c>
    </row>
    <row r="412" spans="1:14" s="265" customFormat="1" ht="20.100000000000001" hidden="1" customHeight="1">
      <c r="A412" s="302">
        <f>A411</f>
        <v>0</v>
      </c>
      <c r="B412" s="300" t="str">
        <f t="shared" si="25"/>
        <v>.</v>
      </c>
      <c r="C412" s="201" t="s">
        <v>591</v>
      </c>
      <c r="D412" s="201" t="s">
        <v>592</v>
      </c>
      <c r="E412" s="317" t="s">
        <v>590</v>
      </c>
      <c r="F412" s="203"/>
      <c r="G412" s="201">
        <f t="shared" si="28"/>
        <v>0</v>
      </c>
      <c r="H412" s="286"/>
      <c r="J412" s="363">
        <f>SUM($K$3:K412)</f>
        <v>24</v>
      </c>
      <c r="K412" s="359"/>
      <c r="L412" s="359"/>
      <c r="M412" s="359"/>
      <c r="N412" s="361" t="str">
        <f t="shared" si="26"/>
        <v>숨김</v>
      </c>
    </row>
    <row r="413" spans="1:14" s="262" customFormat="1" ht="21.95" hidden="1" customHeight="1">
      <c r="A413" s="301" t="str">
        <f>A281</f>
        <v>1.</v>
      </c>
      <c r="B413" s="298" t="str">
        <f>IF(J413&gt;9,CONCATENATE(J413,"."),CONCATENATE("0",J413,"."))</f>
        <v>24.</v>
      </c>
      <c r="C413" s="257" t="s">
        <v>749</v>
      </c>
      <c r="D413" s="257"/>
      <c r="E413" s="258" t="s">
        <v>79</v>
      </c>
      <c r="F413" s="263"/>
      <c r="G413" s="257">
        <f>SUM(F413:F413)</f>
        <v>0</v>
      </c>
      <c r="H413" s="261"/>
      <c r="J413" s="363">
        <f>SUM($K$3:K413)</f>
        <v>24</v>
      </c>
      <c r="K413" s="355"/>
      <c r="L413" s="355"/>
      <c r="M413" s="355"/>
      <c r="N413" s="361" t="str">
        <f t="shared" si="26"/>
        <v>숨김</v>
      </c>
    </row>
    <row r="414" spans="1:14" s="262" customFormat="1" ht="21.95" hidden="1" customHeight="1">
      <c r="A414" s="301" t="str">
        <f>A272</f>
        <v>1.</v>
      </c>
      <c r="B414" s="298" t="str">
        <f>IF(J414&gt;9,CONCATENATE(J414,"."),CONCATENATE("0",J414,"."))</f>
        <v>24.</v>
      </c>
      <c r="C414" s="257" t="s">
        <v>566</v>
      </c>
      <c r="D414" s="257"/>
      <c r="E414" s="258"/>
      <c r="F414" s="263"/>
      <c r="G414" s="257"/>
      <c r="H414" s="261"/>
      <c r="J414" s="363">
        <f>SUM($K$3:K414)</f>
        <v>24</v>
      </c>
      <c r="K414" s="355"/>
      <c r="L414" s="355"/>
      <c r="M414" s="355"/>
      <c r="N414" s="361" t="str">
        <f t="shared" si="26"/>
        <v>숨김</v>
      </c>
    </row>
    <row r="415" spans="1:14" s="262" customFormat="1" ht="21.95" hidden="1" customHeight="1">
      <c r="A415" s="306"/>
      <c r="B415" s="391" t="str">
        <f t="shared" ref="B415:B422" si="29">IF(M415="",CONCATENATE(L415,"."),CONCATENATE(L415,"-",M415,"."))</f>
        <v>.</v>
      </c>
      <c r="C415" s="36" t="s">
        <v>583</v>
      </c>
      <c r="D415" s="36"/>
      <c r="E415" s="392"/>
      <c r="F415" s="389"/>
      <c r="G415" s="388"/>
      <c r="H415" s="390"/>
      <c r="J415" s="363">
        <f>SUM($K$3:K415)</f>
        <v>24</v>
      </c>
      <c r="K415" s="355"/>
      <c r="L415" s="359"/>
      <c r="M415" s="359"/>
      <c r="N415" s="361" t="str">
        <f t="shared" si="26"/>
        <v>숨김</v>
      </c>
    </row>
    <row r="416" spans="1:14" s="262" customFormat="1" ht="21.95" hidden="1" customHeight="1">
      <c r="A416" s="306"/>
      <c r="B416" s="391" t="str">
        <f t="shared" si="29"/>
        <v>.</v>
      </c>
      <c r="C416" s="36" t="s">
        <v>584</v>
      </c>
      <c r="D416" s="36"/>
      <c r="E416" s="392" t="s">
        <v>8</v>
      </c>
      <c r="F416" s="203">
        <f>구조물공총괄집계표!G120</f>
        <v>0</v>
      </c>
      <c r="G416" s="201">
        <f t="shared" ref="G416:G422" si="30">SUM(F416:F416)</f>
        <v>0</v>
      </c>
      <c r="H416" s="390"/>
      <c r="J416" s="363">
        <f>SUM($K$3:K416)</f>
        <v>24</v>
      </c>
      <c r="K416" s="355"/>
      <c r="L416" s="359"/>
      <c r="M416" s="359"/>
      <c r="N416" s="361" t="str">
        <f t="shared" si="26"/>
        <v>숨김</v>
      </c>
    </row>
    <row r="417" spans="1:14" s="262" customFormat="1" ht="21.95" hidden="1" customHeight="1">
      <c r="A417" s="306"/>
      <c r="B417" s="391" t="str">
        <f t="shared" si="29"/>
        <v>.</v>
      </c>
      <c r="C417" s="36" t="s">
        <v>585</v>
      </c>
      <c r="D417" s="36"/>
      <c r="E417" s="392" t="s">
        <v>8</v>
      </c>
      <c r="F417" s="203">
        <f>구조물공총괄집계표!G119</f>
        <v>0</v>
      </c>
      <c r="G417" s="201">
        <f t="shared" si="30"/>
        <v>0</v>
      </c>
      <c r="H417" s="390"/>
      <c r="J417" s="363">
        <f>SUM($K$3:K417)</f>
        <v>24</v>
      </c>
      <c r="K417" s="355"/>
      <c r="L417" s="359"/>
      <c r="M417" s="359"/>
      <c r="N417" s="361" t="str">
        <f t="shared" si="26"/>
        <v>숨김</v>
      </c>
    </row>
    <row r="418" spans="1:14" s="262" customFormat="1" ht="21.95" hidden="1" customHeight="1">
      <c r="A418" s="306"/>
      <c r="B418" s="391" t="str">
        <f t="shared" si="29"/>
        <v>.</v>
      </c>
      <c r="C418" s="36" t="s">
        <v>638</v>
      </c>
      <c r="D418" s="36" t="s">
        <v>639</v>
      </c>
      <c r="E418" s="392" t="s">
        <v>12</v>
      </c>
      <c r="F418" s="203">
        <f>구조물공총괄집계표!G118</f>
        <v>0</v>
      </c>
      <c r="G418" s="201">
        <f t="shared" si="30"/>
        <v>0</v>
      </c>
      <c r="H418" s="390"/>
      <c r="J418" s="363">
        <f>SUM($K$3:K418)</f>
        <v>24</v>
      </c>
      <c r="K418" s="355"/>
      <c r="L418" s="359"/>
      <c r="M418" s="359"/>
      <c r="N418" s="361" t="str">
        <f t="shared" si="26"/>
        <v>숨김</v>
      </c>
    </row>
    <row r="419" spans="1:14" s="262" customFormat="1" ht="21.95" hidden="1" customHeight="1">
      <c r="A419" s="306"/>
      <c r="B419" s="391" t="str">
        <f t="shared" si="29"/>
        <v>.</v>
      </c>
      <c r="C419" s="36" t="s">
        <v>588</v>
      </c>
      <c r="D419" s="36"/>
      <c r="E419" s="392" t="s">
        <v>38</v>
      </c>
      <c r="F419" s="203">
        <f>구조물공총괄집계표!G121</f>
        <v>0</v>
      </c>
      <c r="G419" s="201">
        <f t="shared" si="30"/>
        <v>0</v>
      </c>
      <c r="H419" s="390"/>
      <c r="J419" s="363">
        <f>SUM($K$3:K419)</f>
        <v>24</v>
      </c>
      <c r="K419" s="355"/>
      <c r="L419" s="359"/>
      <c r="M419" s="359"/>
      <c r="N419" s="361" t="str">
        <f t="shared" si="26"/>
        <v>숨김</v>
      </c>
    </row>
    <row r="420" spans="1:14" s="262" customFormat="1" ht="21.95" hidden="1" customHeight="1">
      <c r="A420" s="306"/>
      <c r="B420" s="391" t="str">
        <f t="shared" si="29"/>
        <v>.</v>
      </c>
      <c r="C420" s="36" t="s">
        <v>589</v>
      </c>
      <c r="D420" s="36"/>
      <c r="E420" s="392" t="s">
        <v>45</v>
      </c>
      <c r="F420" s="203">
        <f>구조물공총괄집계표!G116</f>
        <v>0</v>
      </c>
      <c r="G420" s="201">
        <f t="shared" si="30"/>
        <v>0</v>
      </c>
      <c r="H420" s="390"/>
      <c r="J420" s="363">
        <f>SUM($K$3:K420)</f>
        <v>24</v>
      </c>
      <c r="K420" s="355"/>
      <c r="L420" s="359"/>
      <c r="M420" s="359"/>
      <c r="N420" s="361" t="str">
        <f t="shared" si="26"/>
        <v>숨김</v>
      </c>
    </row>
    <row r="421" spans="1:14" s="262" customFormat="1" ht="21.95" hidden="1" customHeight="1">
      <c r="A421" s="306"/>
      <c r="B421" s="391" t="str">
        <f t="shared" si="29"/>
        <v>.</v>
      </c>
      <c r="C421" s="36" t="s">
        <v>646</v>
      </c>
      <c r="D421" s="36"/>
      <c r="E421" s="392" t="s">
        <v>38</v>
      </c>
      <c r="F421" s="203">
        <f>구조물공총괄집계표!G117</f>
        <v>0</v>
      </c>
      <c r="G421" s="201">
        <f t="shared" si="30"/>
        <v>0</v>
      </c>
      <c r="H421" s="390"/>
      <c r="J421" s="363">
        <f>SUM($K$3:K421)</f>
        <v>24</v>
      </c>
      <c r="K421" s="355"/>
      <c r="L421" s="359"/>
      <c r="M421" s="359"/>
      <c r="N421" s="361" t="str">
        <f t="shared" si="26"/>
        <v>숨김</v>
      </c>
    </row>
    <row r="422" spans="1:14" s="262" customFormat="1" ht="21.95" hidden="1" customHeight="1">
      <c r="A422" s="306"/>
      <c r="B422" s="391" t="str">
        <f t="shared" si="29"/>
        <v>.</v>
      </c>
      <c r="C422" s="36" t="s">
        <v>644</v>
      </c>
      <c r="D422" s="36" t="s">
        <v>984</v>
      </c>
      <c r="E422" s="392" t="s">
        <v>38</v>
      </c>
      <c r="F422" s="203">
        <f>구조물공총괄집계표!G124</f>
        <v>0</v>
      </c>
      <c r="G422" s="201">
        <f t="shared" si="30"/>
        <v>0</v>
      </c>
      <c r="H422" s="390"/>
      <c r="J422" s="363">
        <f>SUM($K$3:K422)</f>
        <v>24</v>
      </c>
      <c r="K422" s="355"/>
      <c r="L422" s="359"/>
      <c r="M422" s="359"/>
      <c r="N422" s="361" t="str">
        <f t="shared" si="26"/>
        <v>숨김</v>
      </c>
    </row>
    <row r="423" spans="1:14" s="265" customFormat="1" ht="20.100000000000001" customHeight="1">
      <c r="A423" s="301" t="str">
        <f>A413</f>
        <v>1.</v>
      </c>
      <c r="B423" s="298" t="str">
        <f>IF(J423&gt;9,CONCATENATE(J423,"."),CONCATENATE("0",J423,"."))</f>
        <v>25.</v>
      </c>
      <c r="C423" s="257" t="s">
        <v>548</v>
      </c>
      <c r="D423" s="257"/>
      <c r="E423" s="258"/>
      <c r="F423" s="271"/>
      <c r="G423" s="257"/>
      <c r="H423" s="264"/>
      <c r="J423" s="363">
        <f>SUM($K$3:K423)</f>
        <v>25</v>
      </c>
      <c r="K423" s="359">
        <v>1</v>
      </c>
      <c r="L423" s="359"/>
      <c r="M423" s="359"/>
      <c r="N423" s="361" t="str">
        <f t="shared" si="26"/>
        <v>1</v>
      </c>
    </row>
    <row r="424" spans="1:14" s="265" customFormat="1" ht="20.100000000000001" hidden="1" customHeight="1">
      <c r="A424" s="306"/>
      <c r="B424" s="300" t="str">
        <f t="shared" si="25"/>
        <v>.</v>
      </c>
      <c r="C424" s="201" t="s">
        <v>788</v>
      </c>
      <c r="D424" s="201"/>
      <c r="E424" s="202"/>
      <c r="F424" s="203"/>
      <c r="G424" s="201"/>
      <c r="H424" s="286"/>
      <c r="J424" s="363">
        <f>SUM($K$3:K424)</f>
        <v>25</v>
      </c>
      <c r="K424" s="359"/>
      <c r="L424" s="359"/>
      <c r="M424" s="359"/>
      <c r="N424" s="361" t="str">
        <f t="shared" si="26"/>
        <v>숨김</v>
      </c>
    </row>
    <row r="425" spans="1:14" s="265" customFormat="1" ht="20.100000000000001" hidden="1" customHeight="1">
      <c r="A425" s="306"/>
      <c r="B425" s="300" t="str">
        <f t="shared" si="25"/>
        <v>.</v>
      </c>
      <c r="C425" s="201" t="s">
        <v>788</v>
      </c>
      <c r="D425" s="201" t="s">
        <v>789</v>
      </c>
      <c r="E425" s="202" t="s">
        <v>76</v>
      </c>
      <c r="F425" s="203"/>
      <c r="G425" s="201">
        <f>SUM(F425:F425)</f>
        <v>0</v>
      </c>
      <c r="H425" s="286"/>
      <c r="J425" s="363">
        <f>SUM($K$3:K425)</f>
        <v>25</v>
      </c>
      <c r="K425" s="359"/>
      <c r="L425" s="359"/>
      <c r="M425" s="359"/>
      <c r="N425" s="361" t="str">
        <f t="shared" si="26"/>
        <v>숨김</v>
      </c>
    </row>
    <row r="426" spans="1:14" s="265" customFormat="1" ht="20.100000000000001" hidden="1" customHeight="1">
      <c r="A426" s="306"/>
      <c r="B426" s="300" t="str">
        <f t="shared" si="25"/>
        <v>.</v>
      </c>
      <c r="C426" s="201" t="s">
        <v>788</v>
      </c>
      <c r="D426" s="201" t="s">
        <v>790</v>
      </c>
      <c r="E426" s="202" t="s">
        <v>76</v>
      </c>
      <c r="F426" s="203"/>
      <c r="G426" s="201">
        <f>SUM(F426:F426)</f>
        <v>0</v>
      </c>
      <c r="H426" s="286"/>
      <c r="J426" s="363">
        <f>SUM($K$3:K426)</f>
        <v>25</v>
      </c>
      <c r="K426" s="359"/>
      <c r="L426" s="359"/>
      <c r="M426" s="359"/>
      <c r="N426" s="361" t="str">
        <f t="shared" si="26"/>
        <v>숨김</v>
      </c>
    </row>
    <row r="427" spans="1:14" s="265" customFormat="1" ht="20.100000000000001" hidden="1" customHeight="1">
      <c r="A427" s="306"/>
      <c r="B427" s="300" t="str">
        <f t="shared" si="25"/>
        <v>.</v>
      </c>
      <c r="C427" s="201" t="s">
        <v>791</v>
      </c>
      <c r="D427" s="201" t="s">
        <v>792</v>
      </c>
      <c r="E427" s="202" t="s">
        <v>76</v>
      </c>
      <c r="F427" s="203"/>
      <c r="G427" s="201">
        <f>SUM(F427:F427)</f>
        <v>0</v>
      </c>
      <c r="H427" s="286"/>
      <c r="J427" s="363">
        <f>SUM($K$3:K427)</f>
        <v>25</v>
      </c>
      <c r="K427" s="359"/>
      <c r="L427" s="359"/>
      <c r="M427" s="359"/>
      <c r="N427" s="361" t="str">
        <f t="shared" si="26"/>
        <v>숨김</v>
      </c>
    </row>
    <row r="428" spans="1:14" s="265" customFormat="1" ht="20.100000000000001" hidden="1" customHeight="1">
      <c r="A428" s="306"/>
      <c r="B428" s="300" t="str">
        <f t="shared" si="25"/>
        <v>.</v>
      </c>
      <c r="C428" s="201" t="s">
        <v>793</v>
      </c>
      <c r="D428" s="201"/>
      <c r="E428" s="202"/>
      <c r="F428" s="203"/>
      <c r="G428" s="201"/>
      <c r="H428" s="286"/>
      <c r="J428" s="363">
        <f>SUM($K$3:K428)</f>
        <v>25</v>
      </c>
      <c r="K428" s="359"/>
      <c r="L428" s="359"/>
      <c r="M428" s="359"/>
      <c r="N428" s="361" t="str">
        <f t="shared" si="26"/>
        <v>숨김</v>
      </c>
    </row>
    <row r="429" spans="1:14" s="265" customFormat="1" ht="20.100000000000001" hidden="1" customHeight="1">
      <c r="A429" s="306"/>
      <c r="B429" s="300" t="str">
        <f t="shared" si="25"/>
        <v>.</v>
      </c>
      <c r="C429" s="201" t="s">
        <v>793</v>
      </c>
      <c r="D429" s="201" t="s">
        <v>794</v>
      </c>
      <c r="E429" s="202" t="s">
        <v>38</v>
      </c>
      <c r="F429" s="203"/>
      <c r="G429" s="201">
        <f t="shared" ref="G429:G435" si="31">SUM(F429:F429)</f>
        <v>0</v>
      </c>
      <c r="H429" s="286"/>
      <c r="J429" s="363">
        <f>SUM($K$3:K429)</f>
        <v>25</v>
      </c>
      <c r="K429" s="359"/>
      <c r="L429" s="359"/>
      <c r="M429" s="359"/>
      <c r="N429" s="361" t="str">
        <f t="shared" si="26"/>
        <v>숨김</v>
      </c>
    </row>
    <row r="430" spans="1:14" s="265" customFormat="1" ht="20.100000000000001" hidden="1" customHeight="1">
      <c r="A430" s="306"/>
      <c r="B430" s="300" t="str">
        <f t="shared" si="25"/>
        <v>.</v>
      </c>
      <c r="C430" s="201" t="s">
        <v>793</v>
      </c>
      <c r="D430" s="201" t="s">
        <v>795</v>
      </c>
      <c r="E430" s="202" t="s">
        <v>38</v>
      </c>
      <c r="F430" s="203"/>
      <c r="G430" s="201">
        <f t="shared" si="31"/>
        <v>0</v>
      </c>
      <c r="H430" s="286"/>
      <c r="J430" s="363">
        <f>SUM($K$3:K430)</f>
        <v>25</v>
      </c>
      <c r="K430" s="359"/>
      <c r="L430" s="359"/>
      <c r="M430" s="359"/>
      <c r="N430" s="361" t="str">
        <f t="shared" si="26"/>
        <v>숨김</v>
      </c>
    </row>
    <row r="431" spans="1:14" s="265" customFormat="1" ht="20.100000000000001" customHeight="1">
      <c r="A431" s="306"/>
      <c r="B431" s="300" t="str">
        <f t="shared" si="25"/>
        <v>a.</v>
      </c>
      <c r="C431" s="201" t="s">
        <v>796</v>
      </c>
      <c r="D431" s="201"/>
      <c r="E431" s="202" t="s">
        <v>382</v>
      </c>
      <c r="F431" s="203">
        <v>1163.3530000000001</v>
      </c>
      <c r="G431" s="201">
        <f t="shared" si="31"/>
        <v>1163.3530000000001</v>
      </c>
      <c r="H431" s="286"/>
      <c r="J431" s="363">
        <f>SUM($K$3:K431)</f>
        <v>25</v>
      </c>
      <c r="K431" s="359"/>
      <c r="L431" s="359" t="s">
        <v>942</v>
      </c>
      <c r="M431" s="359"/>
      <c r="N431" s="361" t="str">
        <f t="shared" si="26"/>
        <v>1</v>
      </c>
    </row>
    <row r="432" spans="1:14" s="265" customFormat="1" ht="20.100000000000001" hidden="1" customHeight="1">
      <c r="A432" s="306"/>
      <c r="B432" s="300" t="str">
        <f t="shared" ref="B432:B496" si="32">IF(M432="",CONCATENATE(L432,"."),CONCATENATE(L432,"-",M432,"."))</f>
        <v>.</v>
      </c>
      <c r="C432" s="201" t="s">
        <v>796</v>
      </c>
      <c r="D432" s="201" t="s">
        <v>797</v>
      </c>
      <c r="E432" s="202" t="s">
        <v>382</v>
      </c>
      <c r="F432" s="203"/>
      <c r="G432" s="201">
        <f t="shared" si="31"/>
        <v>0</v>
      </c>
      <c r="H432" s="286"/>
      <c r="J432" s="363">
        <f>SUM($K$3:K432)</f>
        <v>25</v>
      </c>
      <c r="K432" s="359"/>
      <c r="L432" s="359"/>
      <c r="M432" s="359"/>
      <c r="N432" s="361" t="str">
        <f t="shared" ref="N432:N500" si="33">IF(K432="",IF(L432="","숨김","1"),"1")</f>
        <v>숨김</v>
      </c>
    </row>
    <row r="433" spans="1:14" s="265" customFormat="1" ht="20.100000000000001" hidden="1" customHeight="1">
      <c r="A433" s="306"/>
      <c r="B433" s="300" t="str">
        <f t="shared" si="32"/>
        <v>.</v>
      </c>
      <c r="C433" s="201" t="s">
        <v>796</v>
      </c>
      <c r="D433" s="201" t="s">
        <v>801</v>
      </c>
      <c r="E433" s="202" t="s">
        <v>382</v>
      </c>
      <c r="F433" s="203"/>
      <c r="G433" s="201">
        <f t="shared" si="31"/>
        <v>0</v>
      </c>
      <c r="H433" s="286"/>
      <c r="J433" s="363">
        <f>SUM($K$3:K433)</f>
        <v>25</v>
      </c>
      <c r="K433" s="359"/>
      <c r="L433" s="359"/>
      <c r="M433" s="359"/>
      <c r="N433" s="361" t="str">
        <f t="shared" si="33"/>
        <v>숨김</v>
      </c>
    </row>
    <row r="434" spans="1:14" s="265" customFormat="1" ht="20.100000000000001" customHeight="1">
      <c r="A434" s="306"/>
      <c r="B434" s="300" t="str">
        <f>IF(M434="",CONCATENATE(L434,"."),CONCATENATE(L434,"-",M434,"."))</f>
        <v>b.</v>
      </c>
      <c r="C434" s="201" t="s">
        <v>970</v>
      </c>
      <c r="D434" s="201" t="s">
        <v>34</v>
      </c>
      <c r="E434" s="202" t="s">
        <v>382</v>
      </c>
      <c r="F434" s="203">
        <f>F431+344.27</f>
        <v>1507.623</v>
      </c>
      <c r="G434" s="201">
        <f t="shared" si="31"/>
        <v>1507.623</v>
      </c>
      <c r="H434" s="286"/>
      <c r="J434" s="363">
        <f>SUM($K$3:K434)</f>
        <v>25</v>
      </c>
      <c r="K434" s="359"/>
      <c r="L434" s="359" t="s">
        <v>943</v>
      </c>
      <c r="M434" s="359"/>
      <c r="N434" s="361" t="str">
        <f>IF(K434="",IF(L434="","숨김","1"),"1")</f>
        <v>1</v>
      </c>
    </row>
    <row r="435" spans="1:14" s="265" customFormat="1" ht="20.100000000000001" customHeight="1">
      <c r="A435" s="306"/>
      <c r="B435" s="300" t="str">
        <f t="shared" si="32"/>
        <v>b.</v>
      </c>
      <c r="C435" s="201" t="s">
        <v>1174</v>
      </c>
      <c r="D435" s="201"/>
      <c r="E435" s="202" t="s">
        <v>38</v>
      </c>
      <c r="F435" s="203">
        <v>32</v>
      </c>
      <c r="G435" s="201">
        <f t="shared" si="31"/>
        <v>32</v>
      </c>
      <c r="H435" s="286"/>
      <c r="J435" s="363">
        <f>SUM($K$3:K435)</f>
        <v>25</v>
      </c>
      <c r="K435" s="359"/>
      <c r="L435" s="359" t="s">
        <v>943</v>
      </c>
      <c r="M435" s="359"/>
      <c r="N435" s="361" t="str">
        <f t="shared" si="33"/>
        <v>1</v>
      </c>
    </row>
    <row r="436" spans="1:14" s="265" customFormat="1" ht="20.100000000000001" hidden="1" customHeight="1">
      <c r="A436" s="306"/>
      <c r="B436" s="300" t="str">
        <f t="shared" si="32"/>
        <v>.</v>
      </c>
      <c r="C436" s="201" t="s">
        <v>798</v>
      </c>
      <c r="D436" s="201" t="s">
        <v>799</v>
      </c>
      <c r="E436" s="202" t="s">
        <v>8</v>
      </c>
      <c r="F436" s="203"/>
      <c r="G436" s="201">
        <f t="shared" ref="G436:G446" si="34">SUM(F436:F436)</f>
        <v>0</v>
      </c>
      <c r="H436" s="286"/>
      <c r="J436" s="363">
        <f>SUM($K$3:K436)</f>
        <v>25</v>
      </c>
      <c r="K436" s="359"/>
      <c r="L436" s="359"/>
      <c r="M436" s="359"/>
      <c r="N436" s="361" t="str">
        <f t="shared" si="33"/>
        <v>숨김</v>
      </c>
    </row>
    <row r="437" spans="1:14" s="265" customFormat="1" ht="20.100000000000001" hidden="1" customHeight="1">
      <c r="A437" s="306"/>
      <c r="B437" s="300" t="str">
        <f t="shared" si="32"/>
        <v>.</v>
      </c>
      <c r="C437" s="201" t="s">
        <v>798</v>
      </c>
      <c r="D437" s="201" t="s">
        <v>800</v>
      </c>
      <c r="E437" s="202" t="s">
        <v>8</v>
      </c>
      <c r="F437" s="203"/>
      <c r="G437" s="201">
        <f t="shared" si="34"/>
        <v>0</v>
      </c>
      <c r="H437" s="286"/>
      <c r="J437" s="363">
        <f>SUM($K$3:K437)</f>
        <v>25</v>
      </c>
      <c r="K437" s="359"/>
      <c r="L437" s="359"/>
      <c r="M437" s="359"/>
      <c r="N437" s="361" t="str">
        <f t="shared" si="33"/>
        <v>숨김</v>
      </c>
    </row>
    <row r="438" spans="1:14" s="265" customFormat="1" ht="20.100000000000001" hidden="1" customHeight="1">
      <c r="A438" s="306"/>
      <c r="B438" s="300" t="str">
        <f t="shared" si="32"/>
        <v>.</v>
      </c>
      <c r="C438" s="201" t="s">
        <v>802</v>
      </c>
      <c r="D438" s="201" t="s">
        <v>803</v>
      </c>
      <c r="E438" s="202" t="s">
        <v>382</v>
      </c>
      <c r="F438" s="203"/>
      <c r="G438" s="201">
        <f t="shared" si="34"/>
        <v>0</v>
      </c>
      <c r="H438" s="286"/>
      <c r="J438" s="363">
        <f>SUM($K$3:K438)</f>
        <v>25</v>
      </c>
      <c r="K438" s="359"/>
      <c r="L438" s="359"/>
      <c r="M438" s="359"/>
      <c r="N438" s="361" t="str">
        <f t="shared" si="33"/>
        <v>숨김</v>
      </c>
    </row>
    <row r="439" spans="1:14" s="265" customFormat="1" ht="20.100000000000001" hidden="1" customHeight="1">
      <c r="A439" s="306"/>
      <c r="B439" s="300" t="str">
        <f t="shared" si="32"/>
        <v>.</v>
      </c>
      <c r="C439" s="201" t="s">
        <v>804</v>
      </c>
      <c r="D439" s="201"/>
      <c r="E439" s="202" t="s">
        <v>382</v>
      </c>
      <c r="F439" s="203">
        <f>F432</f>
        <v>0</v>
      </c>
      <c r="G439" s="201">
        <f t="shared" si="34"/>
        <v>0</v>
      </c>
      <c r="H439" s="286"/>
      <c r="J439" s="363">
        <f>SUM($K$3:K439)</f>
        <v>25</v>
      </c>
      <c r="K439" s="359"/>
      <c r="L439" s="359"/>
      <c r="M439" s="359"/>
      <c r="N439" s="361" t="str">
        <f t="shared" si="33"/>
        <v>숨김</v>
      </c>
    </row>
    <row r="440" spans="1:14" s="265" customFormat="1" ht="20.100000000000001" hidden="1" customHeight="1">
      <c r="A440" s="306"/>
      <c r="B440" s="300" t="str">
        <f t="shared" si="32"/>
        <v>.</v>
      </c>
      <c r="C440" s="201" t="s">
        <v>805</v>
      </c>
      <c r="D440" s="201"/>
      <c r="E440" s="202" t="s">
        <v>8</v>
      </c>
      <c r="F440" s="203"/>
      <c r="G440" s="201">
        <f t="shared" si="34"/>
        <v>0</v>
      </c>
      <c r="H440" s="286"/>
      <c r="J440" s="363">
        <f>SUM($K$3:K440)</f>
        <v>25</v>
      </c>
      <c r="K440" s="359"/>
      <c r="L440" s="359"/>
      <c r="M440" s="359"/>
      <c r="N440" s="361" t="str">
        <f t="shared" si="33"/>
        <v>숨김</v>
      </c>
    </row>
    <row r="441" spans="1:14" s="265" customFormat="1" ht="20.100000000000001" hidden="1" customHeight="1">
      <c r="A441" s="306"/>
      <c r="B441" s="300" t="str">
        <f t="shared" si="32"/>
        <v>.</v>
      </c>
      <c r="C441" s="201" t="s">
        <v>806</v>
      </c>
      <c r="D441" s="201" t="s">
        <v>807</v>
      </c>
      <c r="E441" s="202" t="s">
        <v>808</v>
      </c>
      <c r="F441" s="203"/>
      <c r="G441" s="201">
        <f t="shared" si="34"/>
        <v>0</v>
      </c>
      <c r="H441" s="286"/>
      <c r="J441" s="363">
        <f>SUM($K$3:K441)</f>
        <v>25</v>
      </c>
      <c r="K441" s="359"/>
      <c r="L441" s="359"/>
      <c r="M441" s="359"/>
      <c r="N441" s="361" t="str">
        <f t="shared" si="33"/>
        <v>숨김</v>
      </c>
    </row>
    <row r="442" spans="1:14" s="262" customFormat="1" ht="20.100000000000001" customHeight="1">
      <c r="A442" s="301" t="str">
        <f>A413</f>
        <v>1.</v>
      </c>
      <c r="B442" s="298" t="str">
        <f>IF(J442&gt;9,CONCATENATE(J442,"."),CONCATENATE("0",J442,"."))</f>
        <v>26.</v>
      </c>
      <c r="C442" s="257" t="s">
        <v>392</v>
      </c>
      <c r="D442" s="257"/>
      <c r="E442" s="258"/>
      <c r="F442" s="259"/>
      <c r="G442" s="257"/>
      <c r="H442" s="261"/>
      <c r="J442" s="363">
        <f>SUM($K$3:K442)</f>
        <v>26</v>
      </c>
      <c r="K442" s="355">
        <v>1</v>
      </c>
      <c r="L442" s="355"/>
      <c r="M442" s="355"/>
      <c r="N442" s="361" t="str">
        <f t="shared" si="33"/>
        <v>1</v>
      </c>
    </row>
    <row r="443" spans="1:14" s="35" customFormat="1" ht="18" customHeight="1">
      <c r="A443" s="302"/>
      <c r="B443" s="300" t="str">
        <f t="shared" si="32"/>
        <v>a.</v>
      </c>
      <c r="C443" s="36" t="s">
        <v>391</v>
      </c>
      <c r="D443" s="36" t="s">
        <v>647</v>
      </c>
      <c r="E443" s="37" t="s">
        <v>393</v>
      </c>
      <c r="F443" s="203">
        <f>주요자재!E29</f>
        <v>35327</v>
      </c>
      <c r="G443" s="201">
        <f t="shared" si="34"/>
        <v>35327</v>
      </c>
      <c r="H443" s="34"/>
      <c r="J443" s="363">
        <f>SUM($K$3:K443)</f>
        <v>26</v>
      </c>
      <c r="K443" s="356"/>
      <c r="L443" s="356" t="s">
        <v>942</v>
      </c>
      <c r="M443" s="356"/>
      <c r="N443" s="361" t="str">
        <f t="shared" si="33"/>
        <v>1</v>
      </c>
    </row>
    <row r="444" spans="1:14" s="35" customFormat="1" ht="18" customHeight="1">
      <c r="A444" s="299"/>
      <c r="B444" s="300" t="str">
        <f t="shared" si="32"/>
        <v>b-1.</v>
      </c>
      <c r="C444" s="201" t="s">
        <v>394</v>
      </c>
      <c r="D444" s="36" t="s">
        <v>1044</v>
      </c>
      <c r="E444" s="202" t="s">
        <v>214</v>
      </c>
      <c r="F444" s="379">
        <f>+SUM(F480:F485)</f>
        <v>177.65100000000001</v>
      </c>
      <c r="G444" s="206">
        <f t="shared" si="34"/>
        <v>177.65100000000001</v>
      </c>
      <c r="H444" s="34"/>
      <c r="J444" s="363">
        <f>SUM($K$3:K444)</f>
        <v>26</v>
      </c>
      <c r="K444" s="356"/>
      <c r="L444" s="356" t="s">
        <v>943</v>
      </c>
      <c r="M444" s="356">
        <v>1</v>
      </c>
      <c r="N444" s="361" t="str">
        <f t="shared" si="33"/>
        <v>1</v>
      </c>
    </row>
    <row r="445" spans="1:14" s="35" customFormat="1" ht="18" hidden="1" customHeight="1">
      <c r="A445" s="299"/>
      <c r="B445" s="300" t="str">
        <f>IF(M445="",CONCATENATE(L445,"."),CONCATENATE(L445,"-",M445,"."))</f>
        <v>.</v>
      </c>
      <c r="C445" s="201" t="s">
        <v>64</v>
      </c>
      <c r="D445" s="201" t="s">
        <v>1043</v>
      </c>
      <c r="E445" s="202" t="s">
        <v>214</v>
      </c>
      <c r="F445" s="379"/>
      <c r="G445" s="206">
        <f>SUM(F445:F445)</f>
        <v>0</v>
      </c>
      <c r="H445" s="34"/>
      <c r="J445" s="363">
        <v>22</v>
      </c>
      <c r="K445" s="356"/>
      <c r="L445" s="356"/>
      <c r="M445" s="356"/>
      <c r="N445" s="361" t="str">
        <f>IF(K445="",IF(L445="","숨김","1"),"1")</f>
        <v>숨김</v>
      </c>
    </row>
    <row r="446" spans="1:14" s="35" customFormat="1" ht="18" hidden="1" customHeight="1">
      <c r="A446" s="299"/>
      <c r="B446" s="300" t="str">
        <f t="shared" si="32"/>
        <v>.</v>
      </c>
      <c r="C446" s="36" t="s">
        <v>745</v>
      </c>
      <c r="D446" s="36" t="s">
        <v>652</v>
      </c>
      <c r="E446" s="37" t="s">
        <v>4</v>
      </c>
      <c r="F446" s="208">
        <f>주요자재!E30</f>
        <v>0</v>
      </c>
      <c r="G446" s="201">
        <f t="shared" si="34"/>
        <v>0</v>
      </c>
      <c r="H446" s="34"/>
      <c r="J446" s="363">
        <f>SUM($K$3:K446)</f>
        <v>26</v>
      </c>
      <c r="K446" s="356"/>
      <c r="L446" s="356"/>
      <c r="M446" s="356"/>
      <c r="N446" s="361" t="str">
        <f t="shared" si="33"/>
        <v>숨김</v>
      </c>
    </row>
    <row r="447" spans="1:14" s="35" customFormat="1" ht="18" hidden="1" customHeight="1">
      <c r="A447" s="299"/>
      <c r="B447" s="300" t="str">
        <f t="shared" si="32"/>
        <v>.</v>
      </c>
      <c r="C447" s="36" t="s">
        <v>744</v>
      </c>
      <c r="D447" s="36"/>
      <c r="F447" s="208"/>
      <c r="G447" s="201">
        <f t="shared" ref="G447:G452" si="35">SUM(F447:F447)</f>
        <v>0</v>
      </c>
      <c r="H447" s="34"/>
      <c r="J447" s="363">
        <f>SUM($K$3:K447)</f>
        <v>26</v>
      </c>
      <c r="K447" s="356"/>
      <c r="L447" s="356"/>
      <c r="M447" s="356"/>
      <c r="N447" s="361" t="str">
        <f t="shared" si="33"/>
        <v>숨김</v>
      </c>
    </row>
    <row r="448" spans="1:14" s="35" customFormat="1" ht="18" hidden="1" customHeight="1">
      <c r="A448" s="299"/>
      <c r="B448" s="300" t="str">
        <f t="shared" si="32"/>
        <v>.</v>
      </c>
      <c r="C448" s="36" t="s">
        <v>744</v>
      </c>
      <c r="D448" s="36" t="s">
        <v>648</v>
      </c>
      <c r="E448" s="37" t="s">
        <v>4</v>
      </c>
      <c r="F448" s="208">
        <f>+주요자재!E32</f>
        <v>0</v>
      </c>
      <c r="G448" s="201">
        <f t="shared" si="35"/>
        <v>0</v>
      </c>
      <c r="H448" s="34"/>
      <c r="J448" s="363">
        <f>SUM($K$3:K448)</f>
        <v>26</v>
      </c>
      <c r="K448" s="356"/>
      <c r="L448" s="356"/>
      <c r="M448" s="356"/>
      <c r="N448" s="361" t="str">
        <f t="shared" si="33"/>
        <v>숨김</v>
      </c>
    </row>
    <row r="449" spans="1:14" s="35" customFormat="1" ht="18" hidden="1" customHeight="1">
      <c r="A449" s="299"/>
      <c r="B449" s="300" t="str">
        <f t="shared" si="32"/>
        <v>.</v>
      </c>
      <c r="C449" s="36" t="s">
        <v>744</v>
      </c>
      <c r="D449" s="36" t="s">
        <v>649</v>
      </c>
      <c r="E449" s="37" t="s">
        <v>4</v>
      </c>
      <c r="F449" s="208">
        <f>+주요자재!E33</f>
        <v>0</v>
      </c>
      <c r="G449" s="201">
        <f t="shared" si="35"/>
        <v>0</v>
      </c>
      <c r="H449" s="34"/>
      <c r="J449" s="363">
        <f>SUM($K$3:K449)</f>
        <v>26</v>
      </c>
      <c r="K449" s="356"/>
      <c r="L449" s="356"/>
      <c r="M449" s="356"/>
      <c r="N449" s="361" t="str">
        <f t="shared" si="33"/>
        <v>숨김</v>
      </c>
    </row>
    <row r="450" spans="1:14" s="35" customFormat="1" ht="18" hidden="1" customHeight="1">
      <c r="A450" s="299"/>
      <c r="B450" s="300" t="str">
        <f t="shared" si="32"/>
        <v>.</v>
      </c>
      <c r="C450" s="201" t="s">
        <v>743</v>
      </c>
      <c r="D450" s="201" t="s">
        <v>738</v>
      </c>
      <c r="E450" s="37" t="s">
        <v>4</v>
      </c>
      <c r="F450" s="208">
        <f>F458</f>
        <v>0</v>
      </c>
      <c r="G450" s="201">
        <f t="shared" si="35"/>
        <v>0</v>
      </c>
      <c r="H450" s="34"/>
      <c r="J450" s="363">
        <f>SUM($K$3:K450)</f>
        <v>26</v>
      </c>
      <c r="K450" s="356"/>
      <c r="L450" s="356"/>
      <c r="M450" s="356"/>
      <c r="N450" s="361" t="str">
        <f t="shared" si="33"/>
        <v>숨김</v>
      </c>
    </row>
    <row r="451" spans="1:14" s="28" customFormat="1" ht="18.95" hidden="1" customHeight="1">
      <c r="A451" s="299"/>
      <c r="B451" s="300" t="str">
        <f t="shared" si="32"/>
        <v>.</v>
      </c>
      <c r="C451" s="201" t="s">
        <v>750</v>
      </c>
      <c r="D451" s="201" t="s">
        <v>751</v>
      </c>
      <c r="E451" s="37" t="s">
        <v>4</v>
      </c>
      <c r="F451" s="203">
        <f>주요자재!E35</f>
        <v>0</v>
      </c>
      <c r="G451" s="201">
        <f t="shared" si="35"/>
        <v>0</v>
      </c>
      <c r="H451" s="34"/>
      <c r="J451" s="363">
        <f>SUM($K$3:K451)</f>
        <v>26</v>
      </c>
      <c r="K451" s="357"/>
      <c r="L451" s="357"/>
      <c r="M451" s="357"/>
      <c r="N451" s="361" t="str">
        <f t="shared" si="33"/>
        <v>숨김</v>
      </c>
    </row>
    <row r="452" spans="1:14" s="28" customFormat="1" ht="18.95" hidden="1" customHeight="1">
      <c r="A452" s="299"/>
      <c r="B452" s="300" t="str">
        <f t="shared" si="32"/>
        <v>.</v>
      </c>
      <c r="C452" s="201" t="s">
        <v>750</v>
      </c>
      <c r="D452" s="201" t="s">
        <v>918</v>
      </c>
      <c r="E452" s="37" t="s">
        <v>4</v>
      </c>
      <c r="F452" s="203">
        <f>주요자재!E36</f>
        <v>0</v>
      </c>
      <c r="G452" s="201">
        <f t="shared" si="35"/>
        <v>0</v>
      </c>
      <c r="H452" s="34"/>
      <c r="J452" s="363">
        <f>SUM($K$3:K452)</f>
        <v>26</v>
      </c>
      <c r="K452" s="357"/>
      <c r="L452" s="357"/>
      <c r="M452" s="357"/>
      <c r="N452" s="361" t="str">
        <f t="shared" si="33"/>
        <v>숨김</v>
      </c>
    </row>
    <row r="453" spans="1:14" s="262" customFormat="1" ht="18" customHeight="1">
      <c r="A453" s="301" t="str">
        <f>A442</f>
        <v>1.</v>
      </c>
      <c r="B453" s="298" t="str">
        <f>IF(J453&gt;9,CONCATENATE(J453,"."),CONCATENATE("0",J453,"."))</f>
        <v>27.</v>
      </c>
      <c r="C453" s="257" t="s">
        <v>741</v>
      </c>
      <c r="D453" s="257"/>
      <c r="E453" s="258"/>
      <c r="F453" s="259"/>
      <c r="G453" s="266"/>
      <c r="H453" s="261"/>
      <c r="J453" s="363">
        <f>SUM($K$3:K453)</f>
        <v>27</v>
      </c>
      <c r="K453" s="355">
        <v>1</v>
      </c>
      <c r="L453" s="355"/>
      <c r="M453" s="355"/>
      <c r="N453" s="361" t="str">
        <f t="shared" si="33"/>
        <v>1</v>
      </c>
    </row>
    <row r="454" spans="1:14" s="28" customFormat="1" ht="18" hidden="1" customHeight="1">
      <c r="A454" s="299"/>
      <c r="B454" s="300" t="str">
        <f t="shared" si="32"/>
        <v>.</v>
      </c>
      <c r="C454" s="201" t="s">
        <v>745</v>
      </c>
      <c r="D454" s="201" t="s">
        <v>650</v>
      </c>
      <c r="E454" s="202" t="s">
        <v>4</v>
      </c>
      <c r="F454" s="203">
        <f>주요자재!E30</f>
        <v>0</v>
      </c>
      <c r="G454" s="201">
        <f t="shared" ref="G454:G476" si="36">SUM(F454:F454)</f>
        <v>0</v>
      </c>
      <c r="H454" s="34"/>
      <c r="J454" s="363">
        <f>SUM($K$3:K454)</f>
        <v>27</v>
      </c>
      <c r="K454" s="357"/>
      <c r="L454" s="357"/>
      <c r="M454" s="357"/>
      <c r="N454" s="361" t="str">
        <f t="shared" si="33"/>
        <v>숨김</v>
      </c>
    </row>
    <row r="455" spans="1:14" s="28" customFormat="1" ht="18.95" hidden="1" customHeight="1">
      <c r="A455" s="299"/>
      <c r="B455" s="300" t="str">
        <f t="shared" si="32"/>
        <v>.</v>
      </c>
      <c r="C455" s="201" t="s">
        <v>744</v>
      </c>
      <c r="D455" s="201"/>
      <c r="E455" s="202"/>
      <c r="F455" s="203"/>
      <c r="G455" s="201">
        <f t="shared" si="36"/>
        <v>0</v>
      </c>
      <c r="H455" s="34"/>
      <c r="J455" s="363">
        <f>SUM($K$3:K455)</f>
        <v>27</v>
      </c>
      <c r="K455" s="357"/>
      <c r="L455" s="357"/>
      <c r="M455" s="357"/>
      <c r="N455" s="361" t="str">
        <f t="shared" si="33"/>
        <v>숨김</v>
      </c>
    </row>
    <row r="456" spans="1:14" s="35" customFormat="1" ht="18.95" hidden="1" customHeight="1">
      <c r="A456" s="307"/>
      <c r="B456" s="300" t="str">
        <f t="shared" si="32"/>
        <v>.</v>
      </c>
      <c r="C456" s="36" t="s">
        <v>744</v>
      </c>
      <c r="D456" s="36" t="s">
        <v>648</v>
      </c>
      <c r="E456" s="37" t="s">
        <v>4</v>
      </c>
      <c r="F456" s="210">
        <f>+주요자재!E32</f>
        <v>0</v>
      </c>
      <c r="G456" s="201">
        <f t="shared" si="36"/>
        <v>0</v>
      </c>
      <c r="H456" s="39"/>
      <c r="J456" s="363">
        <f>SUM($K$3:K456)</f>
        <v>27</v>
      </c>
      <c r="K456" s="356"/>
      <c r="L456" s="356"/>
      <c r="M456" s="356"/>
      <c r="N456" s="361" t="str">
        <f t="shared" si="33"/>
        <v>숨김</v>
      </c>
    </row>
    <row r="457" spans="1:14" s="35" customFormat="1" ht="18.95" hidden="1" customHeight="1">
      <c r="A457" s="307"/>
      <c r="B457" s="300" t="str">
        <f t="shared" si="32"/>
        <v>.</v>
      </c>
      <c r="C457" s="36" t="s">
        <v>744</v>
      </c>
      <c r="D457" s="36" t="s">
        <v>649</v>
      </c>
      <c r="E457" s="37" t="s">
        <v>4</v>
      </c>
      <c r="F457" s="210">
        <f>+주요자재!E33</f>
        <v>0</v>
      </c>
      <c r="G457" s="201">
        <f t="shared" si="36"/>
        <v>0</v>
      </c>
      <c r="H457" s="39"/>
      <c r="J457" s="363">
        <f>SUM($K$3:K457)</f>
        <v>27</v>
      </c>
      <c r="K457" s="356"/>
      <c r="L457" s="356"/>
      <c r="M457" s="356"/>
      <c r="N457" s="361" t="str">
        <f t="shared" si="33"/>
        <v>숨김</v>
      </c>
    </row>
    <row r="458" spans="1:14" s="28" customFormat="1" ht="18.95" hidden="1" customHeight="1">
      <c r="A458" s="299"/>
      <c r="B458" s="300" t="str">
        <f t="shared" si="32"/>
        <v>.</v>
      </c>
      <c r="C458" s="201" t="s">
        <v>746</v>
      </c>
      <c r="D458" s="201" t="s">
        <v>786</v>
      </c>
      <c r="E458" s="37" t="s">
        <v>4</v>
      </c>
      <c r="F458" s="203">
        <f>주요자재!E34</f>
        <v>0</v>
      </c>
      <c r="G458" s="201">
        <f t="shared" si="36"/>
        <v>0</v>
      </c>
      <c r="H458" s="34"/>
      <c r="J458" s="363">
        <f>SUM($K$3:K458)</f>
        <v>27</v>
      </c>
      <c r="K458" s="357"/>
      <c r="L458" s="357"/>
      <c r="M458" s="357"/>
      <c r="N458" s="361" t="str">
        <f t="shared" si="33"/>
        <v>숨김</v>
      </c>
    </row>
    <row r="459" spans="1:14" s="28" customFormat="1" ht="18.95" hidden="1" customHeight="1">
      <c r="A459" s="299"/>
      <c r="B459" s="300" t="str">
        <f t="shared" si="32"/>
        <v>.</v>
      </c>
      <c r="C459" s="201" t="s">
        <v>752</v>
      </c>
      <c r="D459" s="201" t="s">
        <v>753</v>
      </c>
      <c r="E459" s="37" t="s">
        <v>4</v>
      </c>
      <c r="F459" s="203">
        <f>주요자재!E35</f>
        <v>0</v>
      </c>
      <c r="G459" s="201">
        <f>SUM(F459:F459)</f>
        <v>0</v>
      </c>
      <c r="H459" s="34"/>
      <c r="J459" s="363">
        <f>SUM($K$3:K459)</f>
        <v>27</v>
      </c>
      <c r="K459" s="357"/>
      <c r="L459" s="357"/>
      <c r="M459" s="357"/>
      <c r="N459" s="361" t="str">
        <f t="shared" si="33"/>
        <v>숨김</v>
      </c>
    </row>
    <row r="460" spans="1:14" s="28" customFormat="1" ht="18.95" customHeight="1">
      <c r="A460" s="299"/>
      <c r="B460" s="300" t="str">
        <f t="shared" si="32"/>
        <v>a.</v>
      </c>
      <c r="C460" s="201" t="s">
        <v>391</v>
      </c>
      <c r="D460" s="36" t="s">
        <v>647</v>
      </c>
      <c r="E460" s="202" t="s">
        <v>393</v>
      </c>
      <c r="F460" s="208">
        <f>주요자재!E29</f>
        <v>35327</v>
      </c>
      <c r="G460" s="201">
        <f>SUM(F460:F460)</f>
        <v>35327</v>
      </c>
      <c r="H460" s="34"/>
      <c r="J460" s="363">
        <f>SUM($K$3:K460)</f>
        <v>27</v>
      </c>
      <c r="K460" s="357"/>
      <c r="L460" s="357" t="s">
        <v>942</v>
      </c>
      <c r="M460" s="357"/>
      <c r="N460" s="361" t="str">
        <f t="shared" si="33"/>
        <v>1</v>
      </c>
    </row>
    <row r="461" spans="1:14" s="28" customFormat="1" ht="18.95" hidden="1" customHeight="1">
      <c r="A461" s="299"/>
      <c r="B461" s="300" t="str">
        <f t="shared" si="32"/>
        <v>.</v>
      </c>
      <c r="C461" s="201" t="s">
        <v>935</v>
      </c>
      <c r="D461" s="201"/>
      <c r="E461" s="37"/>
      <c r="F461" s="203"/>
      <c r="G461" s="201"/>
      <c r="H461" s="34"/>
      <c r="J461" s="363">
        <f>SUM($K$3:K461)</f>
        <v>27</v>
      </c>
      <c r="K461" s="357"/>
      <c r="L461" s="357"/>
      <c r="M461" s="357"/>
      <c r="N461" s="361" t="str">
        <f t="shared" si="33"/>
        <v>숨김</v>
      </c>
    </row>
    <row r="462" spans="1:14" s="28" customFormat="1" ht="18.95" hidden="1" customHeight="1">
      <c r="A462" s="299"/>
      <c r="B462" s="300" t="str">
        <f t="shared" si="32"/>
        <v>.</v>
      </c>
      <c r="C462" s="201" t="s">
        <v>930</v>
      </c>
      <c r="D462" s="201"/>
      <c r="E462" s="202" t="s">
        <v>38</v>
      </c>
      <c r="F462" s="203">
        <f>구조물공총괄집계표!G94</f>
        <v>0</v>
      </c>
      <c r="G462" s="201">
        <f>SUM(F462:F462)</f>
        <v>0</v>
      </c>
      <c r="H462" s="34"/>
      <c r="J462" s="363">
        <f>SUM($K$3:K462)</f>
        <v>27</v>
      </c>
      <c r="K462" s="357"/>
      <c r="L462" s="357"/>
      <c r="M462" s="357"/>
      <c r="N462" s="361" t="str">
        <f t="shared" si="33"/>
        <v>숨김</v>
      </c>
    </row>
    <row r="463" spans="1:14" s="28" customFormat="1" ht="18.95" hidden="1" customHeight="1">
      <c r="A463" s="299"/>
      <c r="B463" s="300" t="str">
        <f>IF(M463="",CONCATENATE(L463,"."),CONCATENATE(L463,"-",M463,"."))</f>
        <v>.</v>
      </c>
      <c r="C463" s="201" t="s">
        <v>399</v>
      </c>
      <c r="D463" s="201"/>
      <c r="E463" s="202" t="s">
        <v>214</v>
      </c>
      <c r="F463" s="205"/>
      <c r="G463" s="206">
        <f>SUM(F463:F463)</f>
        <v>0</v>
      </c>
      <c r="H463" s="34"/>
      <c r="J463" s="363">
        <f>SUM($K$3:K463)</f>
        <v>27</v>
      </c>
      <c r="K463" s="357"/>
      <c r="L463" s="357"/>
      <c r="M463" s="357"/>
      <c r="N463" s="361" t="str">
        <f>IF(K463="",IF(L463="","숨김","1"),"1")</f>
        <v>숨김</v>
      </c>
    </row>
    <row r="464" spans="1:14" s="28" customFormat="1" ht="18.95" customHeight="1">
      <c r="A464" s="299"/>
      <c r="B464" s="300" t="str">
        <f>IF(M464="",CONCATENATE(L464,"."),CONCATENATE(L464,"-",M464,"."))</f>
        <v>b.</v>
      </c>
      <c r="C464" s="201" t="s">
        <v>971</v>
      </c>
      <c r="D464" s="201" t="s">
        <v>1067</v>
      </c>
      <c r="E464" s="202" t="s">
        <v>972</v>
      </c>
      <c r="F464" s="205">
        <f>주요자재!E49</f>
        <v>2</v>
      </c>
      <c r="G464" s="206">
        <f>SUM(F464:F464)</f>
        <v>2</v>
      </c>
      <c r="H464" s="34"/>
      <c r="J464" s="363">
        <f>SUM($K$3:K464)</f>
        <v>27</v>
      </c>
      <c r="K464" s="357"/>
      <c r="L464" s="357" t="s">
        <v>943</v>
      </c>
      <c r="M464" s="357"/>
      <c r="N464" s="361" t="str">
        <f>IF(K464="",IF(L464="","숨김","1"),"1")</f>
        <v>1</v>
      </c>
    </row>
    <row r="465" spans="1:14" s="35" customFormat="1" ht="18.95" customHeight="1">
      <c r="A465" s="307"/>
      <c r="B465" s="300" t="str">
        <f>IF(M465="",CONCATENATE(L465,"."),CONCATENATE(L465,"-",M465,"."))</f>
        <v>c.</v>
      </c>
      <c r="C465" s="201" t="s">
        <v>952</v>
      </c>
      <c r="D465" s="201" t="s">
        <v>718</v>
      </c>
      <c r="E465" s="202" t="s">
        <v>4</v>
      </c>
      <c r="F465" s="203">
        <f>주요자재!E40</f>
        <v>1247.9012</v>
      </c>
      <c r="G465" s="201">
        <f>SUM(F465:F465)</f>
        <v>1247.9012</v>
      </c>
      <c r="H465" s="39"/>
      <c r="J465" s="363">
        <f>SUM($K$3:K465)</f>
        <v>27</v>
      </c>
      <c r="K465" s="356"/>
      <c r="L465" s="356" t="s">
        <v>944</v>
      </c>
      <c r="M465" s="356"/>
      <c r="N465" s="361" t="str">
        <f>IF(K465="",IF(L465="","숨김","1"),"1")</f>
        <v>1</v>
      </c>
    </row>
    <row r="466" spans="1:14" s="262" customFormat="1" ht="18" customHeight="1">
      <c r="A466" s="301" t="str">
        <f>A453</f>
        <v>1.</v>
      </c>
      <c r="B466" s="298" t="str">
        <f>IF(J466&gt;9,CONCATENATE(J466,"."),CONCATENATE("0",J466,"."))</f>
        <v>28.</v>
      </c>
      <c r="C466" s="257" t="s">
        <v>742</v>
      </c>
      <c r="D466" s="257"/>
      <c r="E466" s="258"/>
      <c r="F466" s="259"/>
      <c r="G466" s="266"/>
      <c r="H466" s="261"/>
      <c r="J466" s="363">
        <f>SUM($K$3:K466)</f>
        <v>28</v>
      </c>
      <c r="K466" s="355">
        <v>1</v>
      </c>
      <c r="L466" s="355"/>
      <c r="M466" s="355"/>
      <c r="N466" s="361" t="str">
        <f t="shared" si="33"/>
        <v>1</v>
      </c>
    </row>
    <row r="467" spans="1:14" s="28" customFormat="1" ht="18" hidden="1" customHeight="1">
      <c r="A467" s="299"/>
      <c r="B467" s="300" t="str">
        <f t="shared" si="32"/>
        <v>.</v>
      </c>
      <c r="C467" s="201" t="s">
        <v>391</v>
      </c>
      <c r="D467" s="36" t="s">
        <v>647</v>
      </c>
      <c r="E467" s="202" t="s">
        <v>393</v>
      </c>
      <c r="F467" s="208"/>
      <c r="G467" s="201">
        <f t="shared" si="36"/>
        <v>0</v>
      </c>
      <c r="H467" s="34"/>
      <c r="J467" s="363">
        <f>SUM($K$3:K467)</f>
        <v>28</v>
      </c>
      <c r="K467" s="357"/>
      <c r="L467" s="357"/>
      <c r="M467" s="357"/>
      <c r="N467" s="361" t="str">
        <f t="shared" si="33"/>
        <v>숨김</v>
      </c>
    </row>
    <row r="468" spans="1:14" s="35" customFormat="1" ht="18" customHeight="1">
      <c r="A468" s="299"/>
      <c r="B468" s="300" t="str">
        <f t="shared" si="32"/>
        <v>a.</v>
      </c>
      <c r="C468" s="201" t="s">
        <v>395</v>
      </c>
      <c r="D468" s="201"/>
      <c r="E468" s="202"/>
      <c r="F468" s="203"/>
      <c r="G468" s="209"/>
      <c r="H468" s="34"/>
      <c r="J468" s="363">
        <f>SUM($K$3:K468)</f>
        <v>28</v>
      </c>
      <c r="K468" s="356"/>
      <c r="L468" s="356" t="s">
        <v>942</v>
      </c>
      <c r="M468" s="356"/>
      <c r="N468" s="361" t="str">
        <f t="shared" si="33"/>
        <v>1</v>
      </c>
    </row>
    <row r="469" spans="1:14" s="28" customFormat="1" ht="18" hidden="1" customHeight="1">
      <c r="A469" s="299"/>
      <c r="B469" s="300" t="str">
        <f t="shared" si="32"/>
        <v>.</v>
      </c>
      <c r="C469" s="248" t="s">
        <v>395</v>
      </c>
      <c r="D469" s="248" t="str">
        <f>콘크리트자재집계!F4</f>
        <v>19-27-15</v>
      </c>
      <c r="E469" s="202" t="s">
        <v>4</v>
      </c>
      <c r="F469" s="203"/>
      <c r="G469" s="201"/>
      <c r="H469" s="34"/>
      <c r="J469" s="363">
        <f>SUM($K$3:K469)</f>
        <v>28</v>
      </c>
      <c r="K469" s="357"/>
      <c r="L469" s="357"/>
      <c r="M469" s="357"/>
      <c r="N469" s="361" t="str">
        <f t="shared" si="33"/>
        <v>숨김</v>
      </c>
    </row>
    <row r="470" spans="1:14" s="28" customFormat="1" ht="18" customHeight="1">
      <c r="A470" s="299"/>
      <c r="B470" s="300" t="str">
        <f t="shared" si="32"/>
        <v>a-1.</v>
      </c>
      <c r="C470" s="248" t="s">
        <v>395</v>
      </c>
      <c r="D470" s="248" t="str">
        <f>콘크리트자재집계!G3</f>
        <v>25-35-150</v>
      </c>
      <c r="E470" s="202" t="s">
        <v>4</v>
      </c>
      <c r="F470" s="203">
        <f>주요자재!E23</f>
        <v>973</v>
      </c>
      <c r="G470" s="201">
        <f t="shared" si="36"/>
        <v>973</v>
      </c>
      <c r="H470" s="34"/>
      <c r="J470" s="363">
        <f>SUM($K$3:K470)</f>
        <v>28</v>
      </c>
      <c r="K470" s="357"/>
      <c r="L470" s="357" t="s">
        <v>942</v>
      </c>
      <c r="M470" s="357">
        <v>1</v>
      </c>
      <c r="N470" s="361" t="str">
        <f t="shared" si="33"/>
        <v>1</v>
      </c>
    </row>
    <row r="471" spans="1:14" s="35" customFormat="1" ht="18" customHeight="1">
      <c r="A471" s="299"/>
      <c r="B471" s="300" t="str">
        <f t="shared" si="32"/>
        <v>a-2.</v>
      </c>
      <c r="C471" s="248" t="s">
        <v>395</v>
      </c>
      <c r="D471" s="248" t="str">
        <f>콘크리트자재집계!H3</f>
        <v>25-27-150</v>
      </c>
      <c r="E471" s="202" t="s">
        <v>4</v>
      </c>
      <c r="F471" s="203">
        <f>주요자재!E24</f>
        <v>470</v>
      </c>
      <c r="G471" s="201">
        <f t="shared" si="36"/>
        <v>470</v>
      </c>
      <c r="H471" s="34"/>
      <c r="J471" s="363">
        <f>SUM($K$3:K471)</f>
        <v>28</v>
      </c>
      <c r="K471" s="356"/>
      <c r="L471" s="356" t="s">
        <v>942</v>
      </c>
      <c r="M471" s="356">
        <v>2</v>
      </c>
      <c r="N471" s="361" t="str">
        <f t="shared" si="33"/>
        <v>1</v>
      </c>
    </row>
    <row r="472" spans="1:14" s="27" customFormat="1" ht="18" hidden="1" customHeight="1">
      <c r="A472" s="299"/>
      <c r="B472" s="300" t="str">
        <f t="shared" si="32"/>
        <v>.</v>
      </c>
      <c r="C472" s="248" t="s">
        <v>395</v>
      </c>
      <c r="D472" s="201" t="str">
        <f>콘크리트자재집계!I3</f>
        <v>25-35-80</v>
      </c>
      <c r="E472" s="202" t="s">
        <v>4</v>
      </c>
      <c r="F472" s="203">
        <f>주요자재!E25</f>
        <v>0</v>
      </c>
      <c r="G472" s="201">
        <f t="shared" si="36"/>
        <v>0</v>
      </c>
      <c r="H472" s="34"/>
      <c r="J472" s="363">
        <f>SUM($K$3:K472)</f>
        <v>28</v>
      </c>
      <c r="K472" s="358"/>
      <c r="L472" s="358"/>
      <c r="M472" s="358"/>
      <c r="N472" s="361" t="str">
        <f t="shared" si="33"/>
        <v>숨김</v>
      </c>
    </row>
    <row r="473" spans="1:14" s="27" customFormat="1" ht="18" hidden="1" customHeight="1">
      <c r="A473" s="299"/>
      <c r="B473" s="300" t="str">
        <f t="shared" si="32"/>
        <v>.</v>
      </c>
      <c r="C473" s="248" t="s">
        <v>395</v>
      </c>
      <c r="D473" s="204" t="s">
        <v>977</v>
      </c>
      <c r="E473" s="202" t="s">
        <v>4</v>
      </c>
      <c r="F473" s="384">
        <f>주요자재!E26</f>
        <v>0</v>
      </c>
      <c r="G473" s="201">
        <f t="shared" si="36"/>
        <v>0</v>
      </c>
      <c r="H473" s="34"/>
      <c r="J473" s="363">
        <f>SUM($K$3:K473)</f>
        <v>28</v>
      </c>
      <c r="K473" s="358"/>
      <c r="L473" s="358"/>
      <c r="M473" s="358"/>
      <c r="N473" s="361" t="str">
        <f t="shared" si="33"/>
        <v>숨김</v>
      </c>
    </row>
    <row r="474" spans="1:14" s="27" customFormat="1" ht="18" customHeight="1">
      <c r="A474" s="299"/>
      <c r="B474" s="300" t="str">
        <f t="shared" si="32"/>
        <v>a-3.</v>
      </c>
      <c r="C474" s="248" t="s">
        <v>395</v>
      </c>
      <c r="D474" s="201" t="str">
        <f>콘크리트자재집계!C3</f>
        <v>25-18-150</v>
      </c>
      <c r="E474" s="202" t="s">
        <v>4</v>
      </c>
      <c r="F474" s="203">
        <f>주요자재!E27</f>
        <v>83</v>
      </c>
      <c r="G474" s="201">
        <f>SUM(F474:F474)</f>
        <v>83</v>
      </c>
      <c r="H474" s="34"/>
      <c r="J474" s="363">
        <f>SUM($K$3:K474)</f>
        <v>28</v>
      </c>
      <c r="K474" s="358"/>
      <c r="L474" s="358" t="s">
        <v>942</v>
      </c>
      <c r="M474" s="358">
        <v>3</v>
      </c>
      <c r="N474" s="361" t="str">
        <f t="shared" si="33"/>
        <v>1</v>
      </c>
    </row>
    <row r="475" spans="1:14" s="27" customFormat="1" ht="18" hidden="1" customHeight="1">
      <c r="A475" s="299"/>
      <c r="B475" s="300" t="str">
        <f t="shared" si="32"/>
        <v>.</v>
      </c>
      <c r="C475" s="248" t="s">
        <v>395</v>
      </c>
      <c r="D475" s="201">
        <f>콘크리트자재집계!D3</f>
        <v>0</v>
      </c>
      <c r="E475" s="202" t="s">
        <v>4</v>
      </c>
      <c r="F475" s="203"/>
      <c r="G475" s="201"/>
      <c r="H475" s="34"/>
      <c r="J475" s="363">
        <f>SUM($K$3:K475)</f>
        <v>28</v>
      </c>
      <c r="K475" s="358"/>
      <c r="L475" s="358"/>
      <c r="M475" s="358"/>
      <c r="N475" s="361" t="str">
        <f t="shared" si="33"/>
        <v>숨김</v>
      </c>
    </row>
    <row r="476" spans="1:14" s="35" customFormat="1" ht="18" hidden="1" customHeight="1">
      <c r="A476" s="299"/>
      <c r="B476" s="300" t="str">
        <f t="shared" si="32"/>
        <v>.</v>
      </c>
      <c r="C476" s="248" t="s">
        <v>395</v>
      </c>
      <c r="D476" s="201" t="s">
        <v>978</v>
      </c>
      <c r="E476" s="202" t="s">
        <v>4</v>
      </c>
      <c r="F476" s="203">
        <f>주요자재!E28</f>
        <v>0</v>
      </c>
      <c r="G476" s="201">
        <f t="shared" si="36"/>
        <v>0</v>
      </c>
      <c r="H476" s="34"/>
      <c r="J476" s="363">
        <f>SUM($K$3:K476)</f>
        <v>28</v>
      </c>
      <c r="K476" s="356"/>
      <c r="L476" s="356"/>
      <c r="M476" s="356"/>
      <c r="N476" s="361" t="str">
        <f t="shared" si="33"/>
        <v>숨김</v>
      </c>
    </row>
    <row r="477" spans="1:14" s="35" customFormat="1" ht="18" hidden="1" customHeight="1">
      <c r="A477" s="299"/>
      <c r="B477" s="300" t="str">
        <f t="shared" si="32"/>
        <v>.</v>
      </c>
      <c r="C477" s="248" t="s">
        <v>395</v>
      </c>
      <c r="D477" s="201"/>
      <c r="E477" s="202" t="s">
        <v>4</v>
      </c>
      <c r="F477" s="203"/>
      <c r="G477" s="201"/>
      <c r="H477" s="34"/>
      <c r="I477" s="35" t="s">
        <v>535</v>
      </c>
      <c r="J477" s="363">
        <f>SUM($K$3:K477)</f>
        <v>28</v>
      </c>
      <c r="K477" s="356"/>
      <c r="L477" s="356"/>
      <c r="M477" s="356"/>
      <c r="N477" s="361" t="str">
        <f t="shared" si="33"/>
        <v>숨김</v>
      </c>
    </row>
    <row r="478" spans="1:14" s="27" customFormat="1" ht="18" hidden="1" customHeight="1">
      <c r="A478" s="299"/>
      <c r="B478" s="300" t="str">
        <f t="shared" si="32"/>
        <v>.</v>
      </c>
      <c r="C478" s="248" t="s">
        <v>395</v>
      </c>
      <c r="D478" s="201"/>
      <c r="E478" s="202" t="s">
        <v>4</v>
      </c>
      <c r="F478" s="203"/>
      <c r="G478" s="201"/>
      <c r="H478" s="34"/>
      <c r="J478" s="363">
        <f>SUM($K$3:K478)</f>
        <v>28</v>
      </c>
      <c r="K478" s="358"/>
      <c r="L478" s="358"/>
      <c r="M478" s="358"/>
      <c r="N478" s="361" t="str">
        <f t="shared" si="33"/>
        <v>숨김</v>
      </c>
    </row>
    <row r="479" spans="1:14" s="35" customFormat="1" ht="18" customHeight="1">
      <c r="A479" s="299"/>
      <c r="B479" s="300" t="str">
        <f t="shared" si="32"/>
        <v>b.</v>
      </c>
      <c r="C479" s="201" t="s">
        <v>396</v>
      </c>
      <c r="D479" s="201"/>
      <c r="E479" s="202"/>
      <c r="F479" s="203"/>
      <c r="G479" s="201"/>
      <c r="H479" s="34"/>
      <c r="J479" s="363">
        <f>SUM($K$3:K479)</f>
        <v>28</v>
      </c>
      <c r="K479" s="356"/>
      <c r="L479" s="356" t="s">
        <v>943</v>
      </c>
      <c r="M479" s="356"/>
      <c r="N479" s="361" t="str">
        <f t="shared" si="33"/>
        <v>1</v>
      </c>
    </row>
    <row r="480" spans="1:14" s="28" customFormat="1" ht="18" customHeight="1">
      <c r="A480" s="299"/>
      <c r="B480" s="300" t="str">
        <f t="shared" si="32"/>
        <v>b-1.</v>
      </c>
      <c r="C480" s="201" t="s">
        <v>397</v>
      </c>
      <c r="D480" s="201" t="s">
        <v>224</v>
      </c>
      <c r="E480" s="202" t="s">
        <v>214</v>
      </c>
      <c r="F480" s="205">
        <f>SUM(주요자재!E12:E13)</f>
        <v>5.8460000000000001</v>
      </c>
      <c r="G480" s="206">
        <f t="shared" ref="G480:G500" si="37">SUM(F480:F480)</f>
        <v>5.8460000000000001</v>
      </c>
      <c r="H480" s="34"/>
      <c r="J480" s="363">
        <f>SUM($K$3:K480)</f>
        <v>28</v>
      </c>
      <c r="K480" s="357"/>
      <c r="L480" s="357" t="s">
        <v>943</v>
      </c>
      <c r="M480" s="357">
        <v>1</v>
      </c>
      <c r="N480" s="361" t="str">
        <f t="shared" si="33"/>
        <v>1</v>
      </c>
    </row>
    <row r="481" spans="1:14" s="28" customFormat="1" ht="18" customHeight="1">
      <c r="A481" s="299"/>
      <c r="B481" s="300" t="str">
        <f t="shared" si="32"/>
        <v>b-2.</v>
      </c>
      <c r="C481" s="201" t="s">
        <v>397</v>
      </c>
      <c r="D481" s="201" t="s">
        <v>225</v>
      </c>
      <c r="E481" s="202" t="s">
        <v>214</v>
      </c>
      <c r="F481" s="205">
        <f>+SUM(주요자재!E14:E19)</f>
        <v>171.80500000000001</v>
      </c>
      <c r="G481" s="206">
        <f t="shared" si="37"/>
        <v>171.80500000000001</v>
      </c>
      <c r="H481" s="34"/>
      <c r="J481" s="363">
        <f>SUM($K$3:K481)</f>
        <v>28</v>
      </c>
      <c r="K481" s="357"/>
      <c r="L481" s="357" t="s">
        <v>943</v>
      </c>
      <c r="M481" s="357">
        <v>2</v>
      </c>
      <c r="N481" s="361" t="str">
        <f t="shared" si="33"/>
        <v>1</v>
      </c>
    </row>
    <row r="482" spans="1:14" s="28" customFormat="1" ht="18" hidden="1" customHeight="1">
      <c r="A482" s="299"/>
      <c r="B482" s="300" t="str">
        <f t="shared" si="32"/>
        <v>.</v>
      </c>
      <c r="C482" s="201" t="s">
        <v>398</v>
      </c>
      <c r="D482" s="201"/>
      <c r="E482" s="202"/>
      <c r="F482" s="203"/>
      <c r="G482" s="201">
        <f t="shared" si="37"/>
        <v>0</v>
      </c>
      <c r="H482" s="34"/>
      <c r="J482" s="363">
        <f>SUM($K$3:K482)</f>
        <v>28</v>
      </c>
      <c r="K482" s="357"/>
      <c r="L482" s="357"/>
      <c r="M482" s="357"/>
      <c r="N482" s="361" t="str">
        <f t="shared" si="33"/>
        <v>숨김</v>
      </c>
    </row>
    <row r="483" spans="1:14" s="28" customFormat="1" ht="18" hidden="1" customHeight="1">
      <c r="A483" s="299"/>
      <c r="B483" s="300" t="str">
        <f t="shared" si="32"/>
        <v>.</v>
      </c>
      <c r="C483" s="201" t="s">
        <v>397</v>
      </c>
      <c r="D483" s="201" t="s">
        <v>226</v>
      </c>
      <c r="E483" s="202" t="s">
        <v>214</v>
      </c>
      <c r="F483" s="205">
        <f>+주요자재!E3</f>
        <v>0</v>
      </c>
      <c r="G483" s="206">
        <f t="shared" si="37"/>
        <v>0</v>
      </c>
      <c r="H483" s="34"/>
      <c r="J483" s="363">
        <f>SUM($K$3:K483)</f>
        <v>28</v>
      </c>
      <c r="K483" s="357"/>
      <c r="L483" s="357"/>
      <c r="M483" s="357"/>
      <c r="N483" s="361" t="str">
        <f t="shared" si="33"/>
        <v>숨김</v>
      </c>
    </row>
    <row r="484" spans="1:14" s="28" customFormat="1" ht="18" hidden="1" customHeight="1">
      <c r="A484" s="299"/>
      <c r="B484" s="300" t="str">
        <f t="shared" si="32"/>
        <v>.</v>
      </c>
      <c r="C484" s="201" t="s">
        <v>397</v>
      </c>
      <c r="D484" s="201" t="s">
        <v>227</v>
      </c>
      <c r="E484" s="202" t="s">
        <v>214</v>
      </c>
      <c r="F484" s="205">
        <f>+주요자재!E4</f>
        <v>0</v>
      </c>
      <c r="G484" s="206">
        <f t="shared" si="37"/>
        <v>0</v>
      </c>
      <c r="H484" s="34"/>
      <c r="J484" s="363">
        <f>SUM($K$3:K484)</f>
        <v>28</v>
      </c>
      <c r="K484" s="357"/>
      <c r="L484" s="357"/>
      <c r="M484" s="357"/>
      <c r="N484" s="361" t="str">
        <f t="shared" si="33"/>
        <v>숨김</v>
      </c>
    </row>
    <row r="485" spans="1:14" s="28" customFormat="1" ht="18" hidden="1" customHeight="1">
      <c r="A485" s="299"/>
      <c r="B485" s="300" t="str">
        <f t="shared" si="32"/>
        <v>.</v>
      </c>
      <c r="C485" s="201" t="s">
        <v>397</v>
      </c>
      <c r="D485" s="201" t="s">
        <v>228</v>
      </c>
      <c r="E485" s="202" t="s">
        <v>214</v>
      </c>
      <c r="F485" s="205">
        <f>+SUM(주요자재!E5:E10)</f>
        <v>0</v>
      </c>
      <c r="G485" s="206">
        <f t="shared" si="37"/>
        <v>0</v>
      </c>
      <c r="H485" s="34"/>
      <c r="J485" s="363">
        <f>SUM($K$3:K485)</f>
        <v>28</v>
      </c>
      <c r="K485" s="357"/>
      <c r="L485" s="357"/>
      <c r="M485" s="357"/>
      <c r="N485" s="361" t="str">
        <f t="shared" si="33"/>
        <v>숨김</v>
      </c>
    </row>
    <row r="486" spans="1:14" s="35" customFormat="1" ht="18.95" hidden="1" customHeight="1">
      <c r="A486" s="307"/>
      <c r="B486" s="300" t="str">
        <f t="shared" si="32"/>
        <v>.</v>
      </c>
      <c r="C486" s="273" t="s">
        <v>512</v>
      </c>
      <c r="D486" s="273"/>
      <c r="E486" s="274"/>
      <c r="F486" s="210"/>
      <c r="G486" s="201">
        <f t="shared" si="37"/>
        <v>0</v>
      </c>
      <c r="H486" s="39"/>
      <c r="J486" s="363">
        <f>SUM($K$3:K486)</f>
        <v>28</v>
      </c>
      <c r="K486" s="356"/>
      <c r="L486" s="356"/>
      <c r="M486" s="356"/>
      <c r="N486" s="361" t="str">
        <f t="shared" si="33"/>
        <v>숨김</v>
      </c>
    </row>
    <row r="487" spans="1:14" s="35" customFormat="1" ht="18.95" hidden="1" customHeight="1">
      <c r="A487" s="307"/>
      <c r="B487" s="300" t="str">
        <f t="shared" si="32"/>
        <v>.</v>
      </c>
      <c r="C487" s="273" t="s">
        <v>512</v>
      </c>
      <c r="D487" s="273" t="s">
        <v>513</v>
      </c>
      <c r="E487" s="37" t="s">
        <v>4</v>
      </c>
      <c r="F487" s="277">
        <f>주요자재!E41</f>
        <v>0</v>
      </c>
      <c r="G487" s="206">
        <f t="shared" si="37"/>
        <v>0</v>
      </c>
      <c r="H487" s="39"/>
      <c r="J487" s="363">
        <f>SUM($K$3:K487)</f>
        <v>28</v>
      </c>
      <c r="K487" s="356"/>
      <c r="L487" s="356"/>
      <c r="M487" s="356"/>
      <c r="N487" s="361" t="str">
        <f t="shared" si="33"/>
        <v>숨김</v>
      </c>
    </row>
    <row r="488" spans="1:14" s="35" customFormat="1" ht="18.95" hidden="1" customHeight="1">
      <c r="A488" s="307"/>
      <c r="B488" s="300" t="str">
        <f t="shared" si="32"/>
        <v>.</v>
      </c>
      <c r="C488" s="273" t="s">
        <v>512</v>
      </c>
      <c r="D488" s="273" t="s">
        <v>514</v>
      </c>
      <c r="E488" s="37" t="s">
        <v>4</v>
      </c>
      <c r="F488" s="277">
        <f>주요자재!E42</f>
        <v>0</v>
      </c>
      <c r="G488" s="206">
        <f t="shared" si="37"/>
        <v>0</v>
      </c>
      <c r="H488" s="39"/>
      <c r="J488" s="363">
        <f>SUM($K$3:K488)</f>
        <v>28</v>
      </c>
      <c r="K488" s="356"/>
      <c r="L488" s="356"/>
      <c r="M488" s="356"/>
      <c r="N488" s="361" t="str">
        <f t="shared" si="33"/>
        <v>숨김</v>
      </c>
    </row>
    <row r="489" spans="1:14" s="35" customFormat="1" ht="18.95" hidden="1" customHeight="1">
      <c r="A489" s="307"/>
      <c r="B489" s="300" t="str">
        <f t="shared" si="32"/>
        <v>.</v>
      </c>
      <c r="C489" s="273" t="s">
        <v>515</v>
      </c>
      <c r="D489" s="273"/>
      <c r="E489" s="274"/>
      <c r="F489" s="210"/>
      <c r="G489" s="201">
        <f t="shared" si="37"/>
        <v>0</v>
      </c>
      <c r="H489" s="39"/>
      <c r="J489" s="363">
        <f>SUM($K$3:K489)</f>
        <v>28</v>
      </c>
      <c r="K489" s="356"/>
      <c r="L489" s="356"/>
      <c r="M489" s="356"/>
      <c r="N489" s="361" t="str">
        <f t="shared" si="33"/>
        <v>숨김</v>
      </c>
    </row>
    <row r="490" spans="1:14" s="35" customFormat="1" ht="18.95" hidden="1" customHeight="1">
      <c r="A490" s="307"/>
      <c r="B490" s="300" t="str">
        <f t="shared" si="32"/>
        <v>.</v>
      </c>
      <c r="C490" s="273" t="s">
        <v>515</v>
      </c>
      <c r="D490" s="273" t="s">
        <v>516</v>
      </c>
      <c r="E490" s="202" t="s">
        <v>206</v>
      </c>
      <c r="F490" s="210">
        <f>주요자재!E43</f>
        <v>0</v>
      </c>
      <c r="G490" s="201">
        <f t="shared" si="37"/>
        <v>0</v>
      </c>
      <c r="H490" s="39"/>
      <c r="J490" s="363">
        <f>SUM($K$3:K490)</f>
        <v>28</v>
      </c>
      <c r="K490" s="356"/>
      <c r="L490" s="356"/>
      <c r="M490" s="356"/>
      <c r="N490" s="361" t="str">
        <f t="shared" si="33"/>
        <v>숨김</v>
      </c>
    </row>
    <row r="491" spans="1:14" s="35" customFormat="1" ht="18.95" hidden="1" customHeight="1">
      <c r="A491" s="307"/>
      <c r="B491" s="300" t="str">
        <f t="shared" si="32"/>
        <v>.</v>
      </c>
      <c r="C491" s="273" t="s">
        <v>515</v>
      </c>
      <c r="D491" s="273" t="s">
        <v>517</v>
      </c>
      <c r="E491" s="202" t="s">
        <v>206</v>
      </c>
      <c r="F491" s="210">
        <f>주요자재!E44</f>
        <v>0</v>
      </c>
      <c r="G491" s="201">
        <f t="shared" si="37"/>
        <v>0</v>
      </c>
      <c r="H491" s="39"/>
      <c r="J491" s="363">
        <f>SUM($K$3:K491)</f>
        <v>28</v>
      </c>
      <c r="K491" s="356"/>
      <c r="L491" s="356"/>
      <c r="M491" s="356"/>
      <c r="N491" s="361" t="str">
        <f t="shared" si="33"/>
        <v>숨김</v>
      </c>
    </row>
    <row r="492" spans="1:14" s="35" customFormat="1" ht="18.95" hidden="1" customHeight="1">
      <c r="A492" s="307"/>
      <c r="B492" s="300" t="str">
        <f t="shared" si="32"/>
        <v>.</v>
      </c>
      <c r="C492" s="273" t="s">
        <v>518</v>
      </c>
      <c r="D492" s="273"/>
      <c r="E492" s="274"/>
      <c r="F492" s="210"/>
      <c r="G492" s="201">
        <f t="shared" si="37"/>
        <v>0</v>
      </c>
      <c r="H492" s="39"/>
      <c r="J492" s="363">
        <f>SUM($K$3:K492)</f>
        <v>28</v>
      </c>
      <c r="K492" s="356"/>
      <c r="L492" s="356"/>
      <c r="M492" s="356"/>
      <c r="N492" s="361" t="str">
        <f t="shared" si="33"/>
        <v>숨김</v>
      </c>
    </row>
    <row r="493" spans="1:14" s="35" customFormat="1" ht="18.95" hidden="1" customHeight="1">
      <c r="A493" s="307"/>
      <c r="B493" s="300" t="str">
        <f t="shared" si="32"/>
        <v>.</v>
      </c>
      <c r="C493" s="273" t="s">
        <v>518</v>
      </c>
      <c r="D493" s="273" t="s">
        <v>519</v>
      </c>
      <c r="E493" s="207" t="s">
        <v>38</v>
      </c>
      <c r="F493" s="277">
        <f>주요자재!E45</f>
        <v>0</v>
      </c>
      <c r="G493" s="201">
        <f t="shared" si="37"/>
        <v>0</v>
      </c>
      <c r="H493" s="39"/>
      <c r="J493" s="363">
        <f>SUM($K$3:K493)</f>
        <v>28</v>
      </c>
      <c r="K493" s="356"/>
      <c r="L493" s="356"/>
      <c r="M493" s="356"/>
      <c r="N493" s="361" t="str">
        <f t="shared" si="33"/>
        <v>숨김</v>
      </c>
    </row>
    <row r="494" spans="1:14" s="35" customFormat="1" ht="18.95" customHeight="1">
      <c r="A494" s="307"/>
      <c r="B494" s="300" t="str">
        <f t="shared" si="32"/>
        <v>c.</v>
      </c>
      <c r="C494" s="201" t="s">
        <v>935</v>
      </c>
      <c r="D494" s="201"/>
      <c r="E494" s="202"/>
      <c r="F494" s="203"/>
      <c r="G494" s="201"/>
      <c r="H494" s="39"/>
      <c r="J494" s="363">
        <f>SUM($K$3:K494)</f>
        <v>28</v>
      </c>
      <c r="K494" s="356"/>
      <c r="L494" s="356" t="s">
        <v>944</v>
      </c>
      <c r="M494" s="356"/>
      <c r="N494" s="361" t="str">
        <f t="shared" si="33"/>
        <v>1</v>
      </c>
    </row>
    <row r="495" spans="1:14" s="35" customFormat="1" ht="18.95" hidden="1" customHeight="1">
      <c r="A495" s="307"/>
      <c r="B495" s="300" t="str">
        <f t="shared" si="32"/>
        <v>.</v>
      </c>
      <c r="C495" s="201" t="s">
        <v>1023</v>
      </c>
      <c r="D495" s="201" t="s">
        <v>1033</v>
      </c>
      <c r="E495" s="202" t="s">
        <v>38</v>
      </c>
      <c r="F495" s="203">
        <f>주요자재!E37</f>
        <v>0</v>
      </c>
      <c r="G495" s="201">
        <f t="shared" si="37"/>
        <v>0</v>
      </c>
      <c r="H495" s="39"/>
      <c r="J495" s="363">
        <f>SUM($K$3:K495)</f>
        <v>28</v>
      </c>
      <c r="K495" s="356"/>
      <c r="L495" s="356"/>
      <c r="M495" s="356"/>
      <c r="N495" s="361" t="str">
        <f>IF(K495="",IF(L495="","숨김","1"),"1")</f>
        <v>숨김</v>
      </c>
    </row>
    <row r="496" spans="1:14" s="35" customFormat="1" ht="18.95" customHeight="1">
      <c r="A496" s="299"/>
      <c r="B496" s="300" t="str">
        <f t="shared" si="32"/>
        <v>c-1.</v>
      </c>
      <c r="C496" s="201" t="s">
        <v>1021</v>
      </c>
      <c r="D496" s="201" t="s">
        <v>1032</v>
      </c>
      <c r="E496" s="479" t="s">
        <v>38</v>
      </c>
      <c r="F496" s="203">
        <f>주요자재!E38</f>
        <v>35.704000000000001</v>
      </c>
      <c r="G496" s="201">
        <f t="shared" si="37"/>
        <v>35.704000000000001</v>
      </c>
      <c r="H496" s="34"/>
      <c r="J496" s="363">
        <f>SUM($K$3:K496)</f>
        <v>28</v>
      </c>
      <c r="K496" s="356"/>
      <c r="L496" s="356" t="s">
        <v>944</v>
      </c>
      <c r="M496" s="356">
        <v>1</v>
      </c>
      <c r="N496" s="361" t="str">
        <f>IF(K496="",IF(L496="","숨김","1"),"1")</f>
        <v>1</v>
      </c>
    </row>
    <row r="497" spans="1:15" s="35" customFormat="1" ht="18.95" customHeight="1">
      <c r="A497" s="466"/>
      <c r="B497" s="467" t="str">
        <f>IF(M497="",CONCATENATE(L497,"."),CONCATENATE(L497,"-",M497,"."))</f>
        <v>d.</v>
      </c>
      <c r="C497" s="468" t="s">
        <v>963</v>
      </c>
      <c r="D497" s="468" t="s">
        <v>967</v>
      </c>
      <c r="E497" s="322" t="s">
        <v>109</v>
      </c>
      <c r="F497" s="469">
        <f>주요자재!E46</f>
        <v>14</v>
      </c>
      <c r="G497" s="468">
        <f>SUM(F497:F497)</f>
        <v>14</v>
      </c>
      <c r="H497" s="470"/>
      <c r="J497" s="363">
        <f>SUM($K$3:K497)</f>
        <v>28</v>
      </c>
      <c r="K497" s="356"/>
      <c r="L497" s="356" t="s">
        <v>945</v>
      </c>
      <c r="M497" s="356"/>
      <c r="N497" s="361" t="str">
        <f>IF(K497="",IF(L497="","숨김","1"),"1")</f>
        <v>1</v>
      </c>
    </row>
    <row r="498" spans="1:15" s="35" customFormat="1" ht="18.95" hidden="1" customHeight="1">
      <c r="A498" s="307"/>
      <c r="B498" s="300" t="str">
        <f>IF(M498="",CONCATENATE(L498,"."),CONCATENATE(L498,"-",M498,"."))</f>
        <v>.</v>
      </c>
      <c r="C498" s="201" t="s">
        <v>1058</v>
      </c>
      <c r="D498" s="201"/>
      <c r="E498" s="202" t="s">
        <v>438</v>
      </c>
      <c r="F498" s="203">
        <f>주요자재!E48</f>
        <v>96.852000000000004</v>
      </c>
      <c r="G498" s="201">
        <f>SUM(F498:F498)</f>
        <v>96.852000000000004</v>
      </c>
      <c r="H498" s="39"/>
      <c r="J498" s="363">
        <f>SUM($K$3:K498)</f>
        <v>28</v>
      </c>
      <c r="K498" s="356"/>
      <c r="L498" s="356"/>
      <c r="M498" s="356"/>
      <c r="N498" s="361" t="str">
        <f t="shared" si="33"/>
        <v>숨김</v>
      </c>
    </row>
    <row r="499" spans="1:15" s="35" customFormat="1" ht="18.95" hidden="1" customHeight="1">
      <c r="A499" s="299"/>
      <c r="B499" s="300" t="str">
        <f>IF(M499="",CONCATENATE(L499,"."),CONCATENATE(L499,"-",M499,"."))</f>
        <v>.</v>
      </c>
      <c r="C499" s="201" t="s">
        <v>750</v>
      </c>
      <c r="D499" s="201" t="s">
        <v>918</v>
      </c>
      <c r="E499" s="37" t="s">
        <v>4</v>
      </c>
      <c r="F499" s="203">
        <f>F452</f>
        <v>0</v>
      </c>
      <c r="G499" s="201">
        <f>SUM(F499:F499)</f>
        <v>0</v>
      </c>
      <c r="H499" s="34"/>
      <c r="J499" s="363">
        <f>SUM($K$3:K499)</f>
        <v>28</v>
      </c>
      <c r="K499" s="356"/>
      <c r="L499" s="356"/>
      <c r="M499" s="356"/>
      <c r="N499" s="361" t="str">
        <f t="shared" si="33"/>
        <v>숨김</v>
      </c>
    </row>
    <row r="500" spans="1:15" s="262" customFormat="1" ht="18.95" customHeight="1">
      <c r="A500" s="308" t="str">
        <f>A466</f>
        <v>1.</v>
      </c>
      <c r="B500" s="364" t="str">
        <f>IF(J500&gt;9,CONCATENATE(J500,"."),CONCATENATE("0",J500,"."))</f>
        <v>29.</v>
      </c>
      <c r="C500" s="267" t="s">
        <v>399</v>
      </c>
      <c r="D500" s="267"/>
      <c r="E500" s="268" t="s">
        <v>438</v>
      </c>
      <c r="F500" s="319">
        <f>+철근총괄!M33+철근총괄!M63</f>
        <v>8.4440000000000168</v>
      </c>
      <c r="G500" s="291">
        <f t="shared" si="37"/>
        <v>8.4440000000000168</v>
      </c>
      <c r="H500" s="269"/>
      <c r="J500" s="363">
        <f>SUM($K$3:K500)</f>
        <v>29</v>
      </c>
      <c r="K500" s="355">
        <v>1</v>
      </c>
      <c r="L500" s="355"/>
      <c r="M500" s="355"/>
      <c r="N500" s="361" t="str">
        <f t="shared" si="33"/>
        <v>1</v>
      </c>
    </row>
    <row r="501" spans="1:15" ht="20.100000000000001" customHeight="1">
      <c r="A501" s="309"/>
      <c r="E501" s="242"/>
      <c r="J501" s="362"/>
      <c r="K501" s="356"/>
      <c r="L501" s="356"/>
      <c r="M501" s="356"/>
      <c r="N501" s="362"/>
    </row>
    <row r="502" spans="1:15" s="35" customFormat="1" ht="20.100000000000001" customHeight="1">
      <c r="A502" s="311"/>
      <c r="B502" s="311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</row>
    <row r="503" spans="1:15" s="28" customFormat="1" ht="20.100000000000001" customHeight="1">
      <c r="A503" s="312"/>
      <c r="B503" s="312"/>
      <c r="C503" s="459"/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</row>
    <row r="504" spans="1:15" ht="20.100000000000001" customHeight="1">
      <c r="B504" s="311"/>
      <c r="C504" s="240"/>
      <c r="D504" s="240"/>
      <c r="F504" s="240"/>
      <c r="G504" s="239"/>
      <c r="H504" s="239"/>
      <c r="I504" s="239"/>
      <c r="J504" s="239"/>
      <c r="K504" s="239"/>
      <c r="L504" s="239"/>
      <c r="M504" s="239"/>
      <c r="N504" s="239"/>
      <c r="O504" s="239"/>
    </row>
    <row r="505" spans="1:15" ht="20.100000000000001" customHeight="1">
      <c r="B505" s="311"/>
      <c r="C505" s="240"/>
      <c r="D505" s="240"/>
      <c r="F505" s="240"/>
      <c r="G505" s="239"/>
      <c r="H505" s="239"/>
      <c r="I505" s="239"/>
      <c r="J505" s="239"/>
      <c r="K505" s="239"/>
      <c r="L505" s="239"/>
      <c r="M505" s="239"/>
      <c r="N505" s="239"/>
      <c r="O505" s="239"/>
    </row>
    <row r="506" spans="1:15" ht="20.100000000000001" customHeight="1">
      <c r="B506" s="311"/>
      <c r="C506" s="240"/>
      <c r="D506" s="240"/>
      <c r="F506" s="240"/>
      <c r="G506" s="239"/>
      <c r="H506" s="239"/>
      <c r="I506" s="239"/>
      <c r="J506" s="239"/>
      <c r="K506" s="239"/>
      <c r="L506" s="239"/>
      <c r="M506" s="239"/>
      <c r="N506" s="239"/>
      <c r="O506" s="239"/>
    </row>
  </sheetData>
  <autoFilter ref="N2:N500">
    <filterColumn colId="0">
      <filters>
        <filter val="1"/>
      </filters>
    </filterColumn>
  </autoFilter>
  <mergeCells count="1">
    <mergeCell ref="A1:C1"/>
  </mergeCells>
  <phoneticPr fontId="7" type="noConversion"/>
  <printOptions horizontalCentered="1"/>
  <pageMargins left="0.39370078740157483" right="0.31496062992125984" top="0.78740157480314965" bottom="0.78740157480314965" header="0.51181102362204722" footer="0.51181102362204722"/>
  <pageSetup paperSize="9" scale="95" orientation="portrait" useFirstPageNumber="1" r:id="rId1"/>
  <headerFooter alignWithMargins="0"/>
  <rowBreaks count="3" manualBreakCount="3">
    <brk id="130" max="7" man="1"/>
    <brk id="279" max="7" man="1"/>
    <brk id="356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Y701"/>
  <sheetViews>
    <sheetView showZeros="0" view="pageBreakPreview" zoomScale="60" zoomScaleNormal="100" workbookViewId="0">
      <selection activeCell="AA26" sqref="AA26"/>
    </sheetView>
  </sheetViews>
  <sheetFormatPr defaultRowHeight="13.5"/>
  <cols>
    <col min="1" max="25" width="2.77734375" style="3" customWidth="1"/>
    <col min="26" max="16384" width="8.88671875" style="3"/>
  </cols>
  <sheetData>
    <row r="1" spans="1:25" ht="20.100000000000001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0.10000000000000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10000000000000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0.10000000000000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0.10000000000000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0.10000000000000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0.10000000000000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0.100000000000001" customHeight="1">
      <c r="A8" s="506" t="s">
        <v>245</v>
      </c>
      <c r="B8" s="507"/>
      <c r="C8" s="507"/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7"/>
      <c r="U8" s="507"/>
      <c r="V8" s="507"/>
      <c r="W8" s="507"/>
      <c r="X8" s="507"/>
      <c r="Y8" s="507"/>
    </row>
    <row r="9" spans="1:25" ht="20.100000000000001" customHeight="1">
      <c r="A9" s="507"/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</row>
    <row r="10" spans="1:25" ht="20.100000000000001" customHeight="1">
      <c r="A10" s="507"/>
      <c r="B10" s="507"/>
      <c r="C10" s="507"/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</row>
    <row r="11" spans="1:25" ht="20.100000000000001" customHeight="1">
      <c r="A11" s="507"/>
      <c r="B11" s="507"/>
      <c r="C11" s="507"/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</row>
    <row r="12" spans="1:25" ht="20.10000000000000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10000000000000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0.10000000000000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0.10000000000000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0.10000000000000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0.10000000000000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0.10000000000000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0.10000000000000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0.10000000000000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0.10000000000000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0.10000000000000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0.10000000000000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0.10000000000000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0.10000000000000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0.10000000000000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0.10000000000000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0.10000000000000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0.10000000000000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.10000000000000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0.10000000000000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.10000000000000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0.10000000000000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0.10000000000000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0.10000000000000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0.10000000000000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0.10000000000000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0.10000000000000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0.10000000000000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0.10000000000000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0.10000000000000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0.10000000000000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0.10000000000000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0.10000000000000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0.10000000000000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0.10000000000000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0.10000000000000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0.10000000000000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0.10000000000000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0.10000000000000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0.10000000000000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0.10000000000000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0.10000000000000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0.10000000000000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0.10000000000000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.10000000000000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.10000000000000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0.10000000000000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0.10000000000000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0.10000000000000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0.10000000000000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0.10000000000000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0.10000000000000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0.10000000000000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0.10000000000000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0.10000000000000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0.10000000000000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0.10000000000000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0.10000000000000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0.10000000000000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0.10000000000000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0.10000000000000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0.10000000000000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0.10000000000000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0.10000000000000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0.10000000000000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0.10000000000000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0.10000000000000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0.10000000000000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0.10000000000000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0.10000000000000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0.10000000000000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0.10000000000000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0.10000000000000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0.10000000000000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0.10000000000000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0.10000000000000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0.10000000000000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0.10000000000000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0.10000000000000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0.10000000000000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0.10000000000000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0.10000000000000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0.10000000000000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0.10000000000000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0.10000000000000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0.10000000000000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0.10000000000000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0.10000000000000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0.10000000000000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0.10000000000000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0.10000000000000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0.10000000000000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0.10000000000000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0.10000000000000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0.10000000000000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0.10000000000000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0.10000000000000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0.10000000000000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0.10000000000000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0.10000000000000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0.10000000000000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0.10000000000000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0.10000000000000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0.10000000000000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0.10000000000000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0.10000000000000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0.10000000000000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0.10000000000000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0.10000000000000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0.10000000000000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0.10000000000000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0.10000000000000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0.10000000000000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0.10000000000000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0.10000000000000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0.10000000000000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0.10000000000000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0.100000000000001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0.10000000000000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0.10000000000000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0.10000000000000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0.10000000000000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0.100000000000001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0.100000000000001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.100000000000001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0.100000000000001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0.100000000000001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0.10000000000000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0.10000000000000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0.10000000000000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0.100000000000001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0.10000000000000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0.10000000000000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0.10000000000000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0.10000000000000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0.100000000000001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0.10000000000000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0.10000000000000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0.100000000000001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0.10000000000000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0.10000000000000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0.10000000000000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0.10000000000000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0.100000000000001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0.10000000000000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0.10000000000000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0.100000000000001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0.10000000000000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0.10000000000000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0.10000000000000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0.10000000000000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0.100000000000001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0.10000000000000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.10000000000000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0.100000000000001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0.10000000000000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0.10000000000000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0.10000000000000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0.10000000000000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0.100000000000001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0.10000000000000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0.10000000000000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0.100000000000001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0.100000000000001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0.100000000000001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0.100000000000001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0.100000000000001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0.10000000000000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0.10000000000000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0.10000000000000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0.10000000000000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0.100000000000001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0.10000000000000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0.100000000000001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0.100000000000001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0.100000000000001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0.100000000000001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0.100000000000001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0.100000000000001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0.100000000000001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0.100000000000001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0.100000000000001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0.100000000000001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0.100000000000001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0.100000000000001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0.100000000000001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0.100000000000001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0.100000000000001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0.100000000000001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0.10000000000000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0.100000000000001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0.100000000000001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0.100000000000001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0.100000000000001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0.100000000000001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0.100000000000001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0.100000000000001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0.100000000000001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0.100000000000001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0.100000000000001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0.100000000000001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0.100000000000001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0.100000000000001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0.100000000000001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0.100000000000001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0.10000000000000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0.10000000000000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0.10000000000000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0.100000000000001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0.100000000000001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0.10000000000000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0.100000000000001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0.100000000000001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0.100000000000001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0.10000000000000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0.10000000000000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0.100000000000001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0.100000000000001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0.100000000000001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0.100000000000001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0.100000000000001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0.100000000000001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0.100000000000001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0.100000000000001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0.100000000000001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0.100000000000001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0.100000000000001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0.100000000000001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0.100000000000001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0.100000000000001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0.100000000000001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0.100000000000001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0.100000000000001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0.100000000000001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0.100000000000001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0.100000000000001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0.100000000000001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0.100000000000001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0.100000000000001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0.100000000000001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0.100000000000001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0.100000000000001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0.10000000000000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0.100000000000001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0.100000000000001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0.100000000000001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0.100000000000001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0.100000000000001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0.100000000000001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0.100000000000001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0.10000000000000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0.100000000000001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0.10000000000000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0.100000000000001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0.100000000000001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0.100000000000001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0.100000000000001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0.100000000000001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0.100000000000001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0.10000000000000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0.100000000000001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0.100000000000001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0.100000000000001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0.100000000000001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0.100000000000001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0.100000000000001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0.100000000000001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0.100000000000001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0.100000000000001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0.100000000000001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0.100000000000001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0.100000000000001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0.100000000000001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0.100000000000001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0.100000000000001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0.100000000000001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0.100000000000001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0.100000000000001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0.100000000000001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0.100000000000001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0.100000000000001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0.100000000000001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0.100000000000001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0.100000000000001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0.100000000000001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0.100000000000001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0.100000000000001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0.100000000000001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0.100000000000001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0.100000000000001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0.100000000000001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0.100000000000001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0.100000000000001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0.100000000000001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0.10000000000000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0.100000000000001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0.100000000000001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0.100000000000001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0.100000000000001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0.100000000000001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0.100000000000001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0.100000000000001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0.100000000000001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0.100000000000001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0.100000000000001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0.100000000000001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0.10000000000000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0.100000000000001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0.100000000000001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0.100000000000001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0.100000000000001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0.100000000000001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0.100000000000001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0.100000000000001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0.100000000000001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0.100000000000001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0.100000000000001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0.100000000000001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0.100000000000001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0.100000000000001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0.100000000000001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0.100000000000001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0.100000000000001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0.100000000000001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0.100000000000001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0.100000000000001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0.10000000000000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0.100000000000001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0.100000000000001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0.100000000000001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0.100000000000001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0.100000000000001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0.100000000000001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0.100000000000001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0.100000000000001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0.100000000000001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0.100000000000001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0.100000000000001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0.100000000000001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0.100000000000001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0.100000000000001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0.100000000000001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0.100000000000001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0.100000000000001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0.100000000000001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0.100000000000001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0.100000000000001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0.100000000000001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0.100000000000001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0.10000000000000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0.100000000000001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0.100000000000001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0.100000000000001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0.100000000000001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0.100000000000001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0.100000000000001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0.100000000000001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0.100000000000001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0.100000000000001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0.100000000000001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0.100000000000001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0.100000000000001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0.100000000000001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0.100000000000001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0.100000000000001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0.100000000000001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0.10000000000000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0.100000000000001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0.100000000000001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0.100000000000001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0.100000000000001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0.100000000000001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0.100000000000001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0.100000000000001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0.100000000000001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0.100000000000001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0.100000000000001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0.100000000000001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0.100000000000001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0.100000000000001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0.100000000000001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0.100000000000001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0.100000000000001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0.100000000000001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0.100000000000001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0.100000000000001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0.100000000000001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0.100000000000001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0.100000000000001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0.100000000000001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0.100000000000001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0.100000000000001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0.100000000000001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0.10000000000000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0.100000000000001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0.100000000000001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0.100000000000001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0.100000000000001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0.100000000000001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0.100000000000001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0.100000000000001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0.100000000000001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0.100000000000001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0.100000000000001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0.100000000000001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0.100000000000001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0.100000000000001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0.100000000000001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0.100000000000001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0.100000000000001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0.100000000000001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0.100000000000001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0.100000000000001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0.100000000000001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0.100000000000001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0.100000000000001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0.100000000000001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0.10000000000000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0.100000000000001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0.100000000000001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0.100000000000001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0.100000000000001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0.100000000000001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0.100000000000001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0.100000000000001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0.100000000000001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0.100000000000001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0.100000000000001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0.100000000000001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0.100000000000001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0.100000000000001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0.100000000000001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0.100000000000001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0.100000000000001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0.100000000000001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0.100000000000001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0.100000000000001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0.10000000000000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0.100000000000001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0.100000000000001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0.100000000000001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0.100000000000001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0.100000000000001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0.100000000000001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0.100000000000001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0.100000000000001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0.100000000000001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0.100000000000001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0.100000000000001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0.100000000000001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0.100000000000001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0.100000000000001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0.100000000000001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0.100000000000001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0.100000000000001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0.100000000000001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0.10000000000000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0.100000000000001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0.100000000000001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0.100000000000001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0.100000000000001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0.100000000000001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0.100000000000001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0.100000000000001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0.100000000000001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0.100000000000001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0.100000000000001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0.100000000000001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0.100000000000001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0.100000000000001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0.100000000000001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0.100000000000001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0.100000000000001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0.100000000000001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0.100000000000001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0.100000000000001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0.100000000000001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0.100000000000001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0.100000000000001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0.100000000000001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0.10000000000000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0.100000000000001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0.100000000000001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0.100000000000001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0.100000000000001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0.100000000000001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0.100000000000001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0.100000000000001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0.100000000000001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0.100000000000001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0.100000000000001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0.100000000000001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0.100000000000001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0.100000000000001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0.100000000000001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0.100000000000001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0.10000000000000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0.100000000000001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0.100000000000001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0.100000000000001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0.100000000000001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0.100000000000001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0.100000000000001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0.100000000000001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0.100000000000001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0.100000000000001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0.100000000000001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0.100000000000001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0.100000000000001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0.100000000000001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0.100000000000001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0.100000000000001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0.100000000000001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0.100000000000001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0.100000000000001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0.100000000000001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0.100000000000001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0.100000000000001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0.100000000000001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0.100000000000001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0.100000000000001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0.100000000000001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0.100000000000001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0.100000000000001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0.10000000000000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0.100000000000001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0.100000000000001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0.100000000000001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0.100000000000001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0.100000000000001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0.100000000000001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0.100000000000001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0.100000000000001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0.100000000000001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0.100000000000001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0.100000000000001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0.100000000000001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0.100000000000001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0.100000000000001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0.100000000000001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0.100000000000001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0.100000000000001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0.10000000000000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0.100000000000001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0.100000000000001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0.100000000000001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0.100000000000001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0.100000000000001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0.100000000000001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0.100000000000001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0.100000000000001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0.100000000000001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0.100000000000001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0.100000000000001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0.100000000000001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0.10000000000000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0.100000000000001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0.100000000000001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0.100000000000001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0.100000000000001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0.100000000000001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0.100000000000001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0.100000000000001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0.100000000000001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0.100000000000001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0.100000000000001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0.100000000000001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0.10000000000000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0.100000000000001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0.100000000000001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0.100000000000001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0.100000000000001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0.100000000000001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0.100000000000001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0.100000000000001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0.100000000000001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0.100000000000001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0.100000000000001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0.100000000000001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0.100000000000001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0.100000000000001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0.100000000000001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0.100000000000001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0.100000000000001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0.100000000000001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0.100000000000001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0.100000000000001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0.100000000000001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0.100000000000001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0.100000000000001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0.100000000000001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0.100000000000001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0.100000000000001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0.100000000000001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0.10000000000000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0.100000000000001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0.100000000000001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0.100000000000001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0.100000000000001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0.100000000000001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0.100000000000001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0.100000000000001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0.100000000000001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0.100000000000001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0.100000000000001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0.100000000000001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0.100000000000001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0.100000000000001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0.100000000000001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0.100000000000001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0.100000000000001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0.100000000000001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0.100000000000001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0.10000000000000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0.100000000000001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0.100000000000001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0.100000000000001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0.100000000000001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0.100000000000001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0.100000000000001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0.100000000000001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0.100000000000001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0.100000000000001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0.100000000000001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0.100000000000001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0.100000000000001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0.100000000000001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0.100000000000001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0.100000000000001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0.100000000000001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0.100000000000001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0.100000000000001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0.100000000000001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0.100000000000001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0.100000000000001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0.100000000000001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0.100000000000001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0.10000000000000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0.100000000000001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0.100000000000001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0.100000000000001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0.100000000000001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0.100000000000001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0.100000000000001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0.100000000000001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0.100000000000001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0.100000000000001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0.100000000000001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0.100000000000001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0.100000000000001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0.100000000000001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0.100000000000001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0.100000000000001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0.100000000000001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0.100000000000001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0.100000000000001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0.100000000000001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0.100000000000001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0.100000000000001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0.10000000000000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0.100000000000001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0.100000000000001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0.100000000000001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0.100000000000001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0.100000000000001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0.100000000000001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0.100000000000001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0.100000000000001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0.100000000000001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0.100000000000001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0.100000000000001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0.100000000000001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0.100000000000001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0.100000000000001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0.100000000000001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0.100000000000001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0.10000000000000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0.100000000000001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0.100000000000001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0.100000000000001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0.100000000000001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0.100000000000001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0.100000000000001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0.100000000000001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0.100000000000001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0.100000000000001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</sheetData>
  <mergeCells count="1">
    <mergeCell ref="A8:Y11"/>
  </mergeCells>
  <phoneticPr fontId="7" type="noConversion"/>
  <printOptions horizontalCentered="1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56"/>
  <sheetViews>
    <sheetView showZeros="0" view="pageBreakPreview" zoomScaleNormal="100" zoomScaleSheetLayoutView="100" workbookViewId="0">
      <selection activeCell="G56" sqref="G56"/>
    </sheetView>
  </sheetViews>
  <sheetFormatPr defaultRowHeight="13.5"/>
  <cols>
    <col min="1" max="2" width="11.21875" style="72" customWidth="1"/>
    <col min="3" max="3" width="15" style="72" bestFit="1" customWidth="1"/>
    <col min="4" max="6" width="11.21875" style="72" customWidth="1"/>
    <col min="7" max="16384" width="8.88671875" style="72"/>
  </cols>
  <sheetData>
    <row r="1" spans="1:8" s="44" customFormat="1" ht="19.899999999999999" customHeight="1">
      <c r="A1" s="41" t="str">
        <f>"&lt; "&amp;간지!$Z$3&amp;" &gt;"</f>
        <v>&lt; 갈전7교 &gt;</v>
      </c>
      <c r="B1" s="42"/>
      <c r="C1" s="42"/>
      <c r="D1" s="42"/>
      <c r="E1" s="43"/>
      <c r="F1" s="42"/>
    </row>
    <row r="2" spans="1:8" s="21" customFormat="1" ht="24.75" customHeight="1">
      <c r="A2" s="187" t="s">
        <v>114</v>
      </c>
      <c r="B2" s="190" t="s">
        <v>115</v>
      </c>
      <c r="C2" s="191"/>
      <c r="D2" s="191" t="s">
        <v>116</v>
      </c>
      <c r="E2" s="192" t="s">
        <v>117</v>
      </c>
      <c r="F2" s="191" t="s">
        <v>118</v>
      </c>
    </row>
    <row r="3" spans="1:8" s="44" customFormat="1" ht="19.149999999999999" hidden="1" customHeight="1">
      <c r="A3" s="519" t="s">
        <v>264</v>
      </c>
      <c r="B3" s="45"/>
      <c r="C3" s="46" t="s">
        <v>119</v>
      </c>
      <c r="D3" s="46" t="s">
        <v>619</v>
      </c>
      <c r="E3" s="47">
        <f>철근총괄!K64</f>
        <v>0</v>
      </c>
      <c r="F3" s="46" t="s">
        <v>170</v>
      </c>
    </row>
    <row r="4" spans="1:8" s="44" customFormat="1" ht="19.149999999999999" hidden="1" customHeight="1">
      <c r="A4" s="520"/>
      <c r="B4" s="45"/>
      <c r="C4" s="46" t="s">
        <v>120</v>
      </c>
      <c r="D4" s="46" t="s">
        <v>619</v>
      </c>
      <c r="E4" s="47">
        <f>철근총괄!J64</f>
        <v>0</v>
      </c>
      <c r="F4" s="46" t="s">
        <v>121</v>
      </c>
    </row>
    <row r="5" spans="1:8" s="44" customFormat="1" ht="19.149999999999999" hidden="1" customHeight="1">
      <c r="A5" s="520"/>
      <c r="B5" s="45" t="s">
        <v>122</v>
      </c>
      <c r="C5" s="46" t="s">
        <v>123</v>
      </c>
      <c r="D5" s="46" t="s">
        <v>619</v>
      </c>
      <c r="E5" s="47">
        <f>철근총괄!I64</f>
        <v>0</v>
      </c>
      <c r="F5" s="46" t="s">
        <v>121</v>
      </c>
    </row>
    <row r="6" spans="1:8" s="44" customFormat="1" ht="19.149999999999999" hidden="1" customHeight="1">
      <c r="A6" s="520"/>
      <c r="B6" s="45"/>
      <c r="C6" s="46" t="s">
        <v>124</v>
      </c>
      <c r="D6" s="46" t="s">
        <v>619</v>
      </c>
      <c r="E6" s="47">
        <f>철근총괄!H64</f>
        <v>0</v>
      </c>
      <c r="F6" s="46" t="s">
        <v>121</v>
      </c>
    </row>
    <row r="7" spans="1:8" s="44" customFormat="1" ht="19.149999999999999" hidden="1" customHeight="1">
      <c r="A7" s="520"/>
      <c r="B7" s="45" t="s">
        <v>125</v>
      </c>
      <c r="C7" s="46" t="s">
        <v>126</v>
      </c>
      <c r="D7" s="46" t="s">
        <v>619</v>
      </c>
      <c r="E7" s="47">
        <f>철근총괄!G64</f>
        <v>0</v>
      </c>
      <c r="F7" s="46" t="s">
        <v>121</v>
      </c>
    </row>
    <row r="8" spans="1:8" s="44" customFormat="1" ht="19.149999999999999" hidden="1" customHeight="1">
      <c r="A8" s="520"/>
      <c r="B8" s="45"/>
      <c r="C8" s="46" t="s">
        <v>127</v>
      </c>
      <c r="D8" s="46" t="s">
        <v>619</v>
      </c>
      <c r="E8" s="47">
        <f>철근총괄!F64</f>
        <v>0</v>
      </c>
      <c r="F8" s="46" t="s">
        <v>121</v>
      </c>
    </row>
    <row r="9" spans="1:8" s="44" customFormat="1" ht="19.149999999999999" hidden="1" customHeight="1">
      <c r="A9" s="520"/>
      <c r="B9" s="45"/>
      <c r="C9" s="46" t="s">
        <v>128</v>
      </c>
      <c r="D9" s="46" t="s">
        <v>619</v>
      </c>
      <c r="E9" s="47">
        <f>철근총괄!E64</f>
        <v>0</v>
      </c>
      <c r="F9" s="46" t="s">
        <v>121</v>
      </c>
    </row>
    <row r="10" spans="1:8" s="44" customFormat="1" ht="19.149999999999999" hidden="1" customHeight="1">
      <c r="A10" s="520"/>
      <c r="B10" s="48"/>
      <c r="C10" s="46" t="s">
        <v>129</v>
      </c>
      <c r="D10" s="46" t="s">
        <v>619</v>
      </c>
      <c r="E10" s="47">
        <f>철근총괄!D64</f>
        <v>0</v>
      </c>
      <c r="F10" s="46" t="s">
        <v>121</v>
      </c>
    </row>
    <row r="11" spans="1:8" s="44" customFormat="1" ht="19.149999999999999" hidden="1" customHeight="1">
      <c r="A11" s="520"/>
      <c r="B11" s="193" t="s">
        <v>130</v>
      </c>
      <c r="C11" s="194"/>
      <c r="D11" s="194" t="s">
        <v>619</v>
      </c>
      <c r="E11" s="195">
        <f>SUM(E3:E10)</f>
        <v>0</v>
      </c>
      <c r="F11" s="194"/>
      <c r="G11" s="44">
        <f>+철근총괄!L64</f>
        <v>0</v>
      </c>
      <c r="H11" s="49">
        <f>+E11-G11</f>
        <v>0</v>
      </c>
    </row>
    <row r="12" spans="1:8" s="44" customFormat="1" ht="19.149999999999999" customHeight="1">
      <c r="A12" s="520"/>
      <c r="B12" s="50"/>
      <c r="C12" s="51" t="s">
        <v>131</v>
      </c>
      <c r="D12" s="46" t="s">
        <v>619</v>
      </c>
      <c r="E12" s="47">
        <f>철근총괄!K33</f>
        <v>0</v>
      </c>
      <c r="F12" s="46" t="s">
        <v>170</v>
      </c>
    </row>
    <row r="13" spans="1:8" s="44" customFormat="1" ht="19.149999999999999" customHeight="1">
      <c r="A13" s="520"/>
      <c r="B13" s="50"/>
      <c r="C13" s="52" t="s">
        <v>132</v>
      </c>
      <c r="D13" s="46" t="s">
        <v>619</v>
      </c>
      <c r="E13" s="47">
        <f>철근총괄!J33</f>
        <v>5.8460000000000001</v>
      </c>
      <c r="F13" s="46" t="s">
        <v>121</v>
      </c>
    </row>
    <row r="14" spans="1:8" s="44" customFormat="1" ht="19.149999999999999" customHeight="1">
      <c r="A14" s="520"/>
      <c r="B14" s="50"/>
      <c r="C14" s="52" t="s">
        <v>133</v>
      </c>
      <c r="D14" s="46" t="s">
        <v>619</v>
      </c>
      <c r="E14" s="47">
        <f>철근총괄!I33</f>
        <v>31.812000000000001</v>
      </c>
      <c r="F14" s="46" t="s">
        <v>121</v>
      </c>
    </row>
    <row r="15" spans="1:8" s="44" customFormat="1" ht="19.149999999999999" customHeight="1">
      <c r="A15" s="520"/>
      <c r="B15" s="50" t="s">
        <v>134</v>
      </c>
      <c r="C15" s="52" t="s">
        <v>135</v>
      </c>
      <c r="D15" s="46" t="s">
        <v>619</v>
      </c>
      <c r="E15" s="47">
        <f>철근총괄!H33</f>
        <v>21.030999999999999</v>
      </c>
      <c r="F15" s="46" t="s">
        <v>121</v>
      </c>
    </row>
    <row r="16" spans="1:8" s="44" customFormat="1" ht="19.149999999999999" customHeight="1">
      <c r="A16" s="520"/>
      <c r="B16" s="50"/>
      <c r="C16" s="52" t="s">
        <v>136</v>
      </c>
      <c r="D16" s="46" t="s">
        <v>619</v>
      </c>
      <c r="E16" s="47">
        <f>철근총괄!G33</f>
        <v>54.360999999999997</v>
      </c>
      <c r="F16" s="46" t="s">
        <v>121</v>
      </c>
    </row>
    <row r="17" spans="1:8" s="44" customFormat="1" ht="19.149999999999999" customHeight="1">
      <c r="A17" s="520"/>
      <c r="B17" s="50" t="s">
        <v>125</v>
      </c>
      <c r="C17" s="52" t="s">
        <v>137</v>
      </c>
      <c r="D17" s="46" t="s">
        <v>619</v>
      </c>
      <c r="E17" s="47">
        <f>철근총괄!F33</f>
        <v>64.600999999999999</v>
      </c>
      <c r="F17" s="46" t="s">
        <v>121</v>
      </c>
    </row>
    <row r="18" spans="1:8" s="44" customFormat="1" ht="19.149999999999999" customHeight="1">
      <c r="A18" s="520"/>
      <c r="B18" s="50"/>
      <c r="C18" s="52" t="s">
        <v>138</v>
      </c>
      <c r="D18" s="46" t="s">
        <v>619</v>
      </c>
      <c r="E18" s="47">
        <f>철근총괄!E33</f>
        <v>0</v>
      </c>
      <c r="F18" s="46" t="s">
        <v>121</v>
      </c>
    </row>
    <row r="19" spans="1:8" s="44" customFormat="1" ht="19.149999999999999" customHeight="1">
      <c r="A19" s="520"/>
      <c r="B19" s="50"/>
      <c r="C19" s="53" t="s">
        <v>139</v>
      </c>
      <c r="D19" s="46" t="s">
        <v>619</v>
      </c>
      <c r="E19" s="55">
        <f>철근총괄!D33</f>
        <v>0</v>
      </c>
      <c r="F19" s="54" t="s">
        <v>121</v>
      </c>
    </row>
    <row r="20" spans="1:8" s="44" customFormat="1" ht="19.149999999999999" customHeight="1">
      <c r="A20" s="520"/>
      <c r="B20" s="196" t="s">
        <v>130</v>
      </c>
      <c r="C20" s="197"/>
      <c r="D20" s="197" t="s">
        <v>619</v>
      </c>
      <c r="E20" s="198">
        <f>SUM(E12:E19)</f>
        <v>177.65100000000001</v>
      </c>
      <c r="F20" s="197"/>
      <c r="G20" s="44">
        <f>+철근총괄!L33</f>
        <v>177.65100000000001</v>
      </c>
      <c r="H20" s="49">
        <f>+G20-E20</f>
        <v>0</v>
      </c>
    </row>
    <row r="21" spans="1:8" s="44" customFormat="1" ht="19.149999999999999" customHeight="1">
      <c r="A21" s="520"/>
      <c r="B21" s="199" t="s">
        <v>140</v>
      </c>
      <c r="C21" s="200"/>
      <c r="D21" s="184" t="s">
        <v>619</v>
      </c>
      <c r="E21" s="192">
        <f>SUM(E20,E11)</f>
        <v>177.65100000000001</v>
      </c>
      <c r="F21" s="191"/>
    </row>
    <row r="22" spans="1:8" s="59" customFormat="1" ht="19.149999999999999" customHeight="1">
      <c r="A22" s="521"/>
      <c r="B22" s="511" t="s">
        <v>265</v>
      </c>
      <c r="C22" s="512"/>
      <c r="D22" s="56" t="s">
        <v>266</v>
      </c>
      <c r="E22" s="57">
        <f>ROUND((E21-철근총괄!L32-철근총괄!L63),3)*1000</f>
        <v>8444</v>
      </c>
      <c r="F22" s="58"/>
    </row>
    <row r="23" spans="1:8" s="44" customFormat="1" ht="19.149999999999999" customHeight="1">
      <c r="A23" s="525" t="s">
        <v>1066</v>
      </c>
      <c r="B23" s="522" t="str">
        <f>내역서!D470</f>
        <v>25-35-150</v>
      </c>
      <c r="C23" s="523"/>
      <c r="D23" s="66" t="s">
        <v>141</v>
      </c>
      <c r="E23" s="60">
        <f>ROUNDUP(콘크리트자재집계!G13*1.01,0)</f>
        <v>973</v>
      </c>
      <c r="F23" s="247" t="s">
        <v>171</v>
      </c>
    </row>
    <row r="24" spans="1:8" s="44" customFormat="1" ht="19.149999999999999" customHeight="1">
      <c r="A24" s="525"/>
      <c r="B24" s="522" t="str">
        <f>내역서!D471</f>
        <v>25-27-150</v>
      </c>
      <c r="C24" s="523"/>
      <c r="D24" s="67" t="s">
        <v>141</v>
      </c>
      <c r="E24" s="61">
        <f>ROUNDUP(콘크리트자재집계!H13*1.01,0)</f>
        <v>470</v>
      </c>
      <c r="F24" s="243" t="s">
        <v>172</v>
      </c>
    </row>
    <row r="25" spans="1:8" s="44" customFormat="1" ht="19.149999999999999" hidden="1" customHeight="1">
      <c r="A25" s="525"/>
      <c r="B25" s="522" t="str">
        <f>내역서!D472</f>
        <v>25-35-80</v>
      </c>
      <c r="C25" s="523"/>
      <c r="D25" s="67" t="s">
        <v>141</v>
      </c>
      <c r="E25" s="61">
        <f>ROUNDUP(콘크리트자재집계!I13*1.01,0)</f>
        <v>0</v>
      </c>
      <c r="F25" s="243"/>
    </row>
    <row r="26" spans="1:8" s="44" customFormat="1" ht="19.5" hidden="1" customHeight="1">
      <c r="A26" s="525"/>
      <c r="B26" s="522" t="str">
        <f>내역서!D473</f>
        <v>25-24-150</v>
      </c>
      <c r="C26" s="523"/>
      <c r="D26" s="67" t="s">
        <v>141</v>
      </c>
      <c r="E26" s="61">
        <f>ROUNDUP(콘크리트자재집계!O13*1.01,0)</f>
        <v>0</v>
      </c>
      <c r="F26" s="243"/>
    </row>
    <row r="27" spans="1:8" s="44" customFormat="1" ht="19.149999999999999" customHeight="1">
      <c r="A27" s="525"/>
      <c r="B27" s="522" t="str">
        <f>내역서!D474</f>
        <v>25-18-150</v>
      </c>
      <c r="C27" s="523"/>
      <c r="D27" s="67" t="s">
        <v>141</v>
      </c>
      <c r="E27" s="61">
        <f>ROUNDUP(콘크리트자재집계!C13*1.02,0)</f>
        <v>83</v>
      </c>
      <c r="F27" s="243" t="s">
        <v>173</v>
      </c>
    </row>
    <row r="28" spans="1:8" s="44" customFormat="1" ht="19.149999999999999" hidden="1" customHeight="1">
      <c r="A28" s="526"/>
      <c r="B28" s="517" t="str">
        <f>내역서!D476</f>
        <v>25-16-150</v>
      </c>
      <c r="C28" s="518"/>
      <c r="D28" s="67" t="s">
        <v>141</v>
      </c>
      <c r="E28" s="63">
        <f>ROUNDUP(콘크리트자재집계!E13*1.02,0)</f>
        <v>0</v>
      </c>
      <c r="F28" s="68"/>
    </row>
    <row r="29" spans="1:8" s="44" customFormat="1" ht="19.149999999999999" customHeight="1">
      <c r="A29" s="25" t="s">
        <v>267</v>
      </c>
      <c r="B29" s="515" t="s">
        <v>268</v>
      </c>
      <c r="C29" s="516"/>
      <c r="D29" s="64" t="s">
        <v>654</v>
      </c>
      <c r="E29" s="339">
        <f>ROUNDUP('시멘트 및 골재량 산출'!E19*1.02,0)</f>
        <v>35327</v>
      </c>
      <c r="F29" s="58" t="s">
        <v>173</v>
      </c>
      <c r="G29" s="320"/>
    </row>
    <row r="30" spans="1:8" s="44" customFormat="1" ht="19.149999999999999" hidden="1" customHeight="1">
      <c r="A30" s="25" t="s">
        <v>275</v>
      </c>
      <c r="B30" s="24"/>
      <c r="C30" s="23"/>
      <c r="D30" s="64" t="s">
        <v>282</v>
      </c>
      <c r="E30" s="65">
        <f>'골재수량 집계표'!D12*1.06</f>
        <v>0</v>
      </c>
      <c r="F30" s="58" t="s">
        <v>739</v>
      </c>
      <c r="G30" s="320"/>
    </row>
    <row r="31" spans="1:8" s="44" customFormat="1" ht="19.149999999999999" hidden="1" customHeight="1">
      <c r="A31" s="524" t="s">
        <v>276</v>
      </c>
      <c r="B31" s="513" t="s">
        <v>278</v>
      </c>
      <c r="C31" s="514"/>
      <c r="D31" s="66" t="s">
        <v>282</v>
      </c>
      <c r="E31" s="60">
        <f>'골재수량 집계표'!E12*1.04</f>
        <v>0</v>
      </c>
      <c r="F31" s="247" t="s">
        <v>740</v>
      </c>
      <c r="G31" s="320"/>
    </row>
    <row r="32" spans="1:8" s="44" customFormat="1" ht="19.149999999999999" hidden="1" customHeight="1">
      <c r="A32" s="520"/>
      <c r="B32" s="513" t="s">
        <v>279</v>
      </c>
      <c r="C32" s="514"/>
      <c r="D32" s="67" t="s">
        <v>282</v>
      </c>
      <c r="E32" s="61">
        <f>'골재수량 집계표'!F12*1.04</f>
        <v>0</v>
      </c>
      <c r="F32" s="243" t="s">
        <v>172</v>
      </c>
      <c r="G32" s="320"/>
    </row>
    <row r="33" spans="1:8" s="44" customFormat="1" ht="19.149999999999999" hidden="1" customHeight="1">
      <c r="A33" s="521"/>
      <c r="B33" s="513" t="s">
        <v>280</v>
      </c>
      <c r="C33" s="514"/>
      <c r="D33" s="68" t="s">
        <v>282</v>
      </c>
      <c r="E33" s="63">
        <f>'골재수량 집계표'!G12*1.04</f>
        <v>0</v>
      </c>
      <c r="F33" s="243" t="s">
        <v>172</v>
      </c>
      <c r="G33" s="320"/>
    </row>
    <row r="34" spans="1:8" s="44" customFormat="1" ht="19.149999999999999" hidden="1" customHeight="1">
      <c r="A34" s="25" t="s">
        <v>736</v>
      </c>
      <c r="B34" s="69" t="s">
        <v>785</v>
      </c>
      <c r="C34" s="22"/>
      <c r="D34" s="64" t="s">
        <v>192</v>
      </c>
      <c r="E34" s="65">
        <f>'골재수량 집계표'!K12*1.1</f>
        <v>0</v>
      </c>
      <c r="F34" s="64" t="s">
        <v>737</v>
      </c>
    </row>
    <row r="35" spans="1:8" s="44" customFormat="1" ht="19.149999999999999" hidden="1" customHeight="1">
      <c r="A35" s="25" t="s">
        <v>754</v>
      </c>
      <c r="B35" s="69" t="s">
        <v>755</v>
      </c>
      <c r="C35" s="22"/>
      <c r="D35" s="64" t="s">
        <v>756</v>
      </c>
      <c r="E35" s="65">
        <f>토공총괄집계표!H51*1.04</f>
        <v>0</v>
      </c>
      <c r="F35" s="64" t="s">
        <v>757</v>
      </c>
    </row>
    <row r="36" spans="1:8" s="44" customFormat="1" ht="19.149999999999999" hidden="1" customHeight="1">
      <c r="A36" s="25" t="s">
        <v>919</v>
      </c>
      <c r="B36" s="69" t="s">
        <v>920</v>
      </c>
      <c r="C36" s="22"/>
      <c r="D36" s="64" t="s">
        <v>192</v>
      </c>
      <c r="E36" s="65">
        <f>'골재수량 집계표'!L12</f>
        <v>0</v>
      </c>
      <c r="F36" s="64" t="s">
        <v>284</v>
      </c>
    </row>
    <row r="37" spans="1:8" s="44" customFormat="1" ht="19.149999999999999" hidden="1" customHeight="1">
      <c r="A37" s="524" t="s">
        <v>940</v>
      </c>
      <c r="B37" s="515" t="s">
        <v>1020</v>
      </c>
      <c r="C37" s="516"/>
      <c r="D37" s="64" t="s">
        <v>982</v>
      </c>
      <c r="E37" s="65">
        <f>구조물공총괄집계표!G94</f>
        <v>0</v>
      </c>
      <c r="F37" s="64"/>
    </row>
    <row r="38" spans="1:8" s="44" customFormat="1" ht="19.149999999999999" customHeight="1">
      <c r="A38" s="521"/>
      <c r="B38" s="515" t="s">
        <v>1021</v>
      </c>
      <c r="C38" s="516"/>
      <c r="D38" s="64" t="s">
        <v>982</v>
      </c>
      <c r="E38" s="65">
        <f>구조물공총괄집계표!G93</f>
        <v>35.704000000000001</v>
      </c>
      <c r="F38" s="64"/>
    </row>
    <row r="39" spans="1:8" s="44" customFormat="1" ht="19.149999999999999" hidden="1" customHeight="1">
      <c r="A39" s="25" t="s">
        <v>809</v>
      </c>
      <c r="B39" s="69" t="s">
        <v>810</v>
      </c>
      <c r="C39" s="22"/>
      <c r="D39" s="64" t="s">
        <v>811</v>
      </c>
      <c r="E39" s="65">
        <f>내역서!G441</f>
        <v>0</v>
      </c>
      <c r="F39" s="64"/>
    </row>
    <row r="40" spans="1:8" s="44" customFormat="1" ht="19.149999999999999" customHeight="1">
      <c r="A40" s="25" t="s">
        <v>277</v>
      </c>
      <c r="B40" s="69" t="s">
        <v>281</v>
      </c>
      <c r="C40" s="22"/>
      <c r="D40" s="64" t="s">
        <v>283</v>
      </c>
      <c r="E40" s="65">
        <f>토공총괄집계표!H26*1.04</f>
        <v>1247.9012</v>
      </c>
      <c r="F40" s="64" t="s">
        <v>284</v>
      </c>
      <c r="G40" s="338"/>
      <c r="H40" s="339">
        <f>'골재수량 집계표'!J12</f>
        <v>1543.4567473684212</v>
      </c>
    </row>
    <row r="41" spans="1:8" s="44" customFormat="1" ht="19.149999999999999" hidden="1" customHeight="1">
      <c r="A41" s="529" t="s">
        <v>520</v>
      </c>
      <c r="B41" s="136" t="s">
        <v>521</v>
      </c>
      <c r="C41" s="136"/>
      <c r="D41" s="64" t="s">
        <v>192</v>
      </c>
      <c r="E41" s="275"/>
      <c r="F41" s="62" t="s">
        <v>494</v>
      </c>
    </row>
    <row r="42" spans="1:8" s="44" customFormat="1" ht="19.149999999999999" hidden="1" customHeight="1">
      <c r="A42" s="529"/>
      <c r="B42" s="136" t="s">
        <v>522</v>
      </c>
      <c r="C42" s="136"/>
      <c r="D42" s="64" t="s">
        <v>192</v>
      </c>
      <c r="E42" s="275"/>
      <c r="F42" s="64" t="s">
        <v>531</v>
      </c>
    </row>
    <row r="43" spans="1:8" s="44" customFormat="1" ht="19.149999999999999" hidden="1" customHeight="1">
      <c r="A43" s="529" t="s">
        <v>523</v>
      </c>
      <c r="B43" s="136" t="s">
        <v>524</v>
      </c>
      <c r="C43" s="136"/>
      <c r="D43" s="64" t="s">
        <v>526</v>
      </c>
      <c r="E43" s="276"/>
      <c r="F43" s="62" t="s">
        <v>532</v>
      </c>
    </row>
    <row r="44" spans="1:8" s="44" customFormat="1" ht="19.149999999999999" hidden="1" customHeight="1">
      <c r="A44" s="529"/>
      <c r="B44" s="136" t="s">
        <v>525</v>
      </c>
      <c r="C44" s="136"/>
      <c r="D44" s="64" t="s">
        <v>527</v>
      </c>
      <c r="E44" s="276"/>
      <c r="F44" s="64" t="s">
        <v>531</v>
      </c>
    </row>
    <row r="45" spans="1:8" s="44" customFormat="1" ht="18.75" hidden="1" customHeight="1">
      <c r="A45" s="64" t="s">
        <v>528</v>
      </c>
      <c r="B45" s="136" t="s">
        <v>529</v>
      </c>
      <c r="C45" s="136"/>
      <c r="D45" s="64" t="s">
        <v>530</v>
      </c>
      <c r="E45" s="275"/>
      <c r="F45" s="62" t="s">
        <v>533</v>
      </c>
    </row>
    <row r="46" spans="1:8" s="44" customFormat="1" ht="19.149999999999999" customHeight="1">
      <c r="A46" s="25" t="s">
        <v>963</v>
      </c>
      <c r="B46" s="69" t="s">
        <v>967</v>
      </c>
      <c r="C46" s="22"/>
      <c r="D46" s="64" t="s">
        <v>76</v>
      </c>
      <c r="E46" s="65">
        <f>ROUNDUP(토공총괄집계표!H55/2.5,0)</f>
        <v>14</v>
      </c>
      <c r="F46" s="62"/>
    </row>
    <row r="47" spans="1:8" s="70" customFormat="1" ht="21.95" hidden="1" customHeight="1">
      <c r="A47" s="80" t="s">
        <v>1048</v>
      </c>
      <c r="B47" s="511" t="s">
        <v>1049</v>
      </c>
      <c r="C47" s="512"/>
      <c r="D47" s="80" t="s">
        <v>269</v>
      </c>
      <c r="E47" s="460">
        <f>구조물공총괄집계표!G65*(0.08+0.14)/2*2.4*1.02</f>
        <v>0</v>
      </c>
      <c r="F47" s="374" t="s">
        <v>173</v>
      </c>
    </row>
    <row r="48" spans="1:8" s="71" customFormat="1" ht="21.75" customHeight="1">
      <c r="A48" s="527" t="s">
        <v>174</v>
      </c>
      <c r="B48" s="376" t="s">
        <v>175</v>
      </c>
      <c r="C48" s="377"/>
      <c r="D48" s="374" t="s">
        <v>19</v>
      </c>
      <c r="E48" s="378">
        <f>ROUND(구조물공총괄집계표!G64*0.08*2.34*1.02,3)</f>
        <v>96.852000000000004</v>
      </c>
      <c r="F48" s="375" t="s">
        <v>176</v>
      </c>
    </row>
    <row r="49" spans="1:6" s="91" customFormat="1" ht="21.75" customHeight="1">
      <c r="A49" s="528"/>
      <c r="B49" s="380" t="s">
        <v>179</v>
      </c>
      <c r="C49" s="380" t="s">
        <v>180</v>
      </c>
      <c r="D49" s="375" t="s">
        <v>177</v>
      </c>
      <c r="E49" s="381">
        <f>ROUNDUP(구조물공총괄집계표!G66/100*30/200*1.03,0)</f>
        <v>2</v>
      </c>
      <c r="F49" s="375" t="s">
        <v>178</v>
      </c>
    </row>
    <row r="56" spans="1:6">
      <c r="E56" s="73"/>
    </row>
  </sheetData>
  <mergeCells count="21">
    <mergeCell ref="A48:A49"/>
    <mergeCell ref="A43:A44"/>
    <mergeCell ref="A41:A42"/>
    <mergeCell ref="A37:A38"/>
    <mergeCell ref="B37:C37"/>
    <mergeCell ref="B25:C25"/>
    <mergeCell ref="B24:C24"/>
    <mergeCell ref="B23:C23"/>
    <mergeCell ref="B26:C26"/>
    <mergeCell ref="B32:C32"/>
    <mergeCell ref="A23:A28"/>
    <mergeCell ref="B47:C47"/>
    <mergeCell ref="B33:C33"/>
    <mergeCell ref="B38:C38"/>
    <mergeCell ref="B28:C28"/>
    <mergeCell ref="B31:C31"/>
    <mergeCell ref="A3:A22"/>
    <mergeCell ref="B22:C22"/>
    <mergeCell ref="B27:C27"/>
    <mergeCell ref="B29:C29"/>
    <mergeCell ref="A31:A33"/>
  </mergeCells>
  <phoneticPr fontId="7" type="noConversion"/>
  <printOptions horizontalCentered="1"/>
  <pageMargins left="0.78740157480314965" right="0.78740157480314965" top="0.98425196850393704" bottom="0.98425196850393704" header="0.70866141732283472" footer="0.59055118110236227"/>
  <pageSetup paperSize="9" scale="94" orientation="portrait" r:id="rId1"/>
  <headerFooter alignWithMargins="0">
    <oddHeader>&amp;C&amp;"돋움체,굵게"&amp;12구조물공 주요자재 집계표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S130"/>
  <sheetViews>
    <sheetView showZeros="0" view="pageBreakPreview" zoomScaleNormal="100" zoomScaleSheetLayoutView="100" workbookViewId="0">
      <selection activeCell="G14" sqref="G14:O14"/>
    </sheetView>
  </sheetViews>
  <sheetFormatPr defaultRowHeight="13.5"/>
  <cols>
    <col min="1" max="1" width="10.88671875" style="91" bestFit="1" customWidth="1"/>
    <col min="2" max="2" width="4.77734375" style="91" customWidth="1"/>
    <col min="3" max="3" width="8.77734375" style="91" customWidth="1"/>
    <col min="4" max="6" width="8.77734375" style="91" hidden="1" customWidth="1"/>
    <col min="7" max="8" width="8.77734375" style="91" customWidth="1"/>
    <col min="9" max="14" width="8.77734375" style="91" hidden="1" customWidth="1"/>
    <col min="15" max="15" width="8.33203125" style="91" bestFit="1" customWidth="1"/>
    <col min="16" max="16" width="6.77734375" style="91" customWidth="1"/>
    <col min="17" max="16384" width="8.88671875" style="91"/>
  </cols>
  <sheetData>
    <row r="1" spans="1:19" s="76" customFormat="1" ht="20.100000000000001" customHeight="1">
      <c r="A1" s="74" t="str">
        <f>"&lt; "&amp;간지!$Z$3&amp;" &gt;"</f>
        <v>&lt; 갈전7교 &gt;</v>
      </c>
      <c r="B1" s="75"/>
      <c r="C1" s="75"/>
      <c r="D1" s="75"/>
      <c r="E1" s="75"/>
      <c r="N1" s="77"/>
      <c r="P1" s="78"/>
      <c r="Q1" s="78"/>
      <c r="R1" s="78"/>
      <c r="S1" s="77"/>
    </row>
    <row r="2" spans="1:19" s="17" customFormat="1" ht="24.95" customHeight="1">
      <c r="A2" s="188"/>
      <c r="B2" s="188"/>
      <c r="C2" s="539" t="s">
        <v>181</v>
      </c>
      <c r="D2" s="540"/>
      <c r="E2" s="541"/>
      <c r="G2" s="185" t="s">
        <v>182</v>
      </c>
      <c r="H2" s="183"/>
      <c r="I2" s="183"/>
      <c r="J2" s="183"/>
      <c r="K2" s="183"/>
      <c r="L2" s="183"/>
      <c r="M2" s="183"/>
      <c r="N2" s="183"/>
      <c r="O2" s="183"/>
      <c r="P2" s="188"/>
    </row>
    <row r="3" spans="1:19" s="17" customFormat="1" ht="24.95" customHeight="1">
      <c r="A3" s="189" t="s">
        <v>142</v>
      </c>
      <c r="B3" s="189" t="s">
        <v>2</v>
      </c>
      <c r="C3" s="537" t="s">
        <v>1050</v>
      </c>
      <c r="D3" s="537"/>
      <c r="E3" s="537"/>
      <c r="F3" s="185" t="s">
        <v>143</v>
      </c>
      <c r="G3" s="542" t="s">
        <v>904</v>
      </c>
      <c r="H3" s="544" t="s">
        <v>758</v>
      </c>
      <c r="I3" s="533" t="s">
        <v>973</v>
      </c>
      <c r="J3" s="183"/>
      <c r="K3" s="183"/>
      <c r="L3" s="183"/>
      <c r="M3" s="185" t="s">
        <v>144</v>
      </c>
      <c r="N3" s="183"/>
      <c r="O3" s="535" t="s">
        <v>759</v>
      </c>
      <c r="P3" s="189" t="s">
        <v>145</v>
      </c>
    </row>
    <row r="4" spans="1:19" s="17" customFormat="1" ht="36.75" customHeight="1">
      <c r="A4" s="186"/>
      <c r="B4" s="186"/>
      <c r="C4" s="538"/>
      <c r="D4" s="538"/>
      <c r="E4" s="538"/>
      <c r="F4" s="245" t="s">
        <v>974</v>
      </c>
      <c r="G4" s="543"/>
      <c r="H4" s="545"/>
      <c r="I4" s="534"/>
      <c r="J4" s="246"/>
      <c r="K4" s="246"/>
      <c r="L4" s="246"/>
      <c r="M4" s="246" t="s">
        <v>706</v>
      </c>
      <c r="N4" s="246" t="s">
        <v>707</v>
      </c>
      <c r="O4" s="536"/>
      <c r="P4" s="186"/>
    </row>
    <row r="5" spans="1:19" s="79" customFormat="1" ht="30" customHeight="1">
      <c r="A5" s="405" t="str">
        <f>간지!$Z$3</f>
        <v>갈전7교</v>
      </c>
      <c r="B5" s="80" t="s">
        <v>4</v>
      </c>
      <c r="C5" s="81">
        <f>구조물공총괄집계표!E8</f>
        <v>81.367999999999995</v>
      </c>
      <c r="D5" s="81" t="e">
        <f>구조물공총괄집계표!#REF!</f>
        <v>#REF!</v>
      </c>
      <c r="E5" s="81">
        <f>구조물공총괄집계표!E9</f>
        <v>0</v>
      </c>
      <c r="F5" s="386">
        <f>구조물공총괄집계표!E3</f>
        <v>0</v>
      </c>
      <c r="G5" s="81">
        <f>구조물공총괄집계표!E4</f>
        <v>963.06700000000001</v>
      </c>
      <c r="H5" s="81">
        <f>구조물공총괄집계표!E5</f>
        <v>464.94</v>
      </c>
      <c r="I5" s="386">
        <f>구조물공총괄집계표!E6</f>
        <v>0</v>
      </c>
      <c r="J5" s="81"/>
      <c r="K5" s="81"/>
      <c r="L5" s="81"/>
      <c r="M5" s="81"/>
      <c r="N5" s="81"/>
      <c r="O5" s="81">
        <f>구조물공총괄집계표!E7</f>
        <v>0</v>
      </c>
      <c r="P5" s="85"/>
    </row>
    <row r="6" spans="1:19" s="79" customFormat="1" ht="30" customHeight="1">
      <c r="A6" s="80"/>
      <c r="B6" s="80" t="s">
        <v>4</v>
      </c>
      <c r="C6" s="386">
        <f>구조물공총괄집계표!F8</f>
        <v>0</v>
      </c>
      <c r="D6" s="86" t="e">
        <f>구조물공총괄집계표!#REF!</f>
        <v>#REF!</v>
      </c>
      <c r="F6" s="386"/>
      <c r="G6" s="386"/>
      <c r="H6" s="81"/>
      <c r="I6" s="81">
        <f>구조물공총괄집계표!F6</f>
        <v>0</v>
      </c>
      <c r="J6" s="81"/>
      <c r="K6" s="81"/>
      <c r="L6" s="81"/>
      <c r="M6" s="81"/>
      <c r="N6" s="81"/>
      <c r="O6" s="81">
        <f>구조물공총괄집계표!F7</f>
        <v>0</v>
      </c>
      <c r="P6" s="85"/>
      <c r="Q6" s="74"/>
      <c r="R6" s="74"/>
    </row>
    <row r="7" spans="1:19" s="79" customFormat="1" ht="30" customHeight="1">
      <c r="A7" s="80"/>
      <c r="B7" s="80" t="s">
        <v>4</v>
      </c>
      <c r="C7" s="81"/>
      <c r="D7" s="81"/>
      <c r="E7" s="81"/>
      <c r="F7" s="82"/>
      <c r="G7" s="82"/>
      <c r="H7" s="323"/>
      <c r="I7" s="83"/>
      <c r="J7" s="83"/>
      <c r="K7" s="83"/>
      <c r="L7" s="83"/>
      <c r="M7" s="82"/>
      <c r="N7" s="84"/>
      <c r="O7" s="82"/>
      <c r="P7" s="85"/>
    </row>
    <row r="8" spans="1:19" s="79" customFormat="1" ht="30" customHeight="1">
      <c r="A8" s="80"/>
      <c r="B8" s="80" t="s">
        <v>4</v>
      </c>
      <c r="C8" s="81"/>
      <c r="D8" s="81"/>
      <c r="E8" s="81"/>
      <c r="F8" s="82"/>
      <c r="G8" s="82"/>
      <c r="H8" s="323"/>
      <c r="I8" s="83"/>
      <c r="J8" s="83"/>
      <c r="K8" s="83"/>
      <c r="L8" s="83"/>
      <c r="M8" s="82"/>
      <c r="N8" s="84"/>
      <c r="O8" s="82"/>
      <c r="P8" s="85"/>
    </row>
    <row r="9" spans="1:19" s="79" customFormat="1" ht="30" customHeight="1">
      <c r="A9" s="80"/>
      <c r="B9" s="80" t="s">
        <v>4</v>
      </c>
      <c r="C9" s="81"/>
      <c r="D9" s="81"/>
      <c r="E9" s="81"/>
      <c r="F9" s="82"/>
      <c r="G9" s="83"/>
      <c r="H9" s="83"/>
      <c r="I9" s="83"/>
      <c r="J9" s="83"/>
      <c r="K9" s="83"/>
      <c r="L9" s="83"/>
      <c r="M9" s="82"/>
      <c r="N9" s="84"/>
      <c r="O9" s="82"/>
      <c r="P9" s="85"/>
    </row>
    <row r="10" spans="1:19" s="79" customFormat="1" ht="30" customHeight="1">
      <c r="A10" s="80"/>
      <c r="B10" s="80" t="s">
        <v>4</v>
      </c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2"/>
      <c r="N10" s="84"/>
      <c r="O10" s="82"/>
      <c r="P10" s="85"/>
    </row>
    <row r="11" spans="1:19" s="79" customFormat="1" ht="30" customHeight="1">
      <c r="A11" s="80"/>
      <c r="B11" s="80" t="s">
        <v>4</v>
      </c>
      <c r="C11" s="81"/>
      <c r="D11" s="86"/>
      <c r="E11" s="86"/>
      <c r="F11" s="82"/>
      <c r="G11" s="83"/>
      <c r="H11" s="83"/>
      <c r="I11" s="83"/>
      <c r="J11" s="83"/>
      <c r="K11" s="83"/>
      <c r="L11" s="83"/>
      <c r="M11" s="82"/>
      <c r="N11" s="84"/>
      <c r="O11" s="82"/>
      <c r="P11" s="85"/>
    </row>
    <row r="12" spans="1:19" s="79" customFormat="1" ht="30" customHeight="1">
      <c r="A12" s="80"/>
      <c r="B12" s="80"/>
      <c r="C12" s="81"/>
      <c r="D12" s="81"/>
      <c r="E12" s="81"/>
      <c r="F12" s="82"/>
      <c r="G12" s="83"/>
      <c r="H12" s="83"/>
      <c r="I12" s="83"/>
      <c r="J12" s="83"/>
      <c r="K12" s="83"/>
      <c r="L12" s="83"/>
      <c r="M12" s="82"/>
      <c r="N12" s="84"/>
      <c r="O12" s="82"/>
      <c r="P12" s="85"/>
    </row>
    <row r="13" spans="1:19" s="89" customFormat="1" ht="30" customHeight="1">
      <c r="A13" s="88" t="s">
        <v>146</v>
      </c>
      <c r="B13" s="88" t="s">
        <v>4</v>
      </c>
      <c r="C13" s="82">
        <f>SUM(C5:C12)</f>
        <v>81.367999999999995</v>
      </c>
      <c r="D13" s="82" t="e">
        <f t="shared" ref="D13:K13" si="0">SUM(D5:D12)</f>
        <v>#REF!</v>
      </c>
      <c r="E13" s="82">
        <f t="shared" si="0"/>
        <v>0</v>
      </c>
      <c r="F13" s="82">
        <f t="shared" si="0"/>
        <v>0</v>
      </c>
      <c r="G13" s="82">
        <f t="shared" si="0"/>
        <v>963.06700000000001</v>
      </c>
      <c r="H13" s="82">
        <f t="shared" si="0"/>
        <v>464.94</v>
      </c>
      <c r="I13" s="82">
        <f t="shared" si="0"/>
        <v>0</v>
      </c>
      <c r="J13" s="82">
        <f t="shared" si="0"/>
        <v>0</v>
      </c>
      <c r="K13" s="82">
        <f t="shared" si="0"/>
        <v>0</v>
      </c>
      <c r="L13" s="82"/>
      <c r="M13" s="82">
        <f>SUM(M5:M12)</f>
        <v>0</v>
      </c>
      <c r="N13" s="82">
        <f>SUM(N5:N12)</f>
        <v>0</v>
      </c>
      <c r="O13" s="82">
        <f>SUM(O5:O12)</f>
        <v>0</v>
      </c>
      <c r="P13" s="87"/>
    </row>
    <row r="14" spans="1:19" s="89" customFormat="1" ht="30" customHeight="1">
      <c r="A14" s="88" t="s">
        <v>147</v>
      </c>
      <c r="B14" s="88" t="s">
        <v>4</v>
      </c>
      <c r="C14" s="16">
        <f>C13</f>
        <v>81.367999999999995</v>
      </c>
      <c r="F14" s="15"/>
      <c r="G14" s="530">
        <f>SUM(F13:O13)</f>
        <v>1428.0070000000001</v>
      </c>
      <c r="H14" s="531"/>
      <c r="I14" s="531"/>
      <c r="J14" s="531"/>
      <c r="K14" s="531"/>
      <c r="L14" s="531"/>
      <c r="M14" s="531"/>
      <c r="N14" s="531"/>
      <c r="O14" s="532"/>
      <c r="P14" s="87"/>
    </row>
    <row r="15" spans="1:19">
      <c r="A15" s="90"/>
      <c r="B15" s="90"/>
      <c r="C15" s="90"/>
      <c r="D15" s="383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</row>
    <row r="16" spans="1:19">
      <c r="A16" s="90"/>
      <c r="B16" s="90"/>
      <c r="C16" s="14">
        <f>+C14+G14</f>
        <v>1509.375</v>
      </c>
      <c r="E16" s="14"/>
      <c r="F16" s="14"/>
      <c r="G16" s="14"/>
      <c r="H16" s="90"/>
      <c r="I16" s="90"/>
      <c r="J16" s="90"/>
      <c r="K16" s="90"/>
      <c r="L16" s="90"/>
      <c r="M16" s="90"/>
      <c r="N16" s="90"/>
      <c r="O16" s="90"/>
    </row>
    <row r="17" spans="1:1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</row>
    <row r="18" spans="1:15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</row>
    <row r="19" spans="1:15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</row>
    <row r="20" spans="1:15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</row>
    <row r="21" spans="1:1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</row>
    <row r="22" spans="1:1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</row>
    <row r="23" spans="1:1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</row>
    <row r="24" spans="1:1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</row>
    <row r="25" spans="1: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</row>
    <row r="26" spans="1:1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</row>
    <row r="27" spans="1:15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</row>
    <row r="28" spans="1:15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</row>
    <row r="29" spans="1:15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</row>
    <row r="30" spans="1:15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</row>
    <row r="31" spans="1:15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</row>
    <row r="32" spans="1:1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</row>
    <row r="33" spans="1:1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</row>
    <row r="34" spans="1:1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</row>
    <row r="35" spans="1:1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</row>
    <row r="36" spans="1:15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  <row r="37" spans="1:15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</row>
    <row r="38" spans="1:1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</row>
    <row r="39" spans="1:15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</row>
    <row r="40" spans="1:15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</row>
    <row r="41" spans="1:15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</row>
    <row r="42" spans="1:15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</row>
    <row r="43" spans="1:15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</row>
    <row r="44" spans="1:15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</row>
    <row r="45" spans="1:1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</row>
    <row r="46" spans="1:15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</row>
    <row r="47" spans="1:15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</row>
    <row r="48" spans="1:15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</row>
    <row r="50" spans="1:15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</row>
    <row r="51" spans="1:15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</row>
    <row r="52" spans="1:15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</row>
    <row r="53" spans="1:15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</row>
    <row r="54" spans="1:15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</row>
    <row r="55" spans="1:1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</row>
    <row r="56" spans="1:15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</row>
    <row r="57" spans="1:15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</row>
    <row r="58" spans="1:15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</row>
    <row r="59" spans="1:15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</row>
    <row r="60" spans="1:15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</row>
    <row r="61" spans="1:15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</row>
    <row r="62" spans="1:15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</row>
    <row r="63" spans="1:15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</row>
    <row r="64" spans="1:15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</row>
    <row r="65" spans="1:1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</row>
    <row r="66" spans="1:15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</row>
    <row r="67" spans="1:15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</row>
    <row r="68" spans="1:15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</row>
    <row r="69" spans="1:15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</row>
    <row r="70" spans="1:15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</row>
    <row r="71" spans="1:15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</row>
    <row r="72" spans="1:15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</row>
    <row r="73" spans="1:15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</row>
    <row r="74" spans="1:15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</row>
    <row r="75" spans="1:1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</row>
    <row r="76" spans="1:15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</row>
    <row r="77" spans="1:15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</row>
    <row r="78" spans="1:15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</row>
    <row r="79" spans="1:15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</row>
    <row r="80" spans="1:15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</row>
    <row r="81" spans="1:15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</row>
    <row r="82" spans="1:15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</row>
    <row r="83" spans="1:15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</row>
    <row r="84" spans="1:15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</row>
    <row r="85" spans="1:1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</row>
    <row r="86" spans="1:15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</row>
    <row r="87" spans="1:15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</row>
    <row r="88" spans="1:15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</row>
    <row r="89" spans="1:15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</row>
    <row r="90" spans="1:15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</row>
    <row r="91" spans="1:15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</row>
    <row r="92" spans="1:15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</row>
    <row r="93" spans="1:15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</row>
    <row r="94" spans="1:15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</row>
    <row r="95" spans="1:1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</row>
    <row r="96" spans="1:15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</row>
    <row r="97" spans="1:15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</row>
    <row r="98" spans="1:15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</row>
    <row r="99" spans="1:15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</row>
    <row r="100" spans="1:15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</row>
    <row r="101" spans="1:15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</row>
    <row r="102" spans="1:15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</row>
    <row r="103" spans="1:15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</row>
    <row r="104" spans="1:15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</row>
    <row r="105" spans="1:1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</row>
    <row r="106" spans="1:15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</row>
    <row r="107" spans="1:15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</row>
    <row r="108" spans="1:15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</row>
    <row r="109" spans="1:15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</row>
    <row r="110" spans="1:15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</row>
    <row r="111" spans="1:15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</row>
    <row r="112" spans="1:15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</row>
    <row r="113" spans="1:15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</row>
    <row r="114" spans="1:15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</row>
    <row r="115" spans="1: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</row>
    <row r="116" spans="1:15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</row>
    <row r="117" spans="1:15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</row>
    <row r="118" spans="1:15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</row>
    <row r="119" spans="1:15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</row>
    <row r="120" spans="1:15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</row>
    <row r="121" spans="1:1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</row>
    <row r="122" spans="1:1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</row>
    <row r="123" spans="1:1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</row>
    <row r="124" spans="1:15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</row>
    <row r="125" spans="1:1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</row>
    <row r="126" spans="1:1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</row>
    <row r="127" spans="1:1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</row>
    <row r="128" spans="1:15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</row>
    <row r="129" spans="1:1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</row>
    <row r="130" spans="1:15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</row>
  </sheetData>
  <mergeCells count="9">
    <mergeCell ref="G14:O14"/>
    <mergeCell ref="I3:I4"/>
    <mergeCell ref="O3:O4"/>
    <mergeCell ref="C3:C4"/>
    <mergeCell ref="D3:D4"/>
    <mergeCell ref="C2:E2"/>
    <mergeCell ref="E3:E4"/>
    <mergeCell ref="G3:G4"/>
    <mergeCell ref="H3:H4"/>
  </mergeCells>
  <phoneticPr fontId="5" type="noConversion"/>
  <printOptions horizontalCentered="1"/>
  <pageMargins left="0.59055118110236227" right="0.59055118110236227" top="0.69" bottom="0.76" header="0.4" footer="0.37"/>
  <pageSetup paperSize="9" orientation="portrait" r:id="rId1"/>
  <headerFooter alignWithMargins="0">
    <oddHeader>&amp;C&amp;"돋움체,굵게"&amp;U콘크리트 자재 집계표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37"/>
  <sheetViews>
    <sheetView view="pageBreakPreview" zoomScale="85" zoomScaleNormal="100" zoomScaleSheetLayoutView="85" workbookViewId="0">
      <selection activeCell="K11" sqref="K11"/>
    </sheetView>
  </sheetViews>
  <sheetFormatPr defaultRowHeight="13.5"/>
  <cols>
    <col min="1" max="3" width="6.6640625" style="97" customWidth="1"/>
    <col min="4" max="5" width="9.6640625" style="135" customWidth="1"/>
    <col min="6" max="6" width="9.6640625" style="97" customWidth="1"/>
    <col min="7" max="9" width="9.6640625" style="135" customWidth="1"/>
    <col min="10" max="10" width="9.6640625" style="135" hidden="1" customWidth="1"/>
    <col min="11" max="12" width="9.6640625" style="135" customWidth="1"/>
    <col min="13" max="14" width="9.6640625" style="97" customWidth="1"/>
    <col min="15" max="15" width="10.6640625" style="97" customWidth="1"/>
    <col min="16" max="26" width="15.6640625" style="97" customWidth="1"/>
    <col min="27" max="16384" width="8.88671875" style="97"/>
  </cols>
  <sheetData>
    <row r="1" spans="1:16" s="93" customFormat="1" ht="30" customHeight="1">
      <c r="A1" s="547" t="s">
        <v>183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92"/>
      <c r="O1" s="92"/>
      <c r="P1" s="92"/>
    </row>
    <row r="2" spans="1:16" ht="16.5" customHeight="1">
      <c r="A2" s="546" t="str">
        <f>"&lt; "&amp;간지!$Z$3&amp;" &gt;"</f>
        <v>&lt; 갈전7교 &gt;</v>
      </c>
      <c r="B2" s="546"/>
      <c r="C2" s="94"/>
      <c r="D2" s="95"/>
      <c r="E2" s="95"/>
      <c r="F2" s="94"/>
      <c r="G2" s="95"/>
      <c r="H2" s="95"/>
      <c r="I2" s="95"/>
      <c r="J2" s="94"/>
      <c r="K2" s="95"/>
      <c r="L2" s="95"/>
      <c r="M2" s="96" t="s">
        <v>148</v>
      </c>
    </row>
    <row r="3" spans="1:16" ht="30" customHeight="1">
      <c r="A3" s="98"/>
      <c r="B3" s="99"/>
      <c r="C3" s="100"/>
      <c r="D3" s="101"/>
      <c r="E3" s="102"/>
      <c r="F3" s="103"/>
      <c r="G3" s="102"/>
      <c r="H3" s="102"/>
      <c r="I3" s="102"/>
      <c r="J3" s="104"/>
      <c r="K3" s="104"/>
      <c r="L3" s="101"/>
      <c r="M3" s="105"/>
    </row>
    <row r="4" spans="1:16" ht="30" customHeight="1">
      <c r="A4" s="106"/>
      <c r="B4" s="107"/>
      <c r="C4" s="108"/>
      <c r="D4" s="109" t="s">
        <v>149</v>
      </c>
      <c r="E4" s="110"/>
      <c r="F4" s="111"/>
      <c r="G4" s="112"/>
      <c r="H4" s="113"/>
      <c r="I4" s="114"/>
      <c r="J4" s="115" t="s">
        <v>184</v>
      </c>
      <c r="K4" s="115" t="s">
        <v>185</v>
      </c>
      <c r="L4" s="109" t="s">
        <v>150</v>
      </c>
      <c r="M4" s="116" t="s">
        <v>145</v>
      </c>
    </row>
    <row r="5" spans="1:16" ht="30" customHeight="1">
      <c r="A5" s="117"/>
      <c r="B5" s="118"/>
      <c r="C5" s="119"/>
      <c r="D5" s="120" t="s">
        <v>186</v>
      </c>
      <c r="E5" s="121" t="s">
        <v>274</v>
      </c>
      <c r="F5" s="121" t="s">
        <v>151</v>
      </c>
      <c r="G5" s="122" t="s">
        <v>152</v>
      </c>
      <c r="H5" s="122" t="s">
        <v>153</v>
      </c>
      <c r="I5" s="122" t="s">
        <v>154</v>
      </c>
      <c r="J5" s="122" t="s">
        <v>187</v>
      </c>
      <c r="K5" s="122" t="s">
        <v>451</v>
      </c>
      <c r="L5" s="123"/>
      <c r="M5" s="124"/>
    </row>
    <row r="6" spans="1:16" ht="30" customHeight="1">
      <c r="A6" s="125"/>
      <c r="B6" s="126" t="s">
        <v>155</v>
      </c>
      <c r="C6" s="127"/>
      <c r="D6" s="128"/>
      <c r="E6" s="128"/>
      <c r="F6" s="128"/>
      <c r="G6" s="128"/>
      <c r="H6" s="128"/>
      <c r="I6" s="128"/>
      <c r="J6" s="128"/>
      <c r="K6" s="128"/>
      <c r="L6" s="128"/>
      <c r="M6" s="62"/>
    </row>
    <row r="7" spans="1:16" ht="30" hidden="1" customHeight="1">
      <c r="A7" s="125"/>
      <c r="B7" s="126" t="s">
        <v>156</v>
      </c>
      <c r="C7" s="127"/>
      <c r="D7" s="129"/>
      <c r="E7" s="129"/>
      <c r="F7" s="25"/>
      <c r="G7" s="128"/>
      <c r="H7" s="128"/>
      <c r="I7" s="128"/>
      <c r="J7" s="128"/>
      <c r="K7" s="128"/>
      <c r="L7" s="128"/>
      <c r="M7" s="62"/>
    </row>
    <row r="8" spans="1:16" ht="30" customHeight="1">
      <c r="A8" s="125"/>
      <c r="B8" s="126" t="s">
        <v>188</v>
      </c>
      <c r="C8" s="127"/>
      <c r="D8" s="128"/>
      <c r="E8" s="128"/>
      <c r="F8" s="25"/>
      <c r="G8" s="128"/>
      <c r="H8" s="128"/>
      <c r="I8" s="128"/>
      <c r="J8" s="128"/>
      <c r="K8" s="128"/>
      <c r="L8" s="128"/>
      <c r="M8" s="62"/>
    </row>
    <row r="9" spans="1:16" ht="30" customHeight="1">
      <c r="A9" s="125"/>
      <c r="B9" s="126" t="s">
        <v>190</v>
      </c>
      <c r="C9" s="127"/>
      <c r="D9" s="128"/>
      <c r="E9" s="128"/>
      <c r="F9" s="25"/>
      <c r="G9" s="128"/>
      <c r="H9" s="128"/>
      <c r="I9" s="128"/>
      <c r="J9" s="128">
        <f>토공총괄집계표!H26*1.175/0.95</f>
        <v>1484.0930263157895</v>
      </c>
      <c r="K9" s="128"/>
      <c r="L9" s="128"/>
      <c r="M9" s="130" t="s">
        <v>260</v>
      </c>
    </row>
    <row r="10" spans="1:16" ht="30" hidden="1" customHeight="1">
      <c r="A10" s="125"/>
      <c r="B10" s="126" t="s">
        <v>157</v>
      </c>
      <c r="C10" s="127"/>
      <c r="D10" s="128"/>
      <c r="E10" s="128"/>
      <c r="F10" s="25"/>
      <c r="G10" s="128"/>
      <c r="H10" s="128"/>
      <c r="I10" s="128"/>
      <c r="J10" s="128"/>
      <c r="K10" s="128"/>
      <c r="L10" s="128"/>
      <c r="M10" s="62" t="s">
        <v>189</v>
      </c>
    </row>
    <row r="11" spans="1:16" ht="30" customHeight="1">
      <c r="A11" s="125"/>
      <c r="B11" s="126" t="s">
        <v>916</v>
      </c>
      <c r="C11" s="127"/>
      <c r="D11" s="128"/>
      <c r="E11" s="128"/>
      <c r="F11" s="62"/>
      <c r="G11" s="128"/>
      <c r="H11" s="128"/>
      <c r="I11" s="128"/>
      <c r="J11" s="128"/>
      <c r="K11" s="128"/>
      <c r="L11" s="128">
        <f>토공총괄집계표!H30</f>
        <v>0</v>
      </c>
      <c r="M11" s="62"/>
    </row>
    <row r="12" spans="1:16" ht="30" customHeight="1">
      <c r="A12" s="131" t="s">
        <v>191</v>
      </c>
      <c r="B12" s="548" t="s">
        <v>192</v>
      </c>
      <c r="C12" s="549"/>
      <c r="D12" s="128">
        <f>SUM(D6:D11)</f>
        <v>0</v>
      </c>
      <c r="E12" s="128">
        <f>SUM(E6:E11)*1.04</f>
        <v>0</v>
      </c>
      <c r="F12" s="128">
        <f t="shared" ref="F12:L12" si="0">SUM(F6:F11)*1.04</f>
        <v>0</v>
      </c>
      <c r="G12" s="128">
        <f>SUM(G6:G11)</f>
        <v>0</v>
      </c>
      <c r="H12" s="128">
        <f t="shared" si="0"/>
        <v>0</v>
      </c>
      <c r="I12" s="128">
        <f t="shared" si="0"/>
        <v>0</v>
      </c>
      <c r="J12" s="128">
        <f t="shared" si="0"/>
        <v>1543.4567473684212</v>
      </c>
      <c r="K12" s="128">
        <f>SUM(K6:K11)</f>
        <v>0</v>
      </c>
      <c r="L12" s="128">
        <f t="shared" si="0"/>
        <v>0</v>
      </c>
      <c r="M12" s="128"/>
      <c r="N12" s="320" t="s">
        <v>618</v>
      </c>
    </row>
    <row r="13" spans="1:16" ht="30" customHeight="1">
      <c r="A13" s="132"/>
      <c r="B13" s="132"/>
      <c r="D13" s="49"/>
      <c r="E13" s="49"/>
      <c r="F13" s="44"/>
      <c r="G13" s="49"/>
      <c r="H13" s="49"/>
      <c r="I13" s="49"/>
      <c r="J13" s="49"/>
      <c r="K13" s="49"/>
      <c r="L13" s="49"/>
      <c r="M13" s="44"/>
    </row>
    <row r="14" spans="1:16">
      <c r="A14" s="132"/>
      <c r="B14" s="132"/>
      <c r="D14" s="49"/>
      <c r="E14" s="49"/>
      <c r="F14" s="44"/>
      <c r="G14" s="49"/>
      <c r="H14" s="49"/>
      <c r="I14" s="49"/>
      <c r="J14" s="49"/>
      <c r="K14" s="49"/>
      <c r="L14" s="49"/>
      <c r="M14" s="44"/>
    </row>
    <row r="15" spans="1:16">
      <c r="D15" s="49"/>
      <c r="E15" s="49"/>
      <c r="F15" s="44"/>
      <c r="G15" s="49"/>
      <c r="H15" s="49"/>
      <c r="I15" s="49"/>
      <c r="J15" s="49"/>
      <c r="K15" s="49"/>
      <c r="L15" s="49"/>
      <c r="M15" s="44"/>
    </row>
    <row r="16" spans="1:16">
      <c r="D16" s="49"/>
      <c r="E16" s="49"/>
      <c r="F16" s="44"/>
      <c r="G16" s="49"/>
      <c r="H16" s="49"/>
      <c r="I16" s="49"/>
      <c r="J16" s="49"/>
      <c r="K16" s="49"/>
      <c r="L16" s="49"/>
      <c r="M16" s="44"/>
    </row>
    <row r="17" spans="3:13">
      <c r="D17" s="49"/>
      <c r="E17" s="49"/>
      <c r="F17" s="44"/>
      <c r="G17" s="49"/>
      <c r="H17" s="49"/>
      <c r="I17" s="49"/>
      <c r="J17" s="49"/>
      <c r="K17" s="49"/>
      <c r="L17" s="49"/>
      <c r="M17" s="44"/>
    </row>
    <row r="18" spans="3:13">
      <c r="D18" s="49"/>
      <c r="E18" s="49"/>
      <c r="F18" s="44"/>
      <c r="G18" s="49"/>
      <c r="H18" s="49"/>
      <c r="I18" s="49"/>
      <c r="J18" s="49"/>
      <c r="K18" s="49"/>
      <c r="L18" s="49"/>
      <c r="M18" s="44"/>
    </row>
    <row r="19" spans="3:13">
      <c r="D19" s="49"/>
      <c r="E19" s="49"/>
      <c r="F19" s="44"/>
      <c r="G19" s="49"/>
      <c r="H19" s="49"/>
      <c r="I19" s="49"/>
      <c r="J19" s="49"/>
      <c r="K19" s="49"/>
      <c r="L19" s="49"/>
      <c r="M19" s="44"/>
    </row>
    <row r="20" spans="3:13">
      <c r="C20" s="133"/>
      <c r="D20" s="134"/>
      <c r="E20" s="134"/>
      <c r="F20" s="44"/>
      <c r="G20" s="49"/>
      <c r="H20" s="49"/>
      <c r="I20" s="49"/>
      <c r="J20" s="49"/>
      <c r="K20" s="49"/>
      <c r="L20" s="49"/>
      <c r="M20" s="44"/>
    </row>
    <row r="21" spans="3:13">
      <c r="C21" s="133"/>
      <c r="D21" s="134"/>
      <c r="E21" s="134"/>
      <c r="F21" s="44"/>
      <c r="G21" s="49"/>
      <c r="H21" s="49"/>
      <c r="I21" s="49"/>
      <c r="J21" s="49"/>
      <c r="K21" s="49"/>
      <c r="L21" s="49"/>
      <c r="M21" s="44"/>
    </row>
    <row r="22" spans="3:13">
      <c r="C22" s="133"/>
      <c r="D22" s="134"/>
      <c r="E22" s="134"/>
      <c r="F22" s="44"/>
      <c r="G22" s="49"/>
      <c r="H22" s="49"/>
      <c r="I22" s="49"/>
      <c r="J22" s="49"/>
      <c r="K22" s="49"/>
      <c r="L22" s="49"/>
      <c r="M22" s="44"/>
    </row>
    <row r="23" spans="3:13">
      <c r="D23" s="49"/>
      <c r="E23" s="49"/>
      <c r="F23" s="44"/>
      <c r="G23" s="49"/>
      <c r="H23" s="49"/>
      <c r="I23" s="49"/>
      <c r="J23" s="49"/>
      <c r="K23" s="49"/>
      <c r="L23" s="49"/>
      <c r="M23" s="44"/>
    </row>
    <row r="24" spans="3:13">
      <c r="D24" s="49"/>
      <c r="E24" s="49"/>
      <c r="F24" s="44"/>
      <c r="G24" s="49"/>
      <c r="H24" s="49"/>
      <c r="I24" s="49"/>
      <c r="J24" s="49"/>
      <c r="K24" s="49"/>
      <c r="L24" s="49"/>
      <c r="M24" s="44"/>
    </row>
    <row r="25" spans="3:13">
      <c r="D25" s="49"/>
      <c r="E25" s="49"/>
      <c r="F25" s="44"/>
      <c r="G25" s="49"/>
      <c r="H25" s="49"/>
      <c r="I25" s="49"/>
      <c r="J25" s="49"/>
      <c r="K25" s="49"/>
      <c r="L25" s="49"/>
      <c r="M25" s="44"/>
    </row>
    <row r="26" spans="3:13">
      <c r="D26" s="49"/>
      <c r="E26" s="49"/>
      <c r="F26" s="44"/>
      <c r="G26" s="49"/>
      <c r="H26" s="49"/>
      <c r="I26" s="49"/>
      <c r="J26" s="49"/>
      <c r="K26" s="49"/>
      <c r="L26" s="49"/>
      <c r="M26" s="44"/>
    </row>
    <row r="27" spans="3:13">
      <c r="D27" s="49"/>
      <c r="E27" s="49"/>
      <c r="F27" s="44"/>
      <c r="G27" s="49"/>
      <c r="H27" s="49"/>
      <c r="I27" s="49"/>
      <c r="J27" s="49"/>
      <c r="K27" s="49"/>
      <c r="L27" s="49"/>
      <c r="M27" s="44"/>
    </row>
    <row r="28" spans="3:13">
      <c r="D28" s="49"/>
      <c r="E28" s="49"/>
      <c r="F28" s="44"/>
      <c r="G28" s="49"/>
      <c r="H28" s="49"/>
      <c r="I28" s="49"/>
      <c r="J28" s="49"/>
      <c r="K28" s="49"/>
      <c r="L28" s="49"/>
      <c r="M28" s="44"/>
    </row>
    <row r="29" spans="3:13">
      <c r="D29" s="49"/>
      <c r="E29" s="49"/>
      <c r="F29" s="44"/>
      <c r="G29" s="49"/>
      <c r="H29" s="49"/>
      <c r="I29" s="49"/>
      <c r="J29" s="49"/>
      <c r="K29" s="49"/>
      <c r="L29" s="49"/>
      <c r="M29" s="44"/>
    </row>
    <row r="30" spans="3:13">
      <c r="D30" s="49"/>
      <c r="E30" s="49"/>
      <c r="F30" s="44"/>
      <c r="G30" s="49"/>
      <c r="H30" s="49"/>
      <c r="I30" s="49"/>
      <c r="J30" s="49"/>
      <c r="K30" s="49"/>
      <c r="L30" s="49"/>
      <c r="M30" s="44"/>
    </row>
    <row r="31" spans="3:13">
      <c r="D31" s="49"/>
      <c r="E31" s="49"/>
      <c r="F31" s="44"/>
      <c r="G31" s="49"/>
      <c r="H31" s="49"/>
      <c r="I31" s="49"/>
      <c r="J31" s="49"/>
      <c r="K31" s="49"/>
      <c r="L31" s="49"/>
      <c r="M31" s="44"/>
    </row>
    <row r="32" spans="3:13">
      <c r="D32" s="49"/>
      <c r="E32" s="49"/>
      <c r="F32" s="44"/>
      <c r="G32" s="49"/>
      <c r="H32" s="49"/>
      <c r="I32" s="49"/>
      <c r="J32" s="49"/>
      <c r="K32" s="49"/>
      <c r="L32" s="49"/>
      <c r="M32" s="44"/>
    </row>
    <row r="33" spans="4:13">
      <c r="D33" s="49"/>
      <c r="E33" s="49"/>
      <c r="F33" s="44"/>
      <c r="G33" s="49"/>
      <c r="H33" s="49"/>
      <c r="I33" s="49"/>
      <c r="J33" s="49"/>
      <c r="K33" s="49"/>
      <c r="L33" s="49"/>
      <c r="M33" s="44"/>
    </row>
    <row r="34" spans="4:13">
      <c r="D34" s="49"/>
      <c r="E34" s="49"/>
      <c r="F34" s="44"/>
      <c r="G34" s="49"/>
      <c r="H34" s="49"/>
      <c r="I34" s="49"/>
      <c r="J34" s="49"/>
      <c r="K34" s="49"/>
      <c r="L34" s="49"/>
      <c r="M34" s="44"/>
    </row>
    <row r="35" spans="4:13">
      <c r="D35" s="49"/>
      <c r="E35" s="49"/>
      <c r="F35" s="44"/>
      <c r="G35" s="49"/>
      <c r="H35" s="49"/>
      <c r="I35" s="49"/>
      <c r="J35" s="49"/>
      <c r="K35" s="49"/>
      <c r="L35" s="49"/>
      <c r="M35" s="44"/>
    </row>
    <row r="36" spans="4:13">
      <c r="D36" s="49"/>
      <c r="E36" s="49"/>
      <c r="F36" s="44"/>
      <c r="G36" s="49"/>
      <c r="H36" s="49"/>
      <c r="I36" s="49"/>
      <c r="J36" s="49"/>
      <c r="K36" s="49"/>
      <c r="L36" s="49"/>
      <c r="M36" s="44"/>
    </row>
    <row r="37" spans="4:13">
      <c r="D37" s="49"/>
      <c r="E37" s="49"/>
      <c r="F37" s="44"/>
      <c r="G37" s="49"/>
      <c r="H37" s="49"/>
      <c r="I37" s="49"/>
      <c r="J37" s="49"/>
      <c r="K37" s="49"/>
      <c r="L37" s="49"/>
      <c r="M37" s="44"/>
    </row>
  </sheetData>
  <mergeCells count="3">
    <mergeCell ref="A2:B2"/>
    <mergeCell ref="A1:M1"/>
    <mergeCell ref="B12:C12"/>
  </mergeCells>
  <phoneticPr fontId="5" type="noConversion"/>
  <printOptions horizontalCentered="1"/>
  <pageMargins left="0.78740157480314965" right="0.78740157480314965" top="0.98425196850393704" bottom="0.98425196850393704" header="0.70866141732283472" footer="0.59055118110236227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showZeros="0" view="pageBreakPreview" topLeftCell="A3" zoomScale="115" zoomScaleNormal="100" zoomScaleSheetLayoutView="115" workbookViewId="0">
      <selection activeCell="E21" sqref="E21"/>
    </sheetView>
  </sheetViews>
  <sheetFormatPr defaultRowHeight="12"/>
  <cols>
    <col min="1" max="1" width="10.44140625" style="408" customWidth="1"/>
    <col min="2" max="2" width="10.6640625" style="408" customWidth="1"/>
    <col min="3" max="3" width="7.77734375" style="409" customWidth="1"/>
    <col min="4" max="4" width="6.33203125" style="408" customWidth="1"/>
    <col min="5" max="5" width="10" style="408" bestFit="1" customWidth="1"/>
    <col min="6" max="6" width="6.33203125" style="408" customWidth="1"/>
    <col min="7" max="7" width="7.21875" style="408" customWidth="1"/>
    <col min="8" max="9" width="6.33203125" style="408" customWidth="1"/>
    <col min="10" max="15" width="6.77734375" style="408" customWidth="1"/>
    <col min="16" max="16" width="8.6640625" style="408" customWidth="1"/>
    <col min="17" max="16384" width="8.88671875" style="408"/>
  </cols>
  <sheetData>
    <row r="1" spans="1:20" ht="20.100000000000001" customHeight="1">
      <c r="A1" s="94" t="str">
        <f>"&lt; "&amp;간지!$Z$3&amp;" &gt;"</f>
        <v>&lt; 갈전7교 &gt;</v>
      </c>
      <c r="B1" s="412"/>
      <c r="C1" s="42"/>
      <c r="D1" s="94"/>
      <c r="E1" s="94"/>
      <c r="F1" s="94"/>
      <c r="G1" s="94"/>
      <c r="H1" s="94"/>
      <c r="I1" s="94"/>
      <c r="J1" s="94"/>
      <c r="K1" s="413"/>
      <c r="L1" s="94"/>
      <c r="M1" s="94"/>
      <c r="N1" s="414"/>
      <c r="O1" s="414"/>
    </row>
    <row r="2" spans="1:20" s="411" customFormat="1" ht="25.15" customHeight="1">
      <c r="A2" s="415" t="s">
        <v>1019</v>
      </c>
      <c r="B2" s="416" t="s">
        <v>1019</v>
      </c>
      <c r="C2" s="417" t="s">
        <v>1018</v>
      </c>
      <c r="D2" s="550" t="s">
        <v>1017</v>
      </c>
      <c r="E2" s="551"/>
      <c r="F2" s="550" t="s">
        <v>1016</v>
      </c>
      <c r="G2" s="552"/>
      <c r="H2" s="418" t="s">
        <v>1015</v>
      </c>
      <c r="I2" s="183"/>
      <c r="J2" s="419"/>
      <c r="K2" s="183"/>
      <c r="L2" s="420"/>
      <c r="M2" s="183"/>
      <c r="N2" s="420"/>
      <c r="O2" s="421"/>
    </row>
    <row r="3" spans="1:20" s="411" customFormat="1" ht="25.15" customHeight="1">
      <c r="A3" s="422" t="s">
        <v>1014</v>
      </c>
      <c r="B3" s="423" t="s">
        <v>1013</v>
      </c>
      <c r="C3" s="422" t="s">
        <v>1012</v>
      </c>
      <c r="D3" s="424"/>
      <c r="E3" s="184"/>
      <c r="F3" s="424"/>
      <c r="G3" s="184"/>
      <c r="H3" s="185" t="s">
        <v>1011</v>
      </c>
      <c r="I3" s="425"/>
      <c r="J3" s="185" t="s">
        <v>1010</v>
      </c>
      <c r="K3" s="425"/>
      <c r="L3" s="185" t="s">
        <v>1009</v>
      </c>
      <c r="M3" s="425"/>
      <c r="N3" s="539" t="s">
        <v>1008</v>
      </c>
      <c r="O3" s="541"/>
    </row>
    <row r="4" spans="1:20" s="411" customFormat="1" ht="21.95" customHeight="1">
      <c r="A4" s="424"/>
      <c r="B4" s="184"/>
      <c r="C4" s="186"/>
      <c r="D4" s="187" t="s">
        <v>1007</v>
      </c>
      <c r="E4" s="187" t="s">
        <v>111</v>
      </c>
      <c r="F4" s="187" t="s">
        <v>1006</v>
      </c>
      <c r="G4" s="187" t="s">
        <v>1005</v>
      </c>
      <c r="H4" s="187" t="s">
        <v>1006</v>
      </c>
      <c r="I4" s="187" t="s">
        <v>1005</v>
      </c>
      <c r="J4" s="187" t="s">
        <v>1006</v>
      </c>
      <c r="K4" s="187" t="s">
        <v>1005</v>
      </c>
      <c r="L4" s="187" t="s">
        <v>1006</v>
      </c>
      <c r="M4" s="187" t="s">
        <v>1005</v>
      </c>
      <c r="N4" s="187" t="s">
        <v>1006</v>
      </c>
      <c r="O4" s="187" t="s">
        <v>1005</v>
      </c>
    </row>
    <row r="5" spans="1:20" ht="27.95" customHeight="1">
      <c r="A5" s="406" t="s">
        <v>1004</v>
      </c>
      <c r="B5" s="426" t="s">
        <v>1003</v>
      </c>
      <c r="C5" s="427"/>
      <c r="D5" s="428">
        <v>0.77700000000000002</v>
      </c>
      <c r="E5" s="429">
        <f t="shared" ref="E5:E12" si="0">ROUND(C5*D5,3)</f>
        <v>0</v>
      </c>
      <c r="F5" s="430"/>
      <c r="G5" s="430">
        <f t="shared" ref="G5:G13" si="1">ROUND(C5*F5,3)</f>
        <v>0</v>
      </c>
      <c r="H5" s="431"/>
      <c r="I5" s="431"/>
      <c r="J5" s="432"/>
      <c r="K5" s="433"/>
      <c r="L5" s="432"/>
      <c r="M5" s="433"/>
      <c r="N5" s="434"/>
      <c r="O5" s="434"/>
      <c r="P5" s="410"/>
      <c r="Q5" s="410"/>
      <c r="R5" s="410"/>
      <c r="S5" s="410"/>
      <c r="T5" s="410"/>
    </row>
    <row r="6" spans="1:20" ht="27.95" customHeight="1">
      <c r="A6" s="407" t="s">
        <v>1002</v>
      </c>
      <c r="B6" s="426" t="s">
        <v>1001</v>
      </c>
      <c r="C6" s="427"/>
      <c r="D6" s="428">
        <v>0.77700000000000002</v>
      </c>
      <c r="E6" s="429">
        <f t="shared" si="0"/>
        <v>0</v>
      </c>
      <c r="F6" s="430"/>
      <c r="G6" s="430">
        <f t="shared" si="1"/>
        <v>0</v>
      </c>
      <c r="H6" s="431"/>
      <c r="I6" s="431"/>
      <c r="J6" s="432"/>
      <c r="K6" s="433"/>
      <c r="L6" s="432"/>
      <c r="M6" s="433"/>
      <c r="N6" s="434"/>
      <c r="O6" s="434"/>
      <c r="P6" s="410"/>
      <c r="Q6" s="410"/>
      <c r="R6" s="410"/>
      <c r="S6" s="410"/>
      <c r="T6" s="410"/>
    </row>
    <row r="7" spans="1:20" ht="27.95" customHeight="1">
      <c r="A7" s="25" t="s">
        <v>1000</v>
      </c>
      <c r="B7" s="426"/>
      <c r="C7" s="427"/>
      <c r="D7" s="428">
        <v>0.77700000000000002</v>
      </c>
      <c r="E7" s="429">
        <f t="shared" si="0"/>
        <v>0</v>
      </c>
      <c r="F7" s="430"/>
      <c r="G7" s="430">
        <f t="shared" si="1"/>
        <v>0</v>
      </c>
      <c r="H7" s="431"/>
      <c r="I7" s="431"/>
      <c r="J7" s="432"/>
      <c r="K7" s="433"/>
      <c r="L7" s="432"/>
      <c r="M7" s="433"/>
      <c r="N7" s="434"/>
      <c r="O7" s="434"/>
      <c r="P7" s="410"/>
      <c r="Q7" s="410"/>
      <c r="R7" s="410"/>
      <c r="S7" s="410"/>
      <c r="T7" s="410"/>
    </row>
    <row r="8" spans="1:20" ht="27.95" customHeight="1">
      <c r="A8" s="515" t="s">
        <v>999</v>
      </c>
      <c r="B8" s="516"/>
      <c r="C8" s="446">
        <f>구조물공총괄집계표!G59</f>
        <v>0</v>
      </c>
      <c r="D8" s="435"/>
      <c r="E8" s="429">
        <f t="shared" si="0"/>
        <v>0</v>
      </c>
      <c r="F8" s="430"/>
      <c r="G8" s="430">
        <f t="shared" si="1"/>
        <v>0</v>
      </c>
      <c r="H8" s="25"/>
      <c r="I8" s="25"/>
      <c r="J8" s="25"/>
      <c r="K8" s="436"/>
      <c r="L8" s="437"/>
      <c r="M8" s="436"/>
      <c r="N8" s="438"/>
      <c r="O8" s="438"/>
      <c r="P8" s="410"/>
      <c r="Q8" s="410"/>
      <c r="R8" s="410"/>
      <c r="S8" s="410"/>
      <c r="T8" s="410"/>
    </row>
    <row r="9" spans="1:20" ht="27.95" customHeight="1">
      <c r="A9" s="515" t="s">
        <v>998</v>
      </c>
      <c r="B9" s="516"/>
      <c r="C9" s="439"/>
      <c r="D9" s="439">
        <v>0.51</v>
      </c>
      <c r="E9" s="440">
        <f t="shared" si="0"/>
        <v>0</v>
      </c>
      <c r="F9" s="441"/>
      <c r="G9" s="440">
        <f t="shared" si="1"/>
        <v>0</v>
      </c>
      <c r="H9" s="25"/>
      <c r="I9" s="25"/>
      <c r="J9" s="25"/>
      <c r="K9" s="436"/>
      <c r="L9" s="25"/>
      <c r="M9" s="436"/>
      <c r="N9" s="438"/>
      <c r="O9" s="438"/>
      <c r="P9" s="410"/>
      <c r="Q9" s="410"/>
      <c r="R9" s="410"/>
      <c r="S9" s="410"/>
      <c r="T9" s="410"/>
    </row>
    <row r="10" spans="1:20" ht="27.95" customHeight="1">
      <c r="A10" s="553" t="s">
        <v>997</v>
      </c>
      <c r="B10" s="136" t="s">
        <v>996</v>
      </c>
      <c r="C10" s="439"/>
      <c r="D10" s="428">
        <v>1.3009999999999999</v>
      </c>
      <c r="E10" s="429">
        <f t="shared" si="0"/>
        <v>0</v>
      </c>
      <c r="F10" s="442"/>
      <c r="G10" s="430">
        <f t="shared" si="1"/>
        <v>0</v>
      </c>
      <c r="H10" s="431"/>
      <c r="I10" s="431"/>
      <c r="J10" s="432"/>
      <c r="K10" s="433"/>
      <c r="L10" s="432"/>
      <c r="M10" s="433"/>
      <c r="N10" s="434"/>
      <c r="O10" s="434"/>
      <c r="P10" s="410"/>
      <c r="Q10" s="410"/>
      <c r="R10" s="410"/>
      <c r="S10" s="410"/>
      <c r="T10" s="410"/>
    </row>
    <row r="11" spans="1:20" ht="27.95" customHeight="1">
      <c r="A11" s="554"/>
      <c r="B11" s="443" t="s">
        <v>995</v>
      </c>
      <c r="C11" s="439">
        <f>구조물공총괄집계표!G135</f>
        <v>126.474</v>
      </c>
      <c r="D11" s="428">
        <v>1.0900000000000001</v>
      </c>
      <c r="E11" s="429">
        <f t="shared" si="0"/>
        <v>137.857</v>
      </c>
      <c r="F11" s="442"/>
      <c r="G11" s="430">
        <f t="shared" si="1"/>
        <v>0</v>
      </c>
      <c r="H11" s="431"/>
      <c r="I11" s="431"/>
      <c r="J11" s="432"/>
      <c r="K11" s="433"/>
      <c r="L11" s="432"/>
      <c r="M11" s="433"/>
      <c r="N11" s="434"/>
      <c r="O11" s="434"/>
      <c r="P11" s="410"/>
      <c r="Q11" s="410"/>
      <c r="R11" s="410"/>
      <c r="S11" s="410"/>
      <c r="T11" s="410"/>
    </row>
    <row r="12" spans="1:20" ht="27.95" customHeight="1">
      <c r="A12" s="555"/>
      <c r="B12" s="443" t="s">
        <v>994</v>
      </c>
      <c r="C12" s="439">
        <f>구조물공총괄집계표!G136</f>
        <v>838.35900000000004</v>
      </c>
      <c r="D12" s="428">
        <v>0.98299999999999998</v>
      </c>
      <c r="E12" s="429">
        <f t="shared" si="0"/>
        <v>824.10699999999997</v>
      </c>
      <c r="F12" s="442"/>
      <c r="G12" s="430">
        <f t="shared" si="1"/>
        <v>0</v>
      </c>
      <c r="H12" s="431"/>
      <c r="I12" s="431"/>
      <c r="J12" s="432"/>
      <c r="K12" s="433"/>
      <c r="L12" s="432"/>
      <c r="M12" s="433"/>
      <c r="N12" s="434"/>
      <c r="O12" s="434"/>
      <c r="P12" s="410"/>
      <c r="Q12" s="410"/>
      <c r="R12" s="410"/>
      <c r="S12" s="410"/>
      <c r="T12" s="410"/>
    </row>
    <row r="13" spans="1:20" ht="27.95" customHeight="1">
      <c r="A13" s="444" t="s">
        <v>993</v>
      </c>
      <c r="B13" s="426"/>
      <c r="C13" s="439">
        <f>구조물공총괄집계표!G214</f>
        <v>0</v>
      </c>
      <c r="D13" s="428">
        <v>1.3029999999999999</v>
      </c>
      <c r="E13" s="429">
        <f>C13*D13</f>
        <v>0</v>
      </c>
      <c r="F13" s="442"/>
      <c r="G13" s="430">
        <f t="shared" si="1"/>
        <v>0</v>
      </c>
      <c r="H13" s="431"/>
      <c r="I13" s="431"/>
      <c r="J13" s="431"/>
      <c r="K13" s="428"/>
      <c r="L13" s="432"/>
      <c r="M13" s="433"/>
      <c r="N13" s="434"/>
      <c r="O13" s="434"/>
      <c r="P13" s="410"/>
      <c r="Q13" s="410"/>
      <c r="R13" s="410"/>
      <c r="S13" s="410"/>
      <c r="T13" s="410"/>
    </row>
    <row r="14" spans="1:20" ht="27.95" customHeight="1">
      <c r="A14" s="444" t="s">
        <v>1163</v>
      </c>
      <c r="B14" s="426"/>
      <c r="C14" s="439">
        <v>1693.44</v>
      </c>
      <c r="D14" s="428">
        <v>0.25</v>
      </c>
      <c r="E14" s="429">
        <v>423.36</v>
      </c>
      <c r="F14" s="442"/>
      <c r="G14" s="429"/>
      <c r="H14" s="445"/>
      <c r="I14" s="445"/>
      <c r="J14" s="431"/>
      <c r="K14" s="433"/>
      <c r="L14" s="432"/>
      <c r="M14" s="433"/>
      <c r="N14" s="434"/>
      <c r="O14" s="434"/>
      <c r="P14" s="410"/>
      <c r="Q14" s="410"/>
      <c r="R14" s="410"/>
      <c r="S14" s="410"/>
      <c r="T14" s="410"/>
    </row>
    <row r="15" spans="1:20" ht="27.95" customHeight="1">
      <c r="A15" s="69" t="s">
        <v>992</v>
      </c>
      <c r="B15" s="426"/>
      <c r="C15" s="446">
        <f>SUM(C5:C14)</f>
        <v>2658.2730000000001</v>
      </c>
      <c r="D15" s="446"/>
      <c r="E15" s="429">
        <f>SUM(E5:E14)</f>
        <v>1385.3240000000001</v>
      </c>
      <c r="F15" s="432"/>
      <c r="G15" s="429">
        <f>SUM(G5:G13)</f>
        <v>0</v>
      </c>
      <c r="H15" s="445"/>
      <c r="I15" s="433">
        <f>SUM(I5:I13)</f>
        <v>0</v>
      </c>
      <c r="J15" s="432"/>
      <c r="K15" s="433">
        <f>SUM(K5:K13)</f>
        <v>0</v>
      </c>
      <c r="L15" s="432"/>
      <c r="M15" s="433">
        <f>SUM(M5:M13)</f>
        <v>0</v>
      </c>
      <c r="N15" s="434"/>
      <c r="O15" s="433">
        <f>SUM(O5:O13)</f>
        <v>0</v>
      </c>
      <c r="P15" s="410"/>
      <c r="Q15" s="410"/>
      <c r="R15" s="410"/>
      <c r="S15" s="410"/>
      <c r="T15" s="410"/>
    </row>
    <row r="16" spans="1:20" ht="27.95" customHeight="1">
      <c r="A16" s="515" t="s">
        <v>85</v>
      </c>
      <c r="B16" s="516"/>
      <c r="C16" s="447" t="s">
        <v>991</v>
      </c>
      <c r="D16" s="448"/>
      <c r="E16" s="433">
        <f>ROUND(E15,3)</f>
        <v>1385.3240000000001</v>
      </c>
      <c r="F16" s="430"/>
      <c r="G16" s="429">
        <f>SUM(G15)</f>
        <v>0</v>
      </c>
      <c r="H16" s="433"/>
      <c r="I16" s="433">
        <f>SUM(I15)</f>
        <v>0</v>
      </c>
      <c r="J16" s="428"/>
      <c r="K16" s="433">
        <f>SUM(K15,)</f>
        <v>0</v>
      </c>
      <c r="L16" s="428"/>
      <c r="M16" s="433">
        <f>SUM(M15,)</f>
        <v>0</v>
      </c>
      <c r="N16" s="449"/>
      <c r="O16" s="449">
        <f>SUM(O15,)</f>
        <v>0</v>
      </c>
      <c r="P16" s="410"/>
      <c r="Q16" s="410"/>
      <c r="R16" s="410"/>
      <c r="S16" s="410"/>
      <c r="T16" s="410"/>
    </row>
    <row r="17" spans="1:20" ht="18.95" customHeight="1">
      <c r="A17" s="94"/>
      <c r="B17" s="94"/>
      <c r="C17" s="42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450"/>
      <c r="O17" s="450"/>
      <c r="P17" s="410"/>
      <c r="Q17" s="410"/>
      <c r="R17" s="410"/>
      <c r="S17" s="410"/>
      <c r="T17" s="410"/>
    </row>
    <row r="18" spans="1:20" ht="18.95" customHeight="1">
      <c r="A18" s="94"/>
      <c r="B18" s="451"/>
      <c r="C18" s="42"/>
      <c r="D18" s="452" t="str">
        <f>"* 시멘트 : "&amp;FIXED($E$16*1000,0)&amp;"  ÷ 40    ="</f>
        <v>* 시멘트 : 1,385,324  ÷ 40    =</v>
      </c>
      <c r="E18" s="453" t="str">
        <f>" "&amp;FIXED(ROUNDUP($E$16*1000/40,0),0)&amp;" 포대"</f>
        <v xml:space="preserve"> 34,634 포대</v>
      </c>
      <c r="F18" s="94"/>
      <c r="G18" s="94"/>
      <c r="H18" s="94"/>
      <c r="I18" s="94"/>
      <c r="J18" s="94"/>
      <c r="K18" s="94"/>
      <c r="L18" s="94"/>
      <c r="M18" s="94"/>
      <c r="N18" s="450"/>
      <c r="O18" s="450"/>
      <c r="P18" s="410"/>
      <c r="Q18" s="410"/>
      <c r="R18" s="410"/>
      <c r="S18" s="410"/>
      <c r="T18" s="410"/>
    </row>
    <row r="19" spans="1:20" ht="18.95" customHeight="1">
      <c r="E19" s="454">
        <f>ROUNDUP(E16*1000/40,0)</f>
        <v>34634</v>
      </c>
      <c r="N19" s="410"/>
      <c r="O19" s="410"/>
      <c r="P19" s="410"/>
      <c r="Q19" s="410"/>
      <c r="R19" s="410"/>
      <c r="S19" s="410"/>
      <c r="T19" s="410"/>
    </row>
    <row r="20" spans="1:20">
      <c r="N20" s="410"/>
      <c r="O20" s="410"/>
      <c r="P20" s="410"/>
      <c r="Q20" s="410"/>
      <c r="R20" s="410"/>
      <c r="S20" s="410"/>
      <c r="T20" s="410"/>
    </row>
    <row r="21" spans="1:20">
      <c r="N21" s="410"/>
      <c r="O21" s="410"/>
      <c r="P21" s="410"/>
      <c r="Q21" s="410"/>
      <c r="R21" s="410"/>
      <c r="S21" s="410"/>
      <c r="T21" s="410"/>
    </row>
    <row r="22" spans="1:20">
      <c r="E22" s="408">
        <f>E16/40</f>
        <v>34.633099999999999</v>
      </c>
      <c r="N22" s="410"/>
      <c r="O22" s="410"/>
      <c r="P22" s="410"/>
      <c r="Q22" s="410"/>
      <c r="R22" s="410"/>
      <c r="S22" s="410"/>
      <c r="T22" s="410"/>
    </row>
    <row r="23" spans="1:20">
      <c r="N23" s="410"/>
      <c r="O23" s="410"/>
      <c r="P23" s="410"/>
      <c r="Q23" s="410"/>
      <c r="R23" s="410"/>
      <c r="S23" s="410"/>
      <c r="T23" s="410"/>
    </row>
    <row r="24" spans="1:20">
      <c r="N24" s="410"/>
      <c r="O24" s="410"/>
      <c r="P24" s="410"/>
      <c r="Q24" s="410"/>
      <c r="R24" s="410"/>
      <c r="S24" s="410"/>
      <c r="T24" s="410"/>
    </row>
    <row r="25" spans="1:20">
      <c r="N25" s="410"/>
      <c r="O25" s="410"/>
      <c r="P25" s="410"/>
      <c r="Q25" s="410"/>
      <c r="R25" s="410"/>
      <c r="S25" s="410"/>
      <c r="T25" s="410"/>
    </row>
    <row r="26" spans="1:20">
      <c r="N26" s="410"/>
      <c r="O26" s="410"/>
      <c r="P26" s="410"/>
      <c r="Q26" s="410"/>
      <c r="R26" s="410"/>
      <c r="S26" s="410"/>
      <c r="T26" s="410"/>
    </row>
    <row r="27" spans="1:20">
      <c r="N27" s="410"/>
      <c r="O27" s="410"/>
      <c r="P27" s="410"/>
      <c r="Q27" s="410"/>
      <c r="R27" s="410"/>
      <c r="S27" s="410"/>
      <c r="T27" s="410"/>
    </row>
    <row r="28" spans="1:20">
      <c r="N28" s="410"/>
      <c r="O28" s="410"/>
      <c r="P28" s="410"/>
      <c r="Q28" s="410"/>
      <c r="R28" s="410"/>
      <c r="S28" s="410"/>
      <c r="T28" s="410"/>
    </row>
    <row r="29" spans="1:20">
      <c r="N29" s="410"/>
      <c r="O29" s="410"/>
      <c r="P29" s="410"/>
      <c r="Q29" s="410"/>
      <c r="R29" s="410"/>
      <c r="S29" s="410"/>
      <c r="T29" s="410"/>
    </row>
    <row r="30" spans="1:20">
      <c r="N30" s="410"/>
      <c r="O30" s="410"/>
      <c r="P30" s="410"/>
      <c r="Q30" s="410"/>
      <c r="R30" s="410"/>
      <c r="S30" s="410"/>
      <c r="T30" s="410"/>
    </row>
    <row r="31" spans="1:20">
      <c r="N31" s="410"/>
      <c r="O31" s="410"/>
      <c r="P31" s="410"/>
      <c r="Q31" s="410"/>
      <c r="R31" s="410"/>
      <c r="S31" s="410"/>
      <c r="T31" s="410"/>
    </row>
  </sheetData>
  <mergeCells count="7">
    <mergeCell ref="A16:B16"/>
    <mergeCell ref="D2:E2"/>
    <mergeCell ref="F2:G2"/>
    <mergeCell ref="A10:A12"/>
    <mergeCell ref="A9:B9"/>
    <mergeCell ref="N3:O3"/>
    <mergeCell ref="A8:B8"/>
  </mergeCells>
  <phoneticPr fontId="7" type="noConversion"/>
  <printOptions horizontalCentered="1"/>
  <pageMargins left="0.78740157480314965" right="0.78740157480314965" top="0.98425196850393704" bottom="0.98425196850393704" header="0.70866141732283472" footer="0.59055118110236227"/>
  <pageSetup paperSize="9" scale="93" orientation="landscape" r:id="rId1"/>
  <headerFooter alignWithMargins="0">
    <oddHeader>&amp;C&amp;"돋움체,굵게"&amp;U구조물공 시멘트 및 골재량 산출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Y701"/>
  <sheetViews>
    <sheetView showZeros="0" view="pageBreakPreview" topLeftCell="A2" zoomScale="60" zoomScaleNormal="100" workbookViewId="0">
      <selection activeCell="AA26" sqref="AA26"/>
    </sheetView>
  </sheetViews>
  <sheetFormatPr defaultRowHeight="13.5"/>
  <cols>
    <col min="1" max="25" width="2.77734375" style="3" customWidth="1"/>
    <col min="26" max="16384" width="8.88671875" style="3"/>
  </cols>
  <sheetData>
    <row r="1" spans="1:25" ht="20.100000000000001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0.10000000000000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10000000000000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0.10000000000000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0.10000000000000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0.10000000000000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0.10000000000000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0.100000000000001" customHeight="1">
      <c r="A8" s="506" t="s">
        <v>933</v>
      </c>
      <c r="B8" s="507"/>
      <c r="C8" s="507"/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7"/>
      <c r="U8" s="507"/>
      <c r="V8" s="507"/>
      <c r="W8" s="507"/>
      <c r="X8" s="507"/>
      <c r="Y8" s="507"/>
    </row>
    <row r="9" spans="1:25" ht="20.100000000000001" customHeight="1">
      <c r="A9" s="507"/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</row>
    <row r="10" spans="1:25" ht="20.100000000000001" customHeight="1">
      <c r="A10" s="507"/>
      <c r="B10" s="507"/>
      <c r="C10" s="507"/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</row>
    <row r="11" spans="1:25" ht="20.100000000000001" customHeight="1">
      <c r="A11" s="507"/>
      <c r="B11" s="507"/>
      <c r="C11" s="507"/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</row>
    <row r="12" spans="1:25" ht="20.10000000000000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10000000000000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0.10000000000000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0.10000000000000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0.10000000000000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0.10000000000000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0.10000000000000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0.10000000000000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0.10000000000000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0.10000000000000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0.10000000000000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0.10000000000000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0.10000000000000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0.10000000000000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0.10000000000000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0.10000000000000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0.10000000000000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0.10000000000000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.10000000000000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0.10000000000000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.10000000000000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0.10000000000000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0.10000000000000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0.10000000000000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0.10000000000000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0.10000000000000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0.10000000000000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0.10000000000000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0.10000000000000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0.10000000000000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0.10000000000000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0.10000000000000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0.10000000000000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0.10000000000000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0.10000000000000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0.10000000000000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0.10000000000000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0.10000000000000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0.10000000000000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0.10000000000000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0.10000000000000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0.10000000000000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0.10000000000000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0.10000000000000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.10000000000000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.10000000000000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0.10000000000000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0.10000000000000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0.10000000000000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0.10000000000000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0.10000000000000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0.10000000000000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0.10000000000000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0.10000000000000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0.10000000000000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0.10000000000000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0.10000000000000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0.10000000000000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0.10000000000000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0.10000000000000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0.10000000000000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0.10000000000000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0.10000000000000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0.10000000000000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0.10000000000000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0.10000000000000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0.10000000000000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0.10000000000000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0.10000000000000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0.10000000000000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0.10000000000000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0.10000000000000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0.10000000000000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0.10000000000000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0.10000000000000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0.10000000000000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0.10000000000000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0.10000000000000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0.10000000000000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0.10000000000000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0.10000000000000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0.10000000000000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0.10000000000000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0.10000000000000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0.10000000000000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0.10000000000000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0.10000000000000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0.10000000000000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0.10000000000000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0.10000000000000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0.10000000000000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0.10000000000000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0.10000000000000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0.10000000000000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0.10000000000000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0.10000000000000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0.10000000000000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0.10000000000000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0.10000000000000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0.10000000000000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0.10000000000000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0.10000000000000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0.10000000000000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0.10000000000000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0.10000000000000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0.10000000000000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0.10000000000000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0.10000000000000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0.10000000000000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0.10000000000000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0.10000000000000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0.10000000000000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0.10000000000000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0.10000000000000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0.10000000000000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0.10000000000000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0.10000000000000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0.100000000000001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0.10000000000000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0.10000000000000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0.10000000000000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0.10000000000000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0.100000000000001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0.100000000000001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.100000000000001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0.100000000000001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0.100000000000001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0.10000000000000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0.10000000000000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0.10000000000000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0.100000000000001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0.10000000000000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0.10000000000000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0.10000000000000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0.10000000000000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0.100000000000001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0.10000000000000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0.10000000000000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0.100000000000001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0.10000000000000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0.10000000000000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0.10000000000000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0.10000000000000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0.100000000000001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0.10000000000000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0.10000000000000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0.100000000000001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0.10000000000000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0.10000000000000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0.10000000000000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0.10000000000000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0.100000000000001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0.10000000000000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.10000000000000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0.100000000000001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0.10000000000000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0.10000000000000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0.10000000000000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0.10000000000000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0.100000000000001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0.10000000000000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0.10000000000000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0.100000000000001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0.100000000000001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0.100000000000001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0.100000000000001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0.100000000000001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0.10000000000000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0.10000000000000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0.10000000000000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0.10000000000000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0.100000000000001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0.10000000000000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0.100000000000001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0.100000000000001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0.100000000000001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0.100000000000001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0.100000000000001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0.100000000000001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0.100000000000001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0.100000000000001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0.100000000000001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0.100000000000001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0.100000000000001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0.100000000000001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0.100000000000001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0.100000000000001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0.100000000000001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0.100000000000001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0.10000000000000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0.100000000000001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0.100000000000001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0.100000000000001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0.100000000000001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0.100000000000001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0.100000000000001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0.100000000000001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0.100000000000001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0.100000000000001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0.100000000000001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0.100000000000001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0.100000000000001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0.100000000000001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0.100000000000001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0.100000000000001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0.10000000000000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0.10000000000000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0.10000000000000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0.100000000000001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0.100000000000001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0.10000000000000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0.100000000000001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0.100000000000001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0.100000000000001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0.10000000000000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0.10000000000000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0.100000000000001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0.100000000000001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0.100000000000001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0.100000000000001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0.100000000000001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0.100000000000001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0.100000000000001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0.100000000000001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0.100000000000001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0.100000000000001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0.100000000000001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0.100000000000001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0.100000000000001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0.100000000000001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0.100000000000001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0.100000000000001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0.100000000000001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0.100000000000001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0.100000000000001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0.100000000000001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0.100000000000001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0.100000000000001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0.100000000000001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0.100000000000001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0.100000000000001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0.100000000000001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0.10000000000000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0.100000000000001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0.100000000000001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0.100000000000001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0.100000000000001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0.100000000000001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0.100000000000001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0.100000000000001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0.10000000000000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0.100000000000001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0.10000000000000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0.100000000000001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0.100000000000001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0.100000000000001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0.100000000000001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0.100000000000001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0.100000000000001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0.10000000000000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0.100000000000001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0.100000000000001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0.100000000000001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0.100000000000001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0.100000000000001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0.100000000000001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0.100000000000001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0.100000000000001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0.100000000000001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0.100000000000001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0.100000000000001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0.100000000000001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0.100000000000001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0.100000000000001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0.100000000000001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0.100000000000001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0.100000000000001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0.100000000000001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0.100000000000001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0.100000000000001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0.100000000000001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0.100000000000001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0.100000000000001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0.100000000000001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0.100000000000001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0.100000000000001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0.100000000000001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0.100000000000001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0.100000000000001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0.100000000000001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0.100000000000001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0.100000000000001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0.100000000000001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0.100000000000001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0.10000000000000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0.100000000000001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0.100000000000001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0.100000000000001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0.100000000000001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0.100000000000001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0.100000000000001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0.100000000000001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0.100000000000001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0.100000000000001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0.100000000000001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0.100000000000001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0.10000000000000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0.100000000000001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0.100000000000001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0.100000000000001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0.100000000000001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0.100000000000001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0.100000000000001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0.100000000000001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0.100000000000001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0.100000000000001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0.100000000000001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0.100000000000001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0.100000000000001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0.100000000000001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0.100000000000001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0.100000000000001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0.100000000000001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0.100000000000001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0.100000000000001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0.100000000000001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0.10000000000000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0.100000000000001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0.100000000000001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0.100000000000001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0.100000000000001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0.100000000000001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0.100000000000001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0.100000000000001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0.100000000000001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0.100000000000001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0.100000000000001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0.100000000000001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0.100000000000001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0.100000000000001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0.100000000000001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0.100000000000001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0.100000000000001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0.100000000000001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0.100000000000001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0.100000000000001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0.100000000000001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0.100000000000001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0.100000000000001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0.10000000000000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0.100000000000001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0.100000000000001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0.100000000000001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0.100000000000001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0.100000000000001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0.100000000000001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0.100000000000001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0.100000000000001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0.100000000000001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0.100000000000001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0.100000000000001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0.100000000000001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0.100000000000001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0.100000000000001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0.100000000000001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0.100000000000001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0.10000000000000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0.100000000000001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0.100000000000001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0.100000000000001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0.100000000000001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0.100000000000001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0.100000000000001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0.100000000000001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0.100000000000001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0.100000000000001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0.100000000000001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0.100000000000001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0.100000000000001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0.100000000000001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0.100000000000001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0.100000000000001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0.100000000000001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0.100000000000001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0.100000000000001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0.100000000000001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0.100000000000001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0.100000000000001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0.100000000000001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0.100000000000001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0.100000000000001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0.100000000000001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0.100000000000001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0.10000000000000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0.100000000000001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0.100000000000001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0.100000000000001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0.100000000000001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0.100000000000001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0.100000000000001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0.100000000000001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0.100000000000001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0.100000000000001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0.100000000000001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0.100000000000001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0.100000000000001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0.100000000000001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0.100000000000001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0.100000000000001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0.100000000000001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0.100000000000001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0.100000000000001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0.100000000000001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0.100000000000001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0.100000000000001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0.100000000000001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0.100000000000001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0.10000000000000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0.100000000000001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0.100000000000001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0.100000000000001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0.100000000000001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0.100000000000001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0.100000000000001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0.100000000000001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0.100000000000001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0.100000000000001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0.100000000000001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0.100000000000001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0.100000000000001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0.100000000000001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0.100000000000001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0.100000000000001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0.100000000000001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0.100000000000001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0.100000000000001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0.100000000000001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0.10000000000000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0.100000000000001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0.100000000000001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0.100000000000001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0.100000000000001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0.100000000000001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0.100000000000001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0.100000000000001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0.100000000000001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0.100000000000001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0.100000000000001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0.100000000000001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0.100000000000001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0.100000000000001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0.100000000000001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0.100000000000001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0.100000000000001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0.100000000000001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0.100000000000001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0.10000000000000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0.100000000000001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0.100000000000001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0.100000000000001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0.100000000000001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0.100000000000001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0.100000000000001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0.100000000000001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0.100000000000001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0.100000000000001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0.100000000000001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0.100000000000001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0.100000000000001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0.100000000000001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0.100000000000001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0.100000000000001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0.100000000000001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0.100000000000001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0.100000000000001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0.100000000000001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0.100000000000001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0.100000000000001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0.100000000000001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0.100000000000001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0.10000000000000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0.100000000000001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0.100000000000001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0.100000000000001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0.100000000000001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0.100000000000001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0.100000000000001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0.100000000000001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0.100000000000001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0.100000000000001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0.100000000000001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0.100000000000001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0.100000000000001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0.100000000000001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0.100000000000001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0.100000000000001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0.10000000000000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0.100000000000001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0.100000000000001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0.100000000000001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0.100000000000001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0.100000000000001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0.100000000000001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0.100000000000001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0.100000000000001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0.100000000000001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0.100000000000001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0.100000000000001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0.100000000000001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0.100000000000001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0.100000000000001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0.100000000000001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0.100000000000001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0.100000000000001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0.100000000000001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0.100000000000001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0.100000000000001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0.100000000000001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0.100000000000001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0.100000000000001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0.100000000000001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0.100000000000001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0.100000000000001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0.100000000000001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0.10000000000000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0.100000000000001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0.100000000000001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0.100000000000001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0.100000000000001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0.100000000000001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0.100000000000001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0.100000000000001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0.100000000000001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0.100000000000001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0.100000000000001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0.100000000000001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0.100000000000001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0.100000000000001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0.100000000000001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0.100000000000001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0.100000000000001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0.100000000000001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0.10000000000000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0.100000000000001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0.100000000000001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0.100000000000001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0.100000000000001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0.100000000000001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0.100000000000001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0.100000000000001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0.100000000000001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0.100000000000001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0.100000000000001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0.100000000000001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0.100000000000001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0.10000000000000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0.100000000000001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0.100000000000001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0.100000000000001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0.100000000000001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0.100000000000001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0.100000000000001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0.100000000000001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0.100000000000001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0.100000000000001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0.100000000000001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0.100000000000001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0.10000000000000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0.100000000000001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0.100000000000001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0.100000000000001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0.100000000000001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0.100000000000001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0.100000000000001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0.100000000000001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0.100000000000001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0.100000000000001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0.100000000000001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0.100000000000001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0.100000000000001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0.100000000000001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0.100000000000001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0.100000000000001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0.100000000000001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0.100000000000001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0.100000000000001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0.100000000000001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0.100000000000001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0.100000000000001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0.100000000000001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0.100000000000001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0.100000000000001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0.100000000000001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0.100000000000001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0.10000000000000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0.100000000000001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0.100000000000001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0.100000000000001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0.100000000000001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0.100000000000001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0.100000000000001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0.100000000000001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0.100000000000001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0.100000000000001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0.100000000000001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0.100000000000001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0.100000000000001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0.100000000000001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0.100000000000001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0.100000000000001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0.100000000000001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0.100000000000001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0.100000000000001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0.10000000000000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0.100000000000001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0.100000000000001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0.100000000000001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0.100000000000001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0.100000000000001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0.100000000000001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0.100000000000001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0.100000000000001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0.100000000000001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0.100000000000001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0.100000000000001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0.100000000000001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0.100000000000001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0.100000000000001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0.100000000000001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0.100000000000001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0.100000000000001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0.100000000000001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0.100000000000001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0.100000000000001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0.100000000000001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0.100000000000001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0.100000000000001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0.10000000000000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0.100000000000001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0.100000000000001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0.100000000000001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0.100000000000001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0.100000000000001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0.100000000000001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0.100000000000001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0.100000000000001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0.100000000000001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0.100000000000001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0.100000000000001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0.100000000000001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0.100000000000001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0.100000000000001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0.100000000000001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0.100000000000001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0.100000000000001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0.100000000000001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0.100000000000001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0.100000000000001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0.100000000000001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0.10000000000000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0.100000000000001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0.100000000000001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0.100000000000001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0.100000000000001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0.100000000000001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0.100000000000001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0.100000000000001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0.100000000000001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0.100000000000001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0.100000000000001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0.100000000000001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0.100000000000001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0.100000000000001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0.100000000000001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0.100000000000001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0.100000000000001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0.10000000000000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0.100000000000001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0.100000000000001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0.100000000000001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0.100000000000001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0.100000000000001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0.100000000000001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0.100000000000001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0.100000000000001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0.100000000000001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</sheetData>
  <mergeCells count="1">
    <mergeCell ref="A8:Y11"/>
  </mergeCells>
  <phoneticPr fontId="7" type="noConversion"/>
  <printOptions horizontalCentered="1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440"/>
  <sheetViews>
    <sheetView showZeros="0" view="pageBreakPreview" zoomScaleNormal="100" zoomScaleSheetLayoutView="100" workbookViewId="0">
      <selection activeCell="A32" sqref="A32"/>
    </sheetView>
  </sheetViews>
  <sheetFormatPr defaultRowHeight="21" customHeight="1"/>
  <cols>
    <col min="1" max="1" width="12.77734375" style="143" customWidth="1"/>
    <col min="2" max="2" width="15.109375" style="143" customWidth="1"/>
    <col min="3" max="3" width="4.6640625" style="137" bestFit="1" customWidth="1"/>
    <col min="4" max="6" width="10.77734375" style="144" customWidth="1"/>
    <col min="7" max="7" width="11.44140625" style="144" customWidth="1"/>
    <col min="8" max="16384" width="8.88671875" style="137"/>
  </cols>
  <sheetData>
    <row r="1" spans="1:7" ht="20.100000000000001" customHeight="1">
      <c r="A1" s="561" t="s">
        <v>229</v>
      </c>
      <c r="B1" s="561" t="s">
        <v>230</v>
      </c>
      <c r="C1" s="561" t="s">
        <v>231</v>
      </c>
      <c r="D1" s="565" t="s">
        <v>232</v>
      </c>
      <c r="E1" s="565" t="s">
        <v>261</v>
      </c>
      <c r="F1" s="565" t="s">
        <v>233</v>
      </c>
      <c r="G1" s="565" t="s">
        <v>234</v>
      </c>
    </row>
    <row r="2" spans="1:7" ht="20.100000000000001" customHeight="1">
      <c r="A2" s="562"/>
      <c r="B2" s="562"/>
      <c r="C2" s="562"/>
      <c r="D2" s="566"/>
      <c r="E2" s="566"/>
      <c r="F2" s="566"/>
      <c r="G2" s="566"/>
    </row>
    <row r="3" spans="1:7" s="141" customFormat="1" ht="20.100000000000001" customHeight="1">
      <c r="A3" s="563" t="s">
        <v>726</v>
      </c>
      <c r="B3" s="20" t="s">
        <v>407</v>
      </c>
      <c r="C3" s="138" t="s">
        <v>235</v>
      </c>
      <c r="D3" s="244">
        <f>토공총괄집계표!H18+토공총괄집계표!H54</f>
        <v>1414.0450000000001</v>
      </c>
      <c r="E3" s="244"/>
      <c r="F3" s="244">
        <f>SUM(D3:E3)</f>
        <v>1414.0450000000001</v>
      </c>
      <c r="G3" s="140"/>
    </row>
    <row r="4" spans="1:7" s="141" customFormat="1" ht="20.100000000000001" customHeight="1">
      <c r="A4" s="560"/>
      <c r="B4" s="20" t="s">
        <v>408</v>
      </c>
      <c r="C4" s="138" t="s">
        <v>235</v>
      </c>
      <c r="D4" s="244"/>
      <c r="E4" s="244"/>
      <c r="F4" s="244">
        <f>SUM(D4:E4)</f>
        <v>0</v>
      </c>
      <c r="G4" s="140"/>
    </row>
    <row r="5" spans="1:7" s="141" customFormat="1" ht="20.100000000000001" customHeight="1">
      <c r="A5" s="560"/>
      <c r="B5" s="20" t="s">
        <v>450</v>
      </c>
      <c r="C5" s="138" t="s">
        <v>235</v>
      </c>
      <c r="D5" s="244"/>
      <c r="E5" s="244"/>
      <c r="F5" s="244">
        <f>SUM(D5:E5)</f>
        <v>0</v>
      </c>
      <c r="G5" s="140"/>
    </row>
    <row r="6" spans="1:7" s="141" customFormat="1" ht="20.100000000000001" customHeight="1">
      <c r="A6" s="563" t="s">
        <v>717</v>
      </c>
      <c r="B6" s="20" t="s">
        <v>447</v>
      </c>
      <c r="C6" s="138" t="s">
        <v>448</v>
      </c>
      <c r="D6" s="244">
        <f>토공총괄집계표!H21</f>
        <v>0</v>
      </c>
      <c r="E6" s="244"/>
      <c r="F6" s="244">
        <f t="shared" ref="F6:F28" si="0">SUM(D6:E6)</f>
        <v>0</v>
      </c>
      <c r="G6" s="140"/>
    </row>
    <row r="7" spans="1:7" s="141" customFormat="1" ht="20.100000000000001" customHeight="1">
      <c r="A7" s="560"/>
      <c r="B7" s="20" t="s">
        <v>449</v>
      </c>
      <c r="C7" s="138" t="s">
        <v>448</v>
      </c>
      <c r="D7" s="244">
        <f>토공총괄집계표!H22</f>
        <v>0</v>
      </c>
      <c r="E7" s="244"/>
      <c r="F7" s="244">
        <f t="shared" si="0"/>
        <v>0</v>
      </c>
      <c r="G7" s="140"/>
    </row>
    <row r="8" spans="1:7" s="141" customFormat="1" ht="20.100000000000001" customHeight="1">
      <c r="A8" s="560"/>
      <c r="B8" s="20" t="s">
        <v>450</v>
      </c>
      <c r="C8" s="138" t="s">
        <v>448</v>
      </c>
      <c r="D8" s="244">
        <f>토공총괄집계표!H23</f>
        <v>0</v>
      </c>
      <c r="E8" s="244"/>
      <c r="F8" s="244">
        <f t="shared" si="0"/>
        <v>0</v>
      </c>
      <c r="G8" s="140"/>
    </row>
    <row r="9" spans="1:7" s="141" customFormat="1" ht="20.100000000000001" customHeight="1">
      <c r="A9" s="559"/>
      <c r="B9" s="20" t="s">
        <v>549</v>
      </c>
      <c r="C9" s="138" t="s">
        <v>235</v>
      </c>
      <c r="D9" s="244"/>
      <c r="E9" s="244"/>
      <c r="F9" s="244">
        <f t="shared" si="0"/>
        <v>0</v>
      </c>
      <c r="G9" s="140"/>
    </row>
    <row r="10" spans="1:7" s="141" customFormat="1" ht="20.100000000000001" customHeight="1">
      <c r="A10" s="18" t="s">
        <v>948</v>
      </c>
      <c r="B10" s="20" t="s">
        <v>949</v>
      </c>
      <c r="C10" s="138" t="s">
        <v>235</v>
      </c>
      <c r="D10" s="365">
        <f>토공총괄집계표!H25</f>
        <v>0</v>
      </c>
      <c r="E10" s="244"/>
      <c r="F10" s="365">
        <f>SUM(D10:E10)</f>
        <v>0</v>
      </c>
      <c r="G10" s="140"/>
    </row>
    <row r="11" spans="1:7" s="141" customFormat="1" ht="20.100000000000001" customHeight="1">
      <c r="A11" s="563" t="s">
        <v>236</v>
      </c>
      <c r="B11" s="20" t="s">
        <v>237</v>
      </c>
      <c r="C11" s="138" t="s">
        <v>235</v>
      </c>
      <c r="D11" s="244">
        <f>토공총괄집계표!H34</f>
        <v>486.58300000000003</v>
      </c>
      <c r="E11" s="244"/>
      <c r="F11" s="244">
        <f t="shared" si="0"/>
        <v>486.58300000000003</v>
      </c>
      <c r="G11" s="140"/>
    </row>
    <row r="12" spans="1:7" s="141" customFormat="1" ht="20.100000000000001" customHeight="1">
      <c r="A12" s="564"/>
      <c r="B12" s="20" t="s">
        <v>238</v>
      </c>
      <c r="C12" s="138" t="s">
        <v>235</v>
      </c>
      <c r="D12" s="244">
        <f>토공총괄집계표!H35</f>
        <v>291.05799999999999</v>
      </c>
      <c r="E12" s="244"/>
      <c r="F12" s="244">
        <f t="shared" si="0"/>
        <v>291.05799999999999</v>
      </c>
      <c r="G12" s="140"/>
    </row>
    <row r="13" spans="1:7" s="141" customFormat="1" ht="20.100000000000001" customHeight="1">
      <c r="A13" s="558" t="s">
        <v>263</v>
      </c>
      <c r="B13" s="20" t="s">
        <v>955</v>
      </c>
      <c r="C13" s="138" t="s">
        <v>235</v>
      </c>
      <c r="D13" s="244"/>
      <c r="E13" s="244"/>
      <c r="F13" s="244">
        <f t="shared" si="0"/>
        <v>0</v>
      </c>
      <c r="G13" s="140"/>
    </row>
    <row r="14" spans="1:7" s="141" customFormat="1" ht="20.100000000000001" customHeight="1">
      <c r="A14" s="560"/>
      <c r="B14" s="20" t="s">
        <v>956</v>
      </c>
      <c r="C14" s="138" t="s">
        <v>322</v>
      </c>
      <c r="D14" s="244"/>
      <c r="E14" s="244"/>
      <c r="F14" s="244">
        <f t="shared" si="0"/>
        <v>0</v>
      </c>
      <c r="G14" s="140"/>
    </row>
    <row r="15" spans="1:7" s="141" customFormat="1" ht="20.100000000000001" customHeight="1">
      <c r="A15" s="560"/>
      <c r="B15" s="182" t="s">
        <v>270</v>
      </c>
      <c r="C15" s="138" t="s">
        <v>271</v>
      </c>
      <c r="D15" s="244"/>
      <c r="E15" s="244"/>
      <c r="F15" s="244">
        <f t="shared" si="0"/>
        <v>0</v>
      </c>
      <c r="G15" s="140"/>
    </row>
    <row r="16" spans="1:7" s="142" customFormat="1" ht="20.100000000000001" customHeight="1">
      <c r="A16" s="560"/>
      <c r="B16" s="182" t="s">
        <v>957</v>
      </c>
      <c r="C16" s="138" t="s">
        <v>239</v>
      </c>
      <c r="D16" s="244"/>
      <c r="E16" s="244"/>
      <c r="F16" s="244">
        <f t="shared" si="0"/>
        <v>0</v>
      </c>
      <c r="G16" s="140"/>
    </row>
    <row r="17" spans="1:7" s="141" customFormat="1" ht="20.100000000000001" customHeight="1">
      <c r="A17" s="559"/>
      <c r="B17" s="20" t="s">
        <v>273</v>
      </c>
      <c r="C17" s="138" t="s">
        <v>235</v>
      </c>
      <c r="D17" s="244"/>
      <c r="E17" s="244"/>
      <c r="F17" s="244">
        <f t="shared" si="0"/>
        <v>0</v>
      </c>
      <c r="G17" s="140"/>
    </row>
    <row r="18" spans="1:7" s="141" customFormat="1" ht="20.100000000000001" customHeight="1">
      <c r="A18" s="19" t="s">
        <v>240</v>
      </c>
      <c r="B18" s="20"/>
      <c r="C18" s="138" t="s">
        <v>235</v>
      </c>
      <c r="D18" s="244"/>
      <c r="E18" s="244"/>
      <c r="F18" s="244">
        <f t="shared" si="0"/>
        <v>0</v>
      </c>
      <c r="G18" s="140"/>
    </row>
    <row r="19" spans="1:7" s="141" customFormat="1" ht="20.100000000000001" customHeight="1">
      <c r="A19" s="18" t="s">
        <v>444</v>
      </c>
      <c r="B19" s="20" t="s">
        <v>445</v>
      </c>
      <c r="C19" s="138" t="s">
        <v>446</v>
      </c>
      <c r="D19" s="244"/>
      <c r="E19" s="244"/>
      <c r="F19" s="244">
        <f t="shared" si="0"/>
        <v>0</v>
      </c>
      <c r="G19" s="140"/>
    </row>
    <row r="20" spans="1:7" ht="20.100000000000001" customHeight="1">
      <c r="A20" s="558" t="s">
        <v>241</v>
      </c>
      <c r="B20" s="18" t="s">
        <v>242</v>
      </c>
      <c r="C20" s="138" t="s">
        <v>8</v>
      </c>
      <c r="D20" s="244"/>
      <c r="E20" s="244"/>
      <c r="F20" s="244">
        <f t="shared" si="0"/>
        <v>0</v>
      </c>
      <c r="G20" s="140"/>
    </row>
    <row r="21" spans="1:7" ht="20.100000000000001" customHeight="1">
      <c r="A21" s="559"/>
      <c r="B21" s="18" t="s">
        <v>243</v>
      </c>
      <c r="C21" s="138" t="s">
        <v>8</v>
      </c>
      <c r="D21" s="244"/>
      <c r="E21" s="244"/>
      <c r="F21" s="244">
        <f t="shared" si="0"/>
        <v>0</v>
      </c>
      <c r="G21" s="140"/>
    </row>
    <row r="22" spans="1:7" ht="20.100000000000001" customHeight="1">
      <c r="A22" s="558" t="s">
        <v>262</v>
      </c>
      <c r="B22" s="18" t="s">
        <v>936</v>
      </c>
      <c r="C22" s="138" t="s">
        <v>8</v>
      </c>
      <c r="D22" s="244"/>
      <c r="E22" s="244">
        <f>구조물공총괄집계표!G65</f>
        <v>0</v>
      </c>
      <c r="F22" s="244">
        <f t="shared" si="0"/>
        <v>0</v>
      </c>
      <c r="G22" s="140"/>
    </row>
    <row r="23" spans="1:7" ht="20.100000000000001" customHeight="1">
      <c r="A23" s="559"/>
      <c r="B23" s="18" t="s">
        <v>1024</v>
      </c>
      <c r="C23" s="138" t="s">
        <v>8</v>
      </c>
      <c r="D23" s="244"/>
      <c r="E23" s="244"/>
      <c r="F23" s="244">
        <f t="shared" si="0"/>
        <v>0</v>
      </c>
      <c r="G23" s="140"/>
    </row>
    <row r="24" spans="1:7" ht="20.100000000000001" hidden="1" customHeight="1">
      <c r="A24" s="558" t="s">
        <v>959</v>
      </c>
      <c r="B24" s="18" t="s">
        <v>960</v>
      </c>
      <c r="C24" s="138" t="s">
        <v>505</v>
      </c>
      <c r="D24" s="244">
        <f>토공총괄집계표!H47</f>
        <v>0</v>
      </c>
      <c r="E24" s="244"/>
      <c r="F24" s="244">
        <f>SUM(D24:E24)</f>
        <v>0</v>
      </c>
      <c r="G24" s="140"/>
    </row>
    <row r="25" spans="1:7" ht="20.100000000000001" hidden="1" customHeight="1">
      <c r="A25" s="559"/>
      <c r="B25" s="18" t="s">
        <v>501</v>
      </c>
      <c r="C25" s="138" t="s">
        <v>505</v>
      </c>
      <c r="D25" s="244">
        <f>토공총괄집계표!H48</f>
        <v>0</v>
      </c>
      <c r="E25" s="244"/>
      <c r="F25" s="244">
        <f t="shared" si="0"/>
        <v>0</v>
      </c>
      <c r="G25" s="140"/>
    </row>
    <row r="26" spans="1:7" ht="20.100000000000001" customHeight="1">
      <c r="A26" s="556" t="s">
        <v>1026</v>
      </c>
      <c r="B26" s="18" t="s">
        <v>1025</v>
      </c>
      <c r="C26" s="138" t="s">
        <v>214</v>
      </c>
      <c r="D26" s="244">
        <v>3493.6410000000001</v>
      </c>
      <c r="E26" s="244"/>
      <c r="F26" s="244">
        <f>SUM(D26:E26)</f>
        <v>3493.6410000000001</v>
      </c>
      <c r="G26" s="140"/>
    </row>
    <row r="27" spans="1:7" ht="20.100000000000001" hidden="1" customHeight="1">
      <c r="A27" s="557"/>
      <c r="B27" s="18" t="s">
        <v>501</v>
      </c>
      <c r="C27" s="138" t="s">
        <v>214</v>
      </c>
      <c r="D27" s="244">
        <f>토공총괄집계표!H50</f>
        <v>0</v>
      </c>
      <c r="E27" s="244"/>
      <c r="F27" s="244">
        <f t="shared" si="0"/>
        <v>0</v>
      </c>
      <c r="G27" s="140"/>
    </row>
    <row r="28" spans="1:7" ht="20.100000000000001" hidden="1" customHeight="1">
      <c r="A28" s="18" t="s">
        <v>499</v>
      </c>
      <c r="B28" s="20" t="s">
        <v>506</v>
      </c>
      <c r="C28" s="138" t="s">
        <v>505</v>
      </c>
      <c r="D28" s="139"/>
      <c r="E28" s="139"/>
      <c r="F28" s="139">
        <f t="shared" si="0"/>
        <v>0</v>
      </c>
      <c r="G28" s="140"/>
    </row>
    <row r="29" spans="1:7" ht="20.100000000000001" hidden="1" customHeight="1">
      <c r="A29" s="314" t="s">
        <v>596</v>
      </c>
      <c r="B29" s="315" t="s">
        <v>594</v>
      </c>
      <c r="C29" s="138" t="s">
        <v>505</v>
      </c>
      <c r="D29" s="244"/>
      <c r="E29" s="139"/>
      <c r="F29" s="244">
        <f>SUM(D29:E29)</f>
        <v>0</v>
      </c>
      <c r="G29" s="140"/>
    </row>
    <row r="30" spans="1:7" ht="20.100000000000001" hidden="1" customHeight="1">
      <c r="A30" s="18" t="s">
        <v>953</v>
      </c>
      <c r="B30" s="20"/>
      <c r="C30" s="138" t="s">
        <v>235</v>
      </c>
      <c r="D30" s="244">
        <f>토공총괄집계표!H31</f>
        <v>0</v>
      </c>
      <c r="E30" s="244"/>
      <c r="F30" s="244">
        <f>SUM(D30:E30)</f>
        <v>0</v>
      </c>
      <c r="G30" s="140"/>
    </row>
    <row r="31" spans="1:7" ht="20.100000000000001" customHeight="1">
      <c r="A31" s="18" t="s">
        <v>1175</v>
      </c>
      <c r="B31" s="18" t="s">
        <v>1173</v>
      </c>
      <c r="C31" s="138" t="s">
        <v>505</v>
      </c>
      <c r="D31" s="244">
        <f>344.27+1163.353</f>
        <v>1507.623</v>
      </c>
      <c r="E31" s="244"/>
      <c r="F31" s="244">
        <f>SUM(D31:E31)</f>
        <v>1507.623</v>
      </c>
      <c r="G31" s="140"/>
    </row>
    <row r="32" spans="1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</sheetData>
  <mergeCells count="15">
    <mergeCell ref="E1:E2"/>
    <mergeCell ref="D1:D2"/>
    <mergeCell ref="G1:G2"/>
    <mergeCell ref="B1:B2"/>
    <mergeCell ref="C1:C2"/>
    <mergeCell ref="F1:F2"/>
    <mergeCell ref="A26:A27"/>
    <mergeCell ref="A22:A23"/>
    <mergeCell ref="A20:A21"/>
    <mergeCell ref="A13:A17"/>
    <mergeCell ref="A1:A2"/>
    <mergeCell ref="A11:A12"/>
    <mergeCell ref="A6:A9"/>
    <mergeCell ref="A24:A25"/>
    <mergeCell ref="A3:A5"/>
  </mergeCells>
  <phoneticPr fontId="27" type="noConversion"/>
  <printOptions horizontalCentered="1"/>
  <pageMargins left="0.59055118110236227" right="0.39370078740157483" top="0.82677165354330717" bottom="0.43307086614173229" header="0.47244094488188981" footer="0"/>
  <pageSetup paperSize="9" orientation="portrait" r:id="rId1"/>
  <headerFooter alignWithMargins="0">
    <oddHeader>&amp;C&amp;"돋움,굵게"&amp;14&amp;U타공종 이월수량 집계표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Y701"/>
  <sheetViews>
    <sheetView showZeros="0" view="pageBreakPreview" zoomScale="60" zoomScaleNormal="100" workbookViewId="0">
      <selection activeCell="AA26" sqref="AA26"/>
    </sheetView>
  </sheetViews>
  <sheetFormatPr defaultRowHeight="13.5"/>
  <cols>
    <col min="1" max="25" width="2.77734375" style="3" customWidth="1"/>
    <col min="26" max="16384" width="8.88671875" style="3"/>
  </cols>
  <sheetData>
    <row r="1" spans="1:25" ht="20.100000000000001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0.10000000000000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10000000000000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0.10000000000000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0.10000000000000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0.10000000000000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0.10000000000000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0.100000000000001" customHeight="1">
      <c r="A8" s="506" t="s">
        <v>246</v>
      </c>
      <c r="B8" s="507"/>
      <c r="C8" s="507"/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7"/>
      <c r="U8" s="507"/>
      <c r="V8" s="507"/>
      <c r="W8" s="507"/>
      <c r="X8" s="507"/>
      <c r="Y8" s="507"/>
    </row>
    <row r="9" spans="1:25" ht="20.100000000000001" customHeight="1">
      <c r="A9" s="507"/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</row>
    <row r="10" spans="1:25" ht="20.100000000000001" customHeight="1">
      <c r="A10" s="507"/>
      <c r="B10" s="507"/>
      <c r="C10" s="507"/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</row>
    <row r="11" spans="1:25" ht="20.100000000000001" customHeight="1">
      <c r="A11" s="507"/>
      <c r="B11" s="507"/>
      <c r="C11" s="507"/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</row>
    <row r="12" spans="1:25" ht="20.10000000000000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10000000000000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0.10000000000000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0.10000000000000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0.10000000000000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0.10000000000000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0.10000000000000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0.10000000000000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0.10000000000000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0.10000000000000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0.10000000000000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0.10000000000000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0.10000000000000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0.10000000000000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0.10000000000000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0.10000000000000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0.10000000000000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0.10000000000000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0.10000000000000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0.10000000000000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0.10000000000000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.10000000000000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0.10000000000000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0.10000000000000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0.10000000000000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0.10000000000000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0.10000000000000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0.10000000000000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0.10000000000000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0.10000000000000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0.10000000000000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0.10000000000000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0.10000000000000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0.10000000000000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0.10000000000000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0.10000000000000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0.10000000000000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0.10000000000000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0.10000000000000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0.10000000000000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0.10000000000000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0.10000000000000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0.10000000000000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0.10000000000000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0.10000000000000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.10000000000000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.10000000000000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0.10000000000000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0.10000000000000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0.10000000000000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0.10000000000000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0.10000000000000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0.10000000000000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0.10000000000000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0.10000000000000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0.10000000000000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0.10000000000000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0.10000000000000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0.10000000000000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0.10000000000000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0.10000000000000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0.10000000000000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0.10000000000000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0.10000000000000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0.10000000000000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0.10000000000000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0.10000000000000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0.10000000000000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0.10000000000000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0.10000000000000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0.10000000000000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0.10000000000000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0.10000000000000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0.10000000000000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0.10000000000000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0.10000000000000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0.10000000000000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0.10000000000000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0.10000000000000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0.10000000000000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0.10000000000000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0.10000000000000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0.10000000000000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0.10000000000000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0.10000000000000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0.10000000000000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0.10000000000000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0.10000000000000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0.10000000000000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0.10000000000000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0.10000000000000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0.10000000000000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0.10000000000000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0.10000000000000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0.10000000000000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0.10000000000000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0.10000000000000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0.10000000000000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0.10000000000000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0.10000000000000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0.10000000000000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0.10000000000000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0.10000000000000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0.10000000000000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0.10000000000000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0.10000000000000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0.10000000000000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0.10000000000000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0.10000000000000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0.10000000000000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0.10000000000000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0.10000000000000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0.10000000000000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0.10000000000000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0.10000000000000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0.10000000000000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0.10000000000000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0.10000000000000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0.100000000000001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0.10000000000000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0.10000000000000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0.10000000000000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0.10000000000000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0.100000000000001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0.100000000000001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0.100000000000001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0.100000000000001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0.100000000000001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0.10000000000000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0.10000000000000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0.10000000000000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0.100000000000001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0.10000000000000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0.10000000000000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0.10000000000000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0.10000000000000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0.100000000000001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0.10000000000000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0.10000000000000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0.100000000000001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0.10000000000000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0.10000000000000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0.10000000000000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0.10000000000000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0.100000000000001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0.10000000000000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0.10000000000000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0.100000000000001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0.10000000000000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0.10000000000000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0.10000000000000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0.10000000000000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0.100000000000001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0.10000000000000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0.10000000000000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0.100000000000001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0.10000000000000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0.10000000000000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0.10000000000000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0.10000000000000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0.100000000000001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0.10000000000000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0.10000000000000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0.100000000000001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0.100000000000001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0.100000000000001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0.100000000000001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0.100000000000001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0.10000000000000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0.10000000000000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0.10000000000000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0.10000000000000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0.100000000000001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0.10000000000000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0.100000000000001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0.100000000000001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0.100000000000001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0.100000000000001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0.100000000000001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0.100000000000001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0.100000000000001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0.100000000000001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0.100000000000001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0.100000000000001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0.100000000000001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0.100000000000001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0.100000000000001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0.100000000000001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0.100000000000001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0.100000000000001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0.10000000000000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0.100000000000001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0.100000000000001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0.100000000000001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0.100000000000001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0.100000000000001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0.100000000000001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0.100000000000001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0.100000000000001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0.100000000000001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0.100000000000001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0.100000000000001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0.100000000000001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0.100000000000001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0.100000000000001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0.100000000000001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0.10000000000000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0.10000000000000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0.10000000000000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0.100000000000001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0.100000000000001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0.10000000000000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0.100000000000001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0.100000000000001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0.100000000000001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0.10000000000000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0.10000000000000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0.100000000000001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0.100000000000001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0.100000000000001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0.100000000000001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0.100000000000001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0.100000000000001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0.100000000000001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0.100000000000001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0.100000000000001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0.100000000000001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0.100000000000001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0.100000000000001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0.100000000000001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0.100000000000001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0.100000000000001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0.100000000000001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0.100000000000001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0.100000000000001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0.100000000000001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0.100000000000001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0.100000000000001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0.100000000000001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0.100000000000001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0.100000000000001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0.100000000000001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0.100000000000001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0.10000000000000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0.100000000000001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0.100000000000001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0.100000000000001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0.100000000000001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0.100000000000001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0.100000000000001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0.100000000000001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0.10000000000000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0.100000000000001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0.10000000000000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0.100000000000001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0.100000000000001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0.100000000000001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0.100000000000001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0.100000000000001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0.100000000000001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0.10000000000000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0.100000000000001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0.100000000000001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0.100000000000001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0.100000000000001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0.100000000000001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0.100000000000001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0.100000000000001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0.100000000000001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0.100000000000001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0.100000000000001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0.100000000000001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0.100000000000001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0.100000000000001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0.100000000000001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0.100000000000001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0.100000000000001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0.100000000000001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0.100000000000001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0.100000000000001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0.100000000000001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0.100000000000001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0.100000000000001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0.100000000000001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0.100000000000001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0.100000000000001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0.100000000000001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0.100000000000001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0.100000000000001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0.100000000000001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0.100000000000001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0.100000000000001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0.100000000000001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0.100000000000001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0.100000000000001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0.10000000000000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0.100000000000001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0.100000000000001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0.100000000000001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0.100000000000001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0.100000000000001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0.100000000000001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0.100000000000001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0.100000000000001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0.100000000000001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0.100000000000001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0.100000000000001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0.10000000000000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0.100000000000001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0.100000000000001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0.100000000000001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0.100000000000001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0.100000000000001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0.100000000000001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0.100000000000001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0.100000000000001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0.100000000000001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0.100000000000001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0.100000000000001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0.100000000000001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0.100000000000001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0.100000000000001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0.100000000000001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0.100000000000001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0.100000000000001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0.100000000000001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0.100000000000001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0.10000000000000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0.100000000000001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0.100000000000001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0.100000000000001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0.100000000000001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0.100000000000001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0.100000000000001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0.100000000000001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0.100000000000001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0.100000000000001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0.100000000000001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0.100000000000001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0.100000000000001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0.100000000000001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0.100000000000001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0.100000000000001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0.100000000000001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0.100000000000001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0.100000000000001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0.100000000000001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0.100000000000001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0.100000000000001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0.100000000000001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0.10000000000000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0.100000000000001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0.100000000000001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0.100000000000001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0.100000000000001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0.100000000000001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0.100000000000001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0.100000000000001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0.100000000000001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0.100000000000001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0.100000000000001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0.100000000000001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0.100000000000001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0.100000000000001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0.100000000000001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0.100000000000001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0.100000000000001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0.10000000000000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0.100000000000001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0.100000000000001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0.100000000000001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0.100000000000001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0.100000000000001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0.100000000000001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0.100000000000001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0.100000000000001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0.100000000000001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0.100000000000001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0.100000000000001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0.100000000000001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0.100000000000001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0.100000000000001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0.100000000000001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0.100000000000001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0.100000000000001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0.100000000000001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0.100000000000001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0.100000000000001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0.100000000000001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0.100000000000001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0.100000000000001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0.100000000000001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0.100000000000001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0.100000000000001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0.10000000000000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0.100000000000001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0.100000000000001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0.100000000000001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0.100000000000001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0.100000000000001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0.100000000000001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0.100000000000001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0.100000000000001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0.100000000000001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0.100000000000001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0.100000000000001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0.100000000000001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0.100000000000001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0.100000000000001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0.100000000000001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0.100000000000001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0.100000000000001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0.100000000000001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0.100000000000001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0.100000000000001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0.100000000000001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0.100000000000001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0.100000000000001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0.10000000000000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0.100000000000001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0.100000000000001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0.100000000000001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0.100000000000001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0.100000000000001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0.100000000000001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0.100000000000001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0.100000000000001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0.100000000000001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0.100000000000001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0.100000000000001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0.100000000000001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0.100000000000001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0.100000000000001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0.100000000000001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0.100000000000001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0.100000000000001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0.100000000000001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0.100000000000001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0.10000000000000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0.100000000000001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0.100000000000001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0.100000000000001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0.100000000000001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0.100000000000001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0.100000000000001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0.100000000000001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0.100000000000001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0.100000000000001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0.100000000000001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0.100000000000001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0.100000000000001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0.100000000000001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0.100000000000001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0.100000000000001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0.100000000000001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0.100000000000001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0.100000000000001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0.10000000000000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0.100000000000001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0.100000000000001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0.100000000000001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0.100000000000001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0.100000000000001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0.100000000000001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0.100000000000001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0.100000000000001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0.100000000000001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0.100000000000001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0.100000000000001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0.100000000000001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0.100000000000001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0.100000000000001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0.100000000000001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0.100000000000001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0.100000000000001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0.100000000000001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0.100000000000001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0.100000000000001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0.100000000000001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0.100000000000001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0.100000000000001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0.10000000000000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0.100000000000001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0.100000000000001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0.100000000000001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0.100000000000001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0.100000000000001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0.100000000000001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0.100000000000001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0.100000000000001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0.100000000000001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0.100000000000001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0.100000000000001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0.100000000000001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0.100000000000001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0.100000000000001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0.100000000000001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0.10000000000000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0.100000000000001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0.100000000000001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0.100000000000001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0.100000000000001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0.100000000000001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0.100000000000001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0.100000000000001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0.100000000000001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0.100000000000001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0.100000000000001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0.100000000000001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0.100000000000001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0.100000000000001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0.100000000000001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0.100000000000001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0.100000000000001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0.100000000000001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0.100000000000001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0.100000000000001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0.100000000000001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0.100000000000001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0.100000000000001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0.100000000000001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0.100000000000001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0.100000000000001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0.100000000000001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0.100000000000001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0.10000000000000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0.100000000000001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0.100000000000001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0.100000000000001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0.100000000000001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0.100000000000001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0.100000000000001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0.100000000000001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0.100000000000001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0.100000000000001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0.100000000000001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0.100000000000001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0.100000000000001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0.100000000000001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0.100000000000001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0.100000000000001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0.100000000000001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0.100000000000001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0.10000000000000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0.100000000000001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0.100000000000001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0.100000000000001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0.100000000000001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0.100000000000001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0.100000000000001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0.100000000000001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0.100000000000001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0.100000000000001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0.100000000000001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0.100000000000001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0.100000000000001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0.100000000000001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0.100000000000001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0.100000000000001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0.100000000000001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0.100000000000001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0.100000000000001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0.100000000000001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0.100000000000001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0.100000000000001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0.100000000000001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0.100000000000001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0.100000000000001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0.10000000000000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0.100000000000001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0.100000000000001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0.100000000000001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0.100000000000001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0.100000000000001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0.100000000000001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0.100000000000001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0.100000000000001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0.100000000000001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0.100000000000001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0.100000000000001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0.100000000000001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0.100000000000001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0.100000000000001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0.100000000000001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0.100000000000001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0.100000000000001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0.100000000000001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0.100000000000001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0.100000000000001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0.100000000000001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0.100000000000001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0.100000000000001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0.100000000000001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0.100000000000001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0.100000000000001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0.10000000000000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0.100000000000001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0.100000000000001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0.100000000000001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0.100000000000001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0.100000000000001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0.100000000000001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0.100000000000001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0.100000000000001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0.100000000000001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0.100000000000001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0.100000000000001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0.100000000000001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0.100000000000001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0.100000000000001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0.100000000000001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0.100000000000001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0.100000000000001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0.100000000000001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0.10000000000000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0.100000000000001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0.100000000000001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0.100000000000001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0.100000000000001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0.100000000000001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0.100000000000001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0.100000000000001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0.100000000000001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0.100000000000001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0.100000000000001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0.100000000000001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0.100000000000001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0.100000000000001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0.100000000000001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0.100000000000001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0.100000000000001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0.100000000000001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0.100000000000001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0.100000000000001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0.100000000000001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0.100000000000001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0.100000000000001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0.100000000000001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0.10000000000000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0.100000000000001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0.100000000000001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0.100000000000001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0.100000000000001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0.100000000000001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0.100000000000001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0.100000000000001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0.100000000000001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0.100000000000001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0.100000000000001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0.100000000000001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0.100000000000001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0.100000000000001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0.100000000000001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0.100000000000001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0.100000000000001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0.100000000000001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0.100000000000001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0.100000000000001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0.100000000000001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0.100000000000001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0.10000000000000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0.100000000000001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0.100000000000001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0.100000000000001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0.100000000000001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0.100000000000001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0.100000000000001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0.100000000000001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0.100000000000001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0.100000000000001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0.100000000000001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0.100000000000001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0.100000000000001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0.100000000000001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0.100000000000001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0.100000000000001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0.100000000000001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0.10000000000000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0.100000000000001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0.100000000000001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0.100000000000001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0.100000000000001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0.100000000000001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0.100000000000001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0.100000000000001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0.100000000000001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0.100000000000001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</sheetData>
  <mergeCells count="1">
    <mergeCell ref="A8:Y11"/>
  </mergeCells>
  <phoneticPr fontId="7" type="noConversion"/>
  <printOptions horizontalCentered="1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9"/>
  <sheetViews>
    <sheetView showZeros="0" view="pageBreakPreview" zoomScaleNormal="130" zoomScaleSheetLayoutView="100" workbookViewId="0">
      <selection activeCell="H7" sqref="H7:H57"/>
    </sheetView>
  </sheetViews>
  <sheetFormatPr defaultRowHeight="10.5"/>
  <cols>
    <col min="1" max="1" width="8.33203125" style="145" customWidth="1"/>
    <col min="2" max="2" width="8" style="145" bestFit="1" customWidth="1"/>
    <col min="3" max="4" width="4.77734375" style="145" customWidth="1"/>
    <col min="5" max="8" width="9.77734375" style="146" customWidth="1"/>
    <col min="9" max="9" width="8.77734375" style="146" customWidth="1"/>
    <col min="10" max="10" width="6.5546875" style="145" customWidth="1"/>
    <col min="11" max="31" width="1.77734375" style="145" customWidth="1"/>
    <col min="32" max="16384" width="8.88671875" style="145"/>
  </cols>
  <sheetData>
    <row r="1" spans="1:18" ht="18" customHeight="1">
      <c r="I1" s="147" t="str">
        <f>"&lt; "&amp;간지!$Z$3&amp;" &gt;"</f>
        <v>&lt; 갈전7교 &gt;</v>
      </c>
    </row>
    <row r="2" spans="1:18" ht="24.95" customHeight="1">
      <c r="A2" s="579" t="s">
        <v>0</v>
      </c>
      <c r="B2" s="579" t="s">
        <v>1</v>
      </c>
      <c r="C2" s="579"/>
      <c r="D2" s="579" t="s">
        <v>2</v>
      </c>
      <c r="E2" s="580" t="s">
        <v>1063</v>
      </c>
      <c r="F2" s="580" t="s">
        <v>1059</v>
      </c>
      <c r="G2" s="582" t="s">
        <v>906</v>
      </c>
      <c r="H2" s="582" t="s">
        <v>85</v>
      </c>
      <c r="I2" s="582" t="s">
        <v>3</v>
      </c>
    </row>
    <row r="3" spans="1:18" ht="24.95" customHeight="1">
      <c r="A3" s="579"/>
      <c r="B3" s="579"/>
      <c r="C3" s="579"/>
      <c r="D3" s="579"/>
      <c r="E3" s="581"/>
      <c r="F3" s="581"/>
      <c r="G3" s="582"/>
      <c r="H3" s="582"/>
      <c r="I3" s="582"/>
    </row>
    <row r="4" spans="1:18" ht="18.95" hidden="1" customHeight="1">
      <c r="A4" s="567" t="s">
        <v>86</v>
      </c>
      <c r="B4" s="567" t="s">
        <v>87</v>
      </c>
      <c r="C4" s="567"/>
      <c r="D4" s="148" t="s">
        <v>4</v>
      </c>
      <c r="E4" s="214"/>
      <c r="F4" s="149"/>
      <c r="G4" s="149"/>
      <c r="H4" s="223">
        <f t="shared" ref="H4:H57" si="0">SUM(E4:G4)</f>
        <v>0</v>
      </c>
      <c r="I4" s="150"/>
    </row>
    <row r="5" spans="1:18" ht="18.95" hidden="1" customHeight="1">
      <c r="A5" s="567"/>
      <c r="B5" s="567" t="s">
        <v>15</v>
      </c>
      <c r="C5" s="567"/>
      <c r="D5" s="148" t="s">
        <v>4</v>
      </c>
      <c r="E5" s="149"/>
      <c r="F5" s="149"/>
      <c r="G5" s="149"/>
      <c r="H5" s="223">
        <f t="shared" si="0"/>
        <v>0</v>
      </c>
      <c r="I5" s="150"/>
    </row>
    <row r="6" spans="1:18" ht="18.95" hidden="1" customHeight="1">
      <c r="A6" s="567"/>
      <c r="B6" s="567" t="s">
        <v>16</v>
      </c>
      <c r="C6" s="567"/>
      <c r="D6" s="148" t="s">
        <v>4</v>
      </c>
      <c r="E6" s="149"/>
      <c r="F6" s="149"/>
      <c r="G6" s="149"/>
      <c r="H6" s="223">
        <f t="shared" si="0"/>
        <v>0</v>
      </c>
      <c r="I6" s="150"/>
    </row>
    <row r="7" spans="1:18" ht="18.95" customHeight="1">
      <c r="A7" s="583" t="s">
        <v>88</v>
      </c>
      <c r="B7" s="213" t="s">
        <v>89</v>
      </c>
      <c r="C7" s="213" t="s">
        <v>498</v>
      </c>
      <c r="D7" s="213" t="s">
        <v>4</v>
      </c>
      <c r="E7" s="223">
        <f>'[132]토공수량 토공 집계표'!$G$3</f>
        <v>1748.1309999999999</v>
      </c>
      <c r="F7" s="223"/>
      <c r="G7" s="223"/>
      <c r="H7" s="223">
        <f t="shared" si="0"/>
        <v>1748.1309999999999</v>
      </c>
      <c r="I7" s="223"/>
      <c r="K7" s="476"/>
      <c r="L7" s="476"/>
      <c r="M7" s="476"/>
      <c r="N7" s="476"/>
      <c r="O7" s="476"/>
    </row>
    <row r="8" spans="1:18" ht="18.95" customHeight="1">
      <c r="A8" s="577"/>
      <c r="B8" s="213" t="s">
        <v>89</v>
      </c>
      <c r="C8" s="213" t="s">
        <v>257</v>
      </c>
      <c r="D8" s="213" t="s">
        <v>4</v>
      </c>
      <c r="E8" s="223"/>
      <c r="F8" s="223"/>
      <c r="G8" s="223"/>
      <c r="H8" s="223">
        <f t="shared" si="0"/>
        <v>0</v>
      </c>
      <c r="I8" s="223"/>
      <c r="K8" s="476"/>
      <c r="L8" s="476"/>
      <c r="M8" s="476"/>
      <c r="N8" s="476"/>
      <c r="O8" s="476"/>
    </row>
    <row r="9" spans="1:18" ht="18.95" customHeight="1">
      <c r="A9" s="577"/>
      <c r="B9" s="213" t="s">
        <v>258</v>
      </c>
      <c r="C9" s="213" t="s">
        <v>498</v>
      </c>
      <c r="D9" s="213" t="s">
        <v>4</v>
      </c>
      <c r="E9" s="223"/>
      <c r="F9" s="223"/>
      <c r="G9" s="223"/>
      <c r="H9" s="223">
        <f t="shared" si="0"/>
        <v>0</v>
      </c>
      <c r="I9" s="223"/>
      <c r="K9" s="476"/>
      <c r="L9" s="476"/>
      <c r="M9" s="476"/>
      <c r="N9" s="476"/>
      <c r="O9" s="476"/>
    </row>
    <row r="10" spans="1:18" ht="18.95" customHeight="1">
      <c r="A10" s="577"/>
      <c r="B10" s="213" t="s">
        <v>258</v>
      </c>
      <c r="C10" s="213" t="s">
        <v>257</v>
      </c>
      <c r="D10" s="213" t="s">
        <v>4</v>
      </c>
      <c r="E10" s="223"/>
      <c r="F10" s="223"/>
      <c r="G10" s="223"/>
      <c r="H10" s="223">
        <f t="shared" si="0"/>
        <v>0</v>
      </c>
      <c r="I10" s="223"/>
      <c r="K10" s="476"/>
      <c r="L10" s="476"/>
      <c r="M10" s="476"/>
      <c r="N10" s="476"/>
      <c r="O10" s="476"/>
    </row>
    <row r="11" spans="1:18" ht="18.95" customHeight="1">
      <c r="A11" s="577"/>
      <c r="B11" s="213" t="s">
        <v>113</v>
      </c>
      <c r="C11" s="213" t="s">
        <v>498</v>
      </c>
      <c r="D11" s="213" t="s">
        <v>4</v>
      </c>
      <c r="E11" s="223"/>
      <c r="F11" s="223"/>
      <c r="G11" s="223"/>
      <c r="H11" s="223">
        <f t="shared" si="0"/>
        <v>0</v>
      </c>
      <c r="I11" s="223"/>
      <c r="K11" s="13"/>
      <c r="L11" s="13"/>
      <c r="M11" s="13"/>
      <c r="N11" s="13"/>
      <c r="O11" s="13"/>
    </row>
    <row r="12" spans="1:18" ht="18.95" customHeight="1">
      <c r="A12" s="577"/>
      <c r="B12" s="213" t="s">
        <v>113</v>
      </c>
      <c r="C12" s="213" t="s">
        <v>257</v>
      </c>
      <c r="D12" s="213" t="s">
        <v>4</v>
      </c>
      <c r="E12" s="223"/>
      <c r="F12" s="223"/>
      <c r="G12" s="223"/>
      <c r="H12" s="223">
        <f t="shared" si="0"/>
        <v>0</v>
      </c>
      <c r="I12" s="223"/>
      <c r="K12" s="13"/>
      <c r="L12" s="13"/>
      <c r="M12" s="13"/>
      <c r="N12" s="13"/>
      <c r="O12" s="13"/>
    </row>
    <row r="13" spans="1:18" ht="18.95" customHeight="1">
      <c r="A13" s="577"/>
      <c r="B13" s="213" t="s">
        <v>441</v>
      </c>
      <c r="C13" s="213" t="s">
        <v>498</v>
      </c>
      <c r="D13" s="213" t="s">
        <v>4</v>
      </c>
      <c r="E13" s="223">
        <f>'[132]토공수량 토공 집계표'!$G$4</f>
        <v>3111.0600000000004</v>
      </c>
      <c r="F13" s="223"/>
      <c r="G13" s="223"/>
      <c r="H13" s="223">
        <f t="shared" si="0"/>
        <v>3111.0600000000004</v>
      </c>
      <c r="I13" s="223"/>
      <c r="K13" s="13"/>
      <c r="L13" s="13"/>
      <c r="M13" s="13"/>
      <c r="N13" s="13"/>
      <c r="O13" s="13"/>
    </row>
    <row r="14" spans="1:18" ht="18.95" customHeight="1">
      <c r="A14" s="577"/>
      <c r="B14" s="213" t="s">
        <v>441</v>
      </c>
      <c r="C14" s="213" t="s">
        <v>257</v>
      </c>
      <c r="D14" s="213" t="s">
        <v>4</v>
      </c>
      <c r="E14" s="223">
        <f>'[132]토공수량 토공 집계표'!$G$5</f>
        <v>334.53899999999999</v>
      </c>
      <c r="F14" s="223"/>
      <c r="G14" s="223"/>
      <c r="H14" s="223">
        <f t="shared" si="0"/>
        <v>334.53899999999999</v>
      </c>
      <c r="I14" s="223"/>
      <c r="K14" s="13"/>
      <c r="L14" s="13"/>
      <c r="M14" s="13"/>
      <c r="N14" s="13"/>
      <c r="O14" s="13"/>
    </row>
    <row r="15" spans="1:18" ht="18.95" customHeight="1">
      <c r="A15" s="577"/>
      <c r="B15" s="213" t="s">
        <v>937</v>
      </c>
      <c r="C15" s="213" t="s">
        <v>498</v>
      </c>
      <c r="D15" s="213" t="s">
        <v>4</v>
      </c>
      <c r="E15" s="223"/>
      <c r="F15" s="223"/>
      <c r="G15" s="223"/>
      <c r="H15" s="223">
        <f>SUM(E15:G15)</f>
        <v>0</v>
      </c>
      <c r="I15" s="223"/>
      <c r="K15" s="13"/>
      <c r="L15" s="13"/>
      <c r="M15" s="13"/>
      <c r="N15" s="13"/>
      <c r="O15" s="13"/>
      <c r="R15" s="455"/>
    </row>
    <row r="16" spans="1:18" ht="18.95" customHeight="1">
      <c r="A16" s="578"/>
      <c r="B16" s="213" t="s">
        <v>937</v>
      </c>
      <c r="C16" s="213" t="s">
        <v>257</v>
      </c>
      <c r="D16" s="213" t="s">
        <v>4</v>
      </c>
      <c r="E16" s="223"/>
      <c r="F16" s="223"/>
      <c r="G16" s="223"/>
      <c r="H16" s="223">
        <f>SUM(E16:G16)</f>
        <v>0</v>
      </c>
      <c r="I16" s="223"/>
      <c r="K16" s="13"/>
      <c r="L16" s="13"/>
      <c r="M16" s="13"/>
      <c r="N16" s="13"/>
      <c r="O16" s="13"/>
      <c r="R16" s="155"/>
    </row>
    <row r="17" spans="1:33" ht="18.95" customHeight="1">
      <c r="A17" s="211" t="s">
        <v>90</v>
      </c>
      <c r="B17" s="213" t="s">
        <v>91</v>
      </c>
      <c r="C17" s="213" t="s">
        <v>14</v>
      </c>
      <c r="D17" s="213" t="s">
        <v>4</v>
      </c>
      <c r="E17" s="223">
        <f>'[132]토공수량 토공 집계표'!$G$8</f>
        <v>3818.1849999999999</v>
      </c>
      <c r="F17" s="223"/>
      <c r="G17" s="223"/>
      <c r="H17" s="223">
        <f t="shared" si="0"/>
        <v>3818.1849999999999</v>
      </c>
      <c r="I17" s="223"/>
      <c r="K17" s="13"/>
      <c r="L17" s="13"/>
      <c r="M17" s="13"/>
      <c r="N17" s="13"/>
      <c r="O17" s="13"/>
    </row>
    <row r="18" spans="1:33" ht="18.95" customHeight="1">
      <c r="A18" s="576" t="s">
        <v>726</v>
      </c>
      <c r="B18" s="573" t="s">
        <v>407</v>
      </c>
      <c r="C18" s="573"/>
      <c r="D18" s="213" t="s">
        <v>4</v>
      </c>
      <c r="E18" s="223">
        <f>'[132]토공수량 토공 집계표'!$G$9</f>
        <v>1375.5450000000001</v>
      </c>
      <c r="F18" s="223"/>
      <c r="G18" s="223"/>
      <c r="H18" s="223">
        <f>SUM(E18:G18)</f>
        <v>1375.5450000000001</v>
      </c>
      <c r="I18" s="223" t="s">
        <v>101</v>
      </c>
      <c r="J18" s="145" t="s">
        <v>966</v>
      </c>
      <c r="K18" s="13"/>
      <c r="L18" s="477"/>
      <c r="M18" s="477"/>
      <c r="N18" s="477"/>
      <c r="O18" s="477"/>
      <c r="P18" s="477"/>
    </row>
    <row r="19" spans="1:33" ht="18.95" customHeight="1">
      <c r="A19" s="577"/>
      <c r="B19" s="573" t="s">
        <v>15</v>
      </c>
      <c r="C19" s="573"/>
      <c r="D19" s="213" t="s">
        <v>4</v>
      </c>
      <c r="F19" s="223"/>
      <c r="G19" s="223"/>
      <c r="H19" s="223">
        <f>SUM(E19:G19)</f>
        <v>0</v>
      </c>
      <c r="I19" s="223" t="s">
        <v>101</v>
      </c>
      <c r="J19" s="145" t="s">
        <v>966</v>
      </c>
      <c r="K19" s="13"/>
      <c r="L19" s="477"/>
      <c r="M19" s="477"/>
      <c r="N19" s="477"/>
      <c r="O19" s="477"/>
      <c r="P19" s="477"/>
    </row>
    <row r="20" spans="1:33" ht="18.95" customHeight="1">
      <c r="A20" s="577"/>
      <c r="B20" s="573" t="s">
        <v>409</v>
      </c>
      <c r="C20" s="573"/>
      <c r="D20" s="213" t="s">
        <v>4</v>
      </c>
      <c r="E20" s="223"/>
      <c r="F20" s="223"/>
      <c r="G20" s="223"/>
      <c r="H20" s="223">
        <f>SUM(E20:G20)</f>
        <v>0</v>
      </c>
      <c r="I20" s="223" t="s">
        <v>101</v>
      </c>
      <c r="J20" s="145" t="s">
        <v>966</v>
      </c>
      <c r="K20" s="13"/>
      <c r="L20" s="477"/>
      <c r="M20" s="477"/>
      <c r="N20" s="477"/>
      <c r="O20" s="477"/>
      <c r="P20" s="477"/>
      <c r="AG20" s="146"/>
    </row>
    <row r="21" spans="1:33" ht="18.95" customHeight="1">
      <c r="A21" s="576" t="s">
        <v>727</v>
      </c>
      <c r="B21" s="573" t="s">
        <v>442</v>
      </c>
      <c r="C21" s="573"/>
      <c r="D21" s="213" t="s">
        <v>4</v>
      </c>
      <c r="E21" s="347"/>
      <c r="F21" s="223"/>
      <c r="G21" s="223"/>
      <c r="H21" s="223">
        <f t="shared" si="0"/>
        <v>0</v>
      </c>
      <c r="I21" s="223"/>
      <c r="K21" s="13"/>
      <c r="L21" s="477"/>
      <c r="M21" s="477"/>
      <c r="N21" s="477"/>
      <c r="O21" s="477"/>
      <c r="P21" s="477"/>
    </row>
    <row r="22" spans="1:33" ht="18.95" customHeight="1">
      <c r="A22" s="577"/>
      <c r="B22" s="573" t="s">
        <v>15</v>
      </c>
      <c r="C22" s="573"/>
      <c r="D22" s="213" t="s">
        <v>4</v>
      </c>
      <c r="E22" s="223"/>
      <c r="F22" s="223"/>
      <c r="G22" s="223"/>
      <c r="H22" s="223">
        <f>SUM(E22:G22)</f>
        <v>0</v>
      </c>
      <c r="I22" s="223"/>
      <c r="K22" s="13"/>
      <c r="L22" s="477"/>
      <c r="M22" s="477"/>
      <c r="N22" s="477"/>
      <c r="O22" s="477"/>
      <c r="P22" s="477"/>
      <c r="AG22" s="146"/>
    </row>
    <row r="23" spans="1:33" ht="18.95" customHeight="1">
      <c r="A23" s="577"/>
      <c r="B23" s="573" t="s">
        <v>443</v>
      </c>
      <c r="C23" s="573"/>
      <c r="D23" s="213" t="s">
        <v>4</v>
      </c>
      <c r="E23" s="347"/>
      <c r="F23" s="223"/>
      <c r="G23" s="223"/>
      <c r="H23" s="223">
        <f t="shared" si="0"/>
        <v>0</v>
      </c>
      <c r="I23" s="223"/>
      <c r="K23" s="13"/>
      <c r="L23" s="477"/>
      <c r="M23" s="477"/>
      <c r="N23" s="477"/>
      <c r="O23" s="477"/>
      <c r="P23" s="477"/>
      <c r="AG23" s="146"/>
    </row>
    <row r="24" spans="1:33" ht="18.95" customHeight="1">
      <c r="A24" s="578"/>
      <c r="B24" s="573" t="s">
        <v>550</v>
      </c>
      <c r="C24" s="573"/>
      <c r="D24" s="213" t="s">
        <v>4</v>
      </c>
      <c r="E24" s="223"/>
      <c r="F24" s="223"/>
      <c r="G24" s="223"/>
      <c r="H24" s="223">
        <f t="shared" si="0"/>
        <v>0</v>
      </c>
      <c r="I24" s="223"/>
      <c r="K24" s="13"/>
      <c r="L24" s="477"/>
      <c r="M24" s="477"/>
      <c r="N24" s="477"/>
      <c r="O24" s="477"/>
      <c r="P24" s="477"/>
    </row>
    <row r="25" spans="1:33" ht="18.95" customHeight="1">
      <c r="A25" s="213" t="s">
        <v>946</v>
      </c>
      <c r="B25" s="568" t="s">
        <v>947</v>
      </c>
      <c r="C25" s="570"/>
      <c r="D25" s="213" t="s">
        <v>4</v>
      </c>
      <c r="E25" s="223"/>
      <c r="F25" s="223"/>
      <c r="G25" s="223"/>
      <c r="H25" s="223">
        <f>SUM(E25:G25)</f>
        <v>0</v>
      </c>
      <c r="I25" s="223"/>
      <c r="K25" s="13"/>
      <c r="L25" s="477"/>
      <c r="M25" s="477"/>
      <c r="N25" s="477"/>
      <c r="O25" s="477"/>
      <c r="P25" s="477"/>
    </row>
    <row r="26" spans="1:33" ht="18.95" customHeight="1">
      <c r="A26" s="213" t="s">
        <v>92</v>
      </c>
      <c r="B26" s="573" t="s">
        <v>718</v>
      </c>
      <c r="C26" s="573"/>
      <c r="D26" s="213" t="s">
        <v>4</v>
      </c>
      <c r="E26" s="223">
        <f>'[132]토공수량 토공 집계표'!$G$7</f>
        <v>1199.905</v>
      </c>
      <c r="F26" s="223"/>
      <c r="G26" s="223"/>
      <c r="H26" s="223">
        <f t="shared" si="0"/>
        <v>1199.905</v>
      </c>
      <c r="I26" s="223"/>
      <c r="K26" s="13"/>
      <c r="L26" s="13"/>
      <c r="M26" s="13"/>
      <c r="N26" s="13"/>
      <c r="O26" s="13"/>
    </row>
    <row r="27" spans="1:33" ht="18.95" customHeight="1">
      <c r="A27" s="213" t="s">
        <v>499</v>
      </c>
      <c r="B27" s="568" t="s">
        <v>500</v>
      </c>
      <c r="C27" s="570"/>
      <c r="D27" s="213" t="s">
        <v>4</v>
      </c>
      <c r="E27" s="223"/>
      <c r="F27" s="223"/>
      <c r="G27" s="223"/>
      <c r="H27" s="223">
        <f t="shared" si="0"/>
        <v>0</v>
      </c>
      <c r="I27" s="223"/>
      <c r="K27" s="13"/>
      <c r="L27" s="13"/>
      <c r="M27" s="13"/>
      <c r="N27" s="13"/>
      <c r="O27" s="13"/>
    </row>
    <row r="28" spans="1:33" ht="18.95" customHeight="1">
      <c r="A28" s="573" t="s">
        <v>93</v>
      </c>
      <c r="B28" s="573"/>
      <c r="C28" s="573"/>
      <c r="D28" s="213" t="s">
        <v>8</v>
      </c>
      <c r="E28" s="223"/>
      <c r="F28" s="223"/>
      <c r="G28" s="223"/>
      <c r="H28" s="223">
        <f t="shared" si="0"/>
        <v>0</v>
      </c>
      <c r="I28" s="223"/>
      <c r="K28" s="13"/>
      <c r="L28" s="13"/>
      <c r="M28" s="13"/>
      <c r="N28" s="13"/>
      <c r="O28" s="13"/>
    </row>
    <row r="29" spans="1:33" ht="18.95" customHeight="1">
      <c r="A29" s="573" t="s">
        <v>94</v>
      </c>
      <c r="B29" s="573"/>
      <c r="C29" s="573"/>
      <c r="D29" s="213" t="s">
        <v>95</v>
      </c>
      <c r="E29" s="223">
        <f>'[132]토공수량 토공 집계표'!$G$6</f>
        <v>433.572</v>
      </c>
      <c r="F29" s="223"/>
      <c r="G29" s="223"/>
      <c r="H29" s="223">
        <f t="shared" si="0"/>
        <v>433.572</v>
      </c>
      <c r="I29" s="223"/>
      <c r="K29" s="13"/>
      <c r="L29" s="13"/>
      <c r="M29" s="13"/>
      <c r="N29" s="13"/>
      <c r="O29" s="13"/>
    </row>
    <row r="30" spans="1:33" ht="18.95" customHeight="1">
      <c r="A30" s="573" t="s">
        <v>913</v>
      </c>
      <c r="B30" s="573"/>
      <c r="C30" s="573"/>
      <c r="D30" s="213" t="s">
        <v>4</v>
      </c>
      <c r="E30" s="223"/>
      <c r="F30" s="223"/>
      <c r="G30" s="223"/>
      <c r="H30" s="223">
        <f t="shared" si="0"/>
        <v>0</v>
      </c>
      <c r="I30" s="223"/>
      <c r="K30" s="13"/>
      <c r="L30" s="13"/>
      <c r="M30" s="13"/>
      <c r="N30" s="13"/>
      <c r="O30" s="13"/>
    </row>
    <row r="31" spans="1:33" ht="18.95" customHeight="1">
      <c r="A31" s="576" t="s">
        <v>250</v>
      </c>
      <c r="B31" s="568" t="s">
        <v>251</v>
      </c>
      <c r="C31" s="570"/>
      <c r="D31" s="213" t="s">
        <v>4</v>
      </c>
      <c r="E31" s="347"/>
      <c r="F31" s="347"/>
      <c r="G31" s="223"/>
      <c r="H31" s="223">
        <f t="shared" si="0"/>
        <v>0</v>
      </c>
      <c r="I31" s="223"/>
      <c r="K31" s="13"/>
      <c r="L31" s="13"/>
      <c r="M31" s="13"/>
      <c r="N31" s="13"/>
      <c r="O31" s="13"/>
    </row>
    <row r="32" spans="1:33" ht="18.95" customHeight="1">
      <c r="A32" s="584"/>
      <c r="B32" s="568" t="s">
        <v>734</v>
      </c>
      <c r="C32" s="570"/>
      <c r="D32" s="213" t="s">
        <v>8</v>
      </c>
      <c r="E32" s="348"/>
      <c r="F32" s="347"/>
      <c r="G32" s="223"/>
      <c r="H32" s="223">
        <f>SUM(E32:G32)</f>
        <v>0</v>
      </c>
      <c r="I32" s="223"/>
      <c r="K32" s="13"/>
      <c r="L32" s="13"/>
      <c r="M32" s="13"/>
      <c r="N32" s="13"/>
      <c r="O32" s="13"/>
    </row>
    <row r="33" spans="1:16" ht="18.95" customHeight="1">
      <c r="A33" s="578"/>
      <c r="B33" s="568" t="s">
        <v>735</v>
      </c>
      <c r="C33" s="570"/>
      <c r="D33" s="213" t="s">
        <v>8</v>
      </c>
      <c r="E33" s="348"/>
      <c r="F33" s="347"/>
      <c r="G33" s="223"/>
      <c r="H33" s="223">
        <f t="shared" si="0"/>
        <v>0</v>
      </c>
      <c r="I33" s="223"/>
      <c r="K33" s="13"/>
      <c r="L33" s="13"/>
      <c r="M33" s="13"/>
      <c r="N33" s="13"/>
      <c r="O33" s="13"/>
    </row>
    <row r="34" spans="1:16" ht="18.95" customHeight="1">
      <c r="A34" s="583" t="s">
        <v>96</v>
      </c>
      <c r="B34" s="573" t="s">
        <v>97</v>
      </c>
      <c r="C34" s="573"/>
      <c r="D34" s="213" t="s">
        <v>4</v>
      </c>
      <c r="E34" s="223">
        <f>'[132]토공수량 토공 집계표'!$G$10</f>
        <v>486.58300000000003</v>
      </c>
      <c r="F34" s="348"/>
      <c r="G34" s="223"/>
      <c r="H34" s="223">
        <f t="shared" si="0"/>
        <v>486.58300000000003</v>
      </c>
      <c r="I34" s="223" t="s">
        <v>101</v>
      </c>
      <c r="K34" s="13"/>
      <c r="L34" s="13"/>
      <c r="M34" s="13"/>
      <c r="N34" s="13"/>
      <c r="O34" s="13"/>
    </row>
    <row r="35" spans="1:16" ht="18.95" customHeight="1">
      <c r="A35" s="578"/>
      <c r="B35" s="573" t="s">
        <v>98</v>
      </c>
      <c r="C35" s="573"/>
      <c r="D35" s="213" t="s">
        <v>4</v>
      </c>
      <c r="E35" s="223">
        <f>'[132]토공수량 토공 집계표'!$G$11</f>
        <v>291.05799999999999</v>
      </c>
      <c r="F35" s="223"/>
      <c r="G35" s="223"/>
      <c r="H35" s="223">
        <f t="shared" si="0"/>
        <v>291.05799999999999</v>
      </c>
      <c r="I35" s="223" t="s">
        <v>101</v>
      </c>
      <c r="K35" s="13"/>
      <c r="L35" s="13"/>
      <c r="M35" s="13"/>
      <c r="N35" s="13"/>
      <c r="O35" s="13"/>
    </row>
    <row r="36" spans="1:16" ht="18.95" hidden="1" customHeight="1">
      <c r="A36" s="573" t="s">
        <v>99</v>
      </c>
      <c r="B36" s="573"/>
      <c r="C36" s="573"/>
      <c r="D36" s="213" t="s">
        <v>4</v>
      </c>
      <c r="E36" s="223"/>
      <c r="F36" s="223"/>
      <c r="G36" s="223"/>
      <c r="H36" s="223">
        <f t="shared" si="0"/>
        <v>0</v>
      </c>
      <c r="I36" s="223"/>
      <c r="K36" s="13"/>
      <c r="L36" s="13"/>
      <c r="M36" s="13"/>
      <c r="N36" s="13"/>
      <c r="O36" s="13"/>
    </row>
    <row r="37" spans="1:16" ht="18.95" hidden="1" customHeight="1">
      <c r="A37" s="573" t="s">
        <v>102</v>
      </c>
      <c r="B37" s="573"/>
      <c r="C37" s="573"/>
      <c r="D37" s="213" t="s">
        <v>4</v>
      </c>
      <c r="E37" s="223"/>
      <c r="F37" s="223"/>
      <c r="G37" s="223"/>
      <c r="H37" s="223">
        <f t="shared" si="0"/>
        <v>0</v>
      </c>
      <c r="I37" s="223"/>
      <c r="K37" s="13"/>
      <c r="L37" s="13"/>
      <c r="M37" s="13"/>
      <c r="N37" s="13"/>
      <c r="O37" s="13"/>
    </row>
    <row r="38" spans="1:16" ht="18.95" hidden="1" customHeight="1">
      <c r="A38" s="573" t="s">
        <v>103</v>
      </c>
      <c r="B38" s="573"/>
      <c r="C38" s="573"/>
      <c r="D38" s="213" t="s">
        <v>4</v>
      </c>
      <c r="E38" s="223"/>
      <c r="F38" s="223"/>
      <c r="G38" s="223"/>
      <c r="H38" s="223">
        <f t="shared" si="0"/>
        <v>0</v>
      </c>
      <c r="I38" s="223"/>
      <c r="K38" s="13"/>
      <c r="L38" s="13"/>
      <c r="M38" s="13"/>
      <c r="N38" s="13"/>
      <c r="O38" s="13"/>
    </row>
    <row r="39" spans="1:16" ht="18.95" hidden="1" customHeight="1">
      <c r="A39" s="573" t="s">
        <v>100</v>
      </c>
      <c r="B39" s="573"/>
      <c r="C39" s="573"/>
      <c r="D39" s="213" t="s">
        <v>8</v>
      </c>
      <c r="E39" s="223"/>
      <c r="F39" s="223"/>
      <c r="G39" s="223"/>
      <c r="H39" s="223">
        <f>SUM(E39:G39)</f>
        <v>0</v>
      </c>
      <c r="I39" s="223"/>
      <c r="K39" s="13"/>
      <c r="L39" s="13"/>
      <c r="M39" s="13"/>
      <c r="N39" s="13"/>
      <c r="O39" s="13"/>
    </row>
    <row r="40" spans="1:16" ht="18.95" hidden="1" customHeight="1">
      <c r="A40" s="573" t="s">
        <v>719</v>
      </c>
      <c r="B40" s="573"/>
      <c r="C40" s="573"/>
      <c r="D40" s="213" t="s">
        <v>38</v>
      </c>
      <c r="E40" s="223"/>
      <c r="F40" s="223"/>
      <c r="G40" s="223"/>
      <c r="H40" s="223">
        <f t="shared" si="0"/>
        <v>0</v>
      </c>
      <c r="I40" s="223"/>
      <c r="K40" s="13"/>
      <c r="L40" s="13"/>
      <c r="M40" s="13"/>
      <c r="N40" s="13"/>
      <c r="O40" s="13"/>
    </row>
    <row r="41" spans="1:16" ht="18.95" hidden="1" customHeight="1">
      <c r="A41" s="573" t="s">
        <v>720</v>
      </c>
      <c r="B41" s="573"/>
      <c r="C41" s="573"/>
      <c r="D41" s="213" t="s">
        <v>38</v>
      </c>
      <c r="E41" s="223"/>
      <c r="F41" s="223"/>
      <c r="G41" s="223"/>
      <c r="H41" s="223">
        <f t="shared" si="0"/>
        <v>0</v>
      </c>
      <c r="I41" s="223"/>
      <c r="K41" s="13"/>
      <c r="L41" s="13"/>
      <c r="M41" s="13"/>
      <c r="N41" s="13"/>
      <c r="O41" s="13"/>
    </row>
    <row r="42" spans="1:16" ht="18.95" hidden="1" customHeight="1">
      <c r="A42" s="573" t="s">
        <v>721</v>
      </c>
      <c r="B42" s="573"/>
      <c r="C42" s="573"/>
      <c r="D42" s="213" t="s">
        <v>38</v>
      </c>
      <c r="E42" s="223"/>
      <c r="F42" s="223"/>
      <c r="G42" s="223"/>
      <c r="H42" s="223">
        <f>SUM(E42:G42)</f>
        <v>0</v>
      </c>
      <c r="I42" s="223"/>
      <c r="K42" s="13"/>
      <c r="L42" s="13"/>
      <c r="M42" s="13"/>
      <c r="N42" s="13"/>
      <c r="O42" s="13"/>
    </row>
    <row r="43" spans="1:16" ht="18.95" hidden="1" customHeight="1">
      <c r="A43" s="573" t="s">
        <v>722</v>
      </c>
      <c r="B43" s="573"/>
      <c r="C43" s="573"/>
      <c r="D43" s="213" t="s">
        <v>38</v>
      </c>
      <c r="E43" s="223"/>
      <c r="F43" s="223"/>
      <c r="G43" s="223"/>
      <c r="H43" s="223">
        <f>SUM(E43:G43)</f>
        <v>0</v>
      </c>
      <c r="I43" s="223"/>
      <c r="K43" s="13"/>
      <c r="L43" s="13"/>
      <c r="M43" s="13"/>
      <c r="N43" s="13"/>
      <c r="O43" s="13"/>
    </row>
    <row r="44" spans="1:16" ht="18.95" hidden="1" customHeight="1">
      <c r="A44" s="573" t="s">
        <v>502</v>
      </c>
      <c r="B44" s="573"/>
      <c r="C44" s="573"/>
      <c r="D44" s="213" t="s">
        <v>4</v>
      </c>
      <c r="E44" s="223"/>
      <c r="F44" s="223"/>
      <c r="G44" s="223"/>
      <c r="H44" s="223">
        <f t="shared" si="0"/>
        <v>0</v>
      </c>
      <c r="I44" s="223"/>
      <c r="K44" s="13"/>
      <c r="L44" s="13"/>
      <c r="M44" s="13"/>
      <c r="N44" s="13"/>
      <c r="O44" s="13"/>
    </row>
    <row r="45" spans="1:16" ht="18.95" hidden="1" customHeight="1">
      <c r="A45" s="573" t="s">
        <v>503</v>
      </c>
      <c r="B45" s="573"/>
      <c r="C45" s="573"/>
      <c r="D45" s="213" t="s">
        <v>4</v>
      </c>
      <c r="E45" s="223"/>
      <c r="F45" s="223"/>
      <c r="G45" s="223"/>
      <c r="H45" s="223">
        <f t="shared" si="0"/>
        <v>0</v>
      </c>
      <c r="I45" s="223"/>
      <c r="K45" s="13"/>
      <c r="L45" s="13"/>
      <c r="M45" s="13"/>
      <c r="N45" s="13"/>
      <c r="O45" s="13"/>
    </row>
    <row r="46" spans="1:16" ht="18.95" hidden="1" customHeight="1">
      <c r="A46" s="573" t="s">
        <v>504</v>
      </c>
      <c r="B46" s="573"/>
      <c r="C46" s="573"/>
      <c r="D46" s="213" t="s">
        <v>4</v>
      </c>
      <c r="E46" s="223"/>
      <c r="F46" s="223"/>
      <c r="G46" s="223"/>
      <c r="H46" s="223">
        <f t="shared" si="0"/>
        <v>0</v>
      </c>
      <c r="I46" s="223"/>
      <c r="K46" s="13"/>
      <c r="L46" s="13"/>
      <c r="M46" s="13"/>
      <c r="N46" s="13"/>
      <c r="O46" s="13"/>
    </row>
    <row r="47" spans="1:16" ht="18.95" customHeight="1">
      <c r="A47" s="572" t="s">
        <v>958</v>
      </c>
      <c r="B47" s="571" t="s">
        <v>61</v>
      </c>
      <c r="C47" s="571"/>
      <c r="D47" s="270" t="s">
        <v>382</v>
      </c>
      <c r="E47" s="223"/>
      <c r="F47" s="223"/>
      <c r="G47" s="223"/>
      <c r="H47" s="223">
        <f t="shared" si="0"/>
        <v>0</v>
      </c>
      <c r="I47" s="223"/>
      <c r="K47" s="13"/>
      <c r="L47" s="13"/>
      <c r="M47" s="13"/>
      <c r="N47" s="13"/>
      <c r="O47" s="13"/>
      <c r="P47" s="13"/>
    </row>
    <row r="48" spans="1:16" ht="18.95" customHeight="1">
      <c r="A48" s="572"/>
      <c r="B48" s="571" t="s">
        <v>34</v>
      </c>
      <c r="C48" s="571"/>
      <c r="D48" s="270" t="s">
        <v>4</v>
      </c>
      <c r="E48" s="223"/>
      <c r="F48" s="223"/>
      <c r="G48" s="223"/>
      <c r="H48" s="223">
        <f t="shared" si="0"/>
        <v>0</v>
      </c>
      <c r="I48" s="223"/>
      <c r="K48" s="13"/>
      <c r="L48" s="13"/>
      <c r="M48" s="13"/>
      <c r="N48" s="13"/>
      <c r="O48" s="13"/>
      <c r="P48" s="13"/>
    </row>
    <row r="49" spans="1:16" ht="18.95" customHeight="1">
      <c r="A49" s="572" t="s">
        <v>468</v>
      </c>
      <c r="B49" s="571" t="s">
        <v>34</v>
      </c>
      <c r="C49" s="571"/>
      <c r="D49" s="270" t="s">
        <v>214</v>
      </c>
      <c r="E49" s="223"/>
      <c r="F49" s="223"/>
      <c r="G49" s="223"/>
      <c r="H49" s="223">
        <f t="shared" si="0"/>
        <v>0</v>
      </c>
      <c r="I49" s="223"/>
      <c r="K49" s="13"/>
      <c r="L49" s="13"/>
      <c r="M49" s="13"/>
      <c r="N49" s="13"/>
      <c r="O49" s="13"/>
      <c r="P49" s="13"/>
    </row>
    <row r="50" spans="1:16" ht="18.95" customHeight="1">
      <c r="A50" s="572"/>
      <c r="B50" s="571" t="s">
        <v>501</v>
      </c>
      <c r="C50" s="571"/>
      <c r="D50" s="270" t="s">
        <v>214</v>
      </c>
      <c r="E50" s="223"/>
      <c r="F50" s="223"/>
      <c r="G50" s="223"/>
      <c r="H50" s="223">
        <f t="shared" si="0"/>
        <v>0</v>
      </c>
      <c r="I50" s="223"/>
      <c r="K50" s="13"/>
      <c r="L50" s="13"/>
      <c r="M50" s="13"/>
      <c r="N50" s="13"/>
      <c r="O50" s="13"/>
    </row>
    <row r="51" spans="1:16" ht="18.95" customHeight="1">
      <c r="A51" s="314" t="s">
        <v>595</v>
      </c>
      <c r="B51" s="574" t="s">
        <v>594</v>
      </c>
      <c r="C51" s="575"/>
      <c r="D51" s="213" t="s">
        <v>4</v>
      </c>
      <c r="E51" s="223"/>
      <c r="F51" s="347"/>
      <c r="G51" s="223"/>
      <c r="H51" s="223">
        <f t="shared" si="0"/>
        <v>0</v>
      </c>
      <c r="I51" s="223"/>
      <c r="K51" s="13"/>
      <c r="L51" s="13"/>
      <c r="M51" s="13"/>
      <c r="N51" s="13"/>
      <c r="O51" s="13"/>
    </row>
    <row r="52" spans="1:16" ht="24.95" customHeight="1">
      <c r="A52" s="478" t="s">
        <v>252</v>
      </c>
      <c r="B52" s="568" t="s">
        <v>253</v>
      </c>
      <c r="C52" s="570"/>
      <c r="D52" s="213" t="s">
        <v>4</v>
      </c>
      <c r="E52" s="223">
        <f>[133]가축도집계!$G$4</f>
        <v>242</v>
      </c>
      <c r="F52" s="223"/>
      <c r="G52" s="347"/>
      <c r="H52" s="223">
        <f t="shared" si="0"/>
        <v>242</v>
      </c>
      <c r="I52" s="223"/>
      <c r="K52" s="13"/>
      <c r="L52" s="13"/>
      <c r="M52" s="13"/>
      <c r="N52" s="13"/>
      <c r="O52" s="13"/>
    </row>
    <row r="53" spans="1:16" ht="24.95" customHeight="1">
      <c r="A53" s="478" t="s">
        <v>254</v>
      </c>
      <c r="B53" s="568" t="s">
        <v>253</v>
      </c>
      <c r="C53" s="570"/>
      <c r="D53" s="213" t="s">
        <v>76</v>
      </c>
      <c r="E53" s="219">
        <f>[133]가축도집계!$G$5</f>
        <v>114</v>
      </c>
      <c r="F53" s="223"/>
      <c r="G53" s="347"/>
      <c r="H53" s="219">
        <f t="shared" si="0"/>
        <v>114</v>
      </c>
      <c r="I53" s="223"/>
      <c r="K53" s="13"/>
      <c r="L53" s="13"/>
      <c r="M53" s="13"/>
      <c r="N53" s="13"/>
      <c r="O53" s="13"/>
    </row>
    <row r="54" spans="1:16" ht="18.95" customHeight="1">
      <c r="A54" s="225" t="s">
        <v>272</v>
      </c>
      <c r="B54" s="237"/>
      <c r="C54" s="238"/>
      <c r="D54" s="213" t="s">
        <v>4</v>
      </c>
      <c r="E54" s="223">
        <f>[133]가축도집계!$G$6</f>
        <v>38.5</v>
      </c>
      <c r="F54" s="223"/>
      <c r="G54" s="347"/>
      <c r="H54" s="223">
        <f t="shared" si="0"/>
        <v>38.5</v>
      </c>
      <c r="I54" s="223"/>
      <c r="K54" s="13"/>
      <c r="L54" s="13"/>
      <c r="M54" s="13"/>
      <c r="N54" s="13"/>
      <c r="O54" s="13"/>
    </row>
    <row r="55" spans="1:16" ht="18.95" customHeight="1">
      <c r="A55" s="568" t="s">
        <v>954</v>
      </c>
      <c r="B55" s="569"/>
      <c r="C55" s="570"/>
      <c r="D55" s="213" t="s">
        <v>256</v>
      </c>
      <c r="E55" s="347">
        <f>[133]가축도집계!$G$7</f>
        <v>33</v>
      </c>
      <c r="F55" s="223"/>
      <c r="G55" s="347"/>
      <c r="H55" s="223">
        <f t="shared" si="0"/>
        <v>33</v>
      </c>
      <c r="I55" s="223"/>
      <c r="K55" s="13"/>
      <c r="L55" s="13"/>
      <c r="M55" s="13"/>
      <c r="N55" s="13"/>
      <c r="O55" s="13"/>
    </row>
    <row r="56" spans="1:16" ht="18.95" customHeight="1">
      <c r="A56" s="568" t="s">
        <v>416</v>
      </c>
      <c r="B56" s="569"/>
      <c r="C56" s="570"/>
      <c r="D56" s="213" t="s">
        <v>4</v>
      </c>
      <c r="E56" s="223">
        <f>[133]가축도집계!$G$9</f>
        <v>242</v>
      </c>
      <c r="F56" s="223"/>
      <c r="G56" s="223"/>
      <c r="H56" s="223">
        <f t="shared" si="0"/>
        <v>242</v>
      </c>
      <c r="I56" s="223"/>
      <c r="K56" s="13"/>
      <c r="L56" s="13"/>
      <c r="M56" s="13"/>
      <c r="N56" s="13"/>
      <c r="O56" s="13"/>
    </row>
    <row r="57" spans="1:16" ht="18.95" customHeight="1">
      <c r="A57" s="568" t="s">
        <v>255</v>
      </c>
      <c r="B57" s="569"/>
      <c r="C57" s="570"/>
      <c r="D57" s="213" t="s">
        <v>256</v>
      </c>
      <c r="E57" s="223"/>
      <c r="F57" s="223"/>
      <c r="G57" s="348"/>
      <c r="H57" s="223">
        <f t="shared" si="0"/>
        <v>0</v>
      </c>
      <c r="I57" s="223"/>
      <c r="K57" s="13"/>
      <c r="L57" s="13"/>
      <c r="M57" s="13"/>
      <c r="N57" s="13"/>
      <c r="O57" s="13"/>
    </row>
    <row r="59" spans="1:16">
      <c r="G59" s="145"/>
      <c r="H59" s="145"/>
      <c r="I59" s="145"/>
    </row>
  </sheetData>
  <mergeCells count="58">
    <mergeCell ref="B22:C22"/>
    <mergeCell ref="A34:A35"/>
    <mergeCell ref="I2:I3"/>
    <mergeCell ref="E2:E3"/>
    <mergeCell ref="H2:H3"/>
    <mergeCell ref="A30:C30"/>
    <mergeCell ref="A28:C28"/>
    <mergeCell ref="B33:C33"/>
    <mergeCell ref="D2:D3"/>
    <mergeCell ref="B2:C3"/>
    <mergeCell ref="A56:C56"/>
    <mergeCell ref="B53:C53"/>
    <mergeCell ref="A38:C38"/>
    <mergeCell ref="A31:A33"/>
    <mergeCell ref="B31:C31"/>
    <mergeCell ref="A37:C37"/>
    <mergeCell ref="B48:C48"/>
    <mergeCell ref="B49:C49"/>
    <mergeCell ref="B18:C18"/>
    <mergeCell ref="A36:C36"/>
    <mergeCell ref="F2:F3"/>
    <mergeCell ref="G2:G3"/>
    <mergeCell ref="B4:C4"/>
    <mergeCell ref="B20:C20"/>
    <mergeCell ref="A29:C29"/>
    <mergeCell ref="A7:A16"/>
    <mergeCell ref="A18:A20"/>
    <mergeCell ref="B21:C21"/>
    <mergeCell ref="A2:A3"/>
    <mergeCell ref="B6:C6"/>
    <mergeCell ref="B35:C35"/>
    <mergeCell ref="B26:C26"/>
    <mergeCell ref="B32:C32"/>
    <mergeCell ref="A57:C57"/>
    <mergeCell ref="B52:C52"/>
    <mergeCell ref="B23:C23"/>
    <mergeCell ref="B50:C50"/>
    <mergeCell ref="B34:C34"/>
    <mergeCell ref="B25:C25"/>
    <mergeCell ref="B19:C19"/>
    <mergeCell ref="A40:C40"/>
    <mergeCell ref="A43:C43"/>
    <mergeCell ref="A41:C41"/>
    <mergeCell ref="A4:A6"/>
    <mergeCell ref="A42:C42"/>
    <mergeCell ref="B27:C27"/>
    <mergeCell ref="A21:A24"/>
    <mergeCell ref="B24:C24"/>
    <mergeCell ref="B5:C5"/>
    <mergeCell ref="A55:C55"/>
    <mergeCell ref="B47:C47"/>
    <mergeCell ref="A49:A50"/>
    <mergeCell ref="A39:C39"/>
    <mergeCell ref="A45:C45"/>
    <mergeCell ref="A44:C44"/>
    <mergeCell ref="A47:A48"/>
    <mergeCell ref="A46:C46"/>
    <mergeCell ref="B51:C51"/>
  </mergeCells>
  <phoneticPr fontId="7" type="noConversion"/>
  <printOptions horizontalCentered="1"/>
  <pageMargins left="0.74803149606299213" right="0.74803149606299213" top="0.98425196850393704" bottom="0.98425196850393704" header="0.6692913385826772" footer="0.51181102362204722"/>
  <pageSetup paperSize="9" orientation="portrait" useFirstPageNumber="1" r:id="rId1"/>
  <headerFooter alignWithMargins="0">
    <oddHeader xml:space="preserve">&amp;C&amp;"돋움,굵게"&amp;12토공 총괄 집계표 (&amp;P)&amp;R
</oddHeader>
  </headerFooter>
  <rowBreaks count="1" manualBreakCount="1">
    <brk id="35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33"/>
  <sheetViews>
    <sheetView showZeros="0" tabSelected="1" view="pageBreakPreview" topLeftCell="A97" zoomScaleNormal="100" zoomScaleSheetLayoutView="100" workbookViewId="0">
      <selection activeCell="G139" sqref="G139"/>
    </sheetView>
  </sheetViews>
  <sheetFormatPr defaultRowHeight="10.5"/>
  <cols>
    <col min="1" max="1" width="8.77734375" style="145" customWidth="1"/>
    <col min="2" max="2" width="8.88671875" style="145" customWidth="1"/>
    <col min="3" max="3" width="15.77734375" style="145" customWidth="1"/>
    <col min="4" max="4" width="4.33203125" style="145" customWidth="1"/>
    <col min="5" max="8" width="9.77734375" style="151" customWidth="1"/>
    <col min="9" max="9" width="10.77734375" style="145" customWidth="1"/>
    <col min="10" max="10" width="8.88671875" style="145"/>
    <col min="11" max="11" width="9.33203125" style="145" bestFit="1" customWidth="1"/>
    <col min="12" max="16384" width="8.88671875" style="145"/>
  </cols>
  <sheetData>
    <row r="1" spans="1:10" ht="18" customHeight="1">
      <c r="A1" s="336"/>
      <c r="H1" s="12" t="str">
        <f>"&lt; "&amp;간지!$Z$3&amp;" &gt;"</f>
        <v>&lt; 갈전7교 &gt;</v>
      </c>
    </row>
    <row r="2" spans="1:10" ht="27" customHeight="1">
      <c r="A2" s="1" t="s">
        <v>0</v>
      </c>
      <c r="B2" s="579" t="s">
        <v>1</v>
      </c>
      <c r="C2" s="579"/>
      <c r="D2" s="1" t="s">
        <v>2</v>
      </c>
      <c r="E2" s="387" t="s">
        <v>1063</v>
      </c>
      <c r="F2" s="152" t="s">
        <v>906</v>
      </c>
      <c r="G2" s="152" t="s">
        <v>60</v>
      </c>
      <c r="H2" s="152" t="s">
        <v>3</v>
      </c>
      <c r="J2" s="366"/>
    </row>
    <row r="3" spans="1:10" ht="18" customHeight="1">
      <c r="A3" s="583" t="s">
        <v>34</v>
      </c>
      <c r="B3" s="629" t="str">
        <f>내역서!D469</f>
        <v>19-27-15</v>
      </c>
      <c r="C3" s="630"/>
      <c r="D3" s="148" t="s">
        <v>4</v>
      </c>
      <c r="E3" s="347"/>
      <c r="F3" s="347"/>
      <c r="G3" s="223">
        <f t="shared" ref="G3:G66" si="0">SUM(E3:F3)</f>
        <v>0</v>
      </c>
      <c r="H3" s="215"/>
      <c r="J3" s="366"/>
    </row>
    <row r="4" spans="1:10" ht="18" customHeight="1">
      <c r="A4" s="577"/>
      <c r="B4" s="629" t="str">
        <f>내역서!D470</f>
        <v>25-35-150</v>
      </c>
      <c r="C4" s="630"/>
      <c r="D4" s="148" t="s">
        <v>4</v>
      </c>
      <c r="E4" s="347">
        <f>'[131]갈전7교 교량 일반수량 집계표'!$I$4:$I$5</f>
        <v>963.06700000000001</v>
      </c>
      <c r="F4" s="347"/>
      <c r="G4" s="223">
        <f t="shared" si="0"/>
        <v>963.06700000000001</v>
      </c>
      <c r="H4" s="215"/>
      <c r="J4" s="366"/>
    </row>
    <row r="5" spans="1:10" ht="18" customHeight="1">
      <c r="A5" s="577"/>
      <c r="B5" s="629" t="str">
        <f>내역서!D471</f>
        <v>25-27-150</v>
      </c>
      <c r="C5" s="630"/>
      <c r="D5" s="148" t="s">
        <v>4</v>
      </c>
      <c r="E5" s="347">
        <f>'[131]갈전7교 교량 일반수량 집계표'!$H$3</f>
        <v>464.94</v>
      </c>
      <c r="F5" s="349"/>
      <c r="G5" s="223">
        <f t="shared" si="0"/>
        <v>464.94</v>
      </c>
      <c r="H5" s="215"/>
      <c r="J5" s="366"/>
    </row>
    <row r="6" spans="1:10" ht="18" customHeight="1">
      <c r="A6" s="577"/>
      <c r="B6" s="629" t="str">
        <f>내역서!D472</f>
        <v>25-35-80</v>
      </c>
      <c r="C6" s="630"/>
      <c r="D6" s="148" t="s">
        <v>4</v>
      </c>
      <c r="E6" s="347"/>
      <c r="F6" s="347"/>
      <c r="G6" s="223">
        <f t="shared" si="0"/>
        <v>0</v>
      </c>
      <c r="H6" s="215"/>
      <c r="J6" s="366"/>
    </row>
    <row r="7" spans="1:10" ht="18" customHeight="1">
      <c r="A7" s="577"/>
      <c r="B7" s="629" t="str">
        <f>내역서!D473</f>
        <v>25-24-150</v>
      </c>
      <c r="C7" s="630"/>
      <c r="D7" s="148" t="s">
        <v>4</v>
      </c>
      <c r="E7" s="347"/>
      <c r="F7" s="347"/>
      <c r="G7" s="223">
        <f t="shared" si="0"/>
        <v>0</v>
      </c>
      <c r="H7" s="215"/>
      <c r="J7" s="366"/>
    </row>
    <row r="8" spans="1:10" ht="18" customHeight="1">
      <c r="A8" s="583" t="s">
        <v>61</v>
      </c>
      <c r="B8" s="631" t="str">
        <f>내역서!D474</f>
        <v>25-18-150</v>
      </c>
      <c r="C8" s="632"/>
      <c r="D8" s="148" t="s">
        <v>4</v>
      </c>
      <c r="E8" s="347">
        <f>'[131]갈전7교 교량 일반수량 집계표'!$H$6</f>
        <v>81.367999999999995</v>
      </c>
      <c r="F8" s="347"/>
      <c r="G8" s="223">
        <f t="shared" si="0"/>
        <v>81.367999999999995</v>
      </c>
      <c r="H8" s="215"/>
      <c r="J8" s="366"/>
    </row>
    <row r="9" spans="1:10" ht="18" customHeight="1">
      <c r="A9" s="578"/>
      <c r="B9" s="631" t="str">
        <f>내역서!D476</f>
        <v>25-16-150</v>
      </c>
      <c r="C9" s="632"/>
      <c r="D9" s="148" t="s">
        <v>4</v>
      </c>
      <c r="E9" s="347"/>
      <c r="G9" s="223">
        <f t="shared" si="0"/>
        <v>0</v>
      </c>
      <c r="H9" s="215"/>
      <c r="J9" s="366"/>
    </row>
    <row r="10" spans="1:10" ht="18" customHeight="1">
      <c r="A10" s="583" t="s">
        <v>5</v>
      </c>
      <c r="B10" s="213" t="s">
        <v>64</v>
      </c>
      <c r="C10" s="213" t="s">
        <v>63</v>
      </c>
      <c r="D10" s="213" t="s">
        <v>4</v>
      </c>
      <c r="E10" s="347">
        <f>SUM(E3:E7)</f>
        <v>1428.0070000000001</v>
      </c>
      <c r="F10" s="347">
        <f>SUM(F3:F7)</f>
        <v>0</v>
      </c>
      <c r="G10" s="223">
        <f t="shared" si="0"/>
        <v>1428.0070000000001</v>
      </c>
      <c r="H10" s="215"/>
      <c r="J10" s="366"/>
    </row>
    <row r="11" spans="1:10" ht="18" customHeight="1">
      <c r="A11" s="577"/>
      <c r="B11" s="583" t="s">
        <v>62</v>
      </c>
      <c r="C11" s="213" t="s">
        <v>82</v>
      </c>
      <c r="D11" s="213" t="s">
        <v>4</v>
      </c>
      <c r="E11" s="347">
        <f>E8</f>
        <v>81.367999999999995</v>
      </c>
      <c r="F11" s="347">
        <f>F8</f>
        <v>0</v>
      </c>
      <c r="G11" s="223">
        <f t="shared" si="0"/>
        <v>81.367999999999995</v>
      </c>
      <c r="H11" s="215"/>
      <c r="J11" s="366"/>
    </row>
    <row r="12" spans="1:10" ht="18" customHeight="1">
      <c r="A12" s="578"/>
      <c r="B12" s="628"/>
      <c r="C12" s="213" t="s">
        <v>83</v>
      </c>
      <c r="D12" s="213" t="s">
        <v>4</v>
      </c>
      <c r="E12" s="347"/>
      <c r="F12" s="347"/>
      <c r="G12" s="223">
        <f t="shared" si="0"/>
        <v>0</v>
      </c>
      <c r="H12" s="215"/>
      <c r="J12" s="366"/>
    </row>
    <row r="13" spans="1:10" ht="18" hidden="1" customHeight="1">
      <c r="A13" s="583" t="s">
        <v>6</v>
      </c>
      <c r="B13" s="583" t="s">
        <v>35</v>
      </c>
      <c r="C13" s="213" t="s">
        <v>487</v>
      </c>
      <c r="D13" s="213" t="s">
        <v>8</v>
      </c>
      <c r="E13" s="347"/>
      <c r="F13" s="347"/>
      <c r="G13" s="223">
        <f t="shared" si="0"/>
        <v>0</v>
      </c>
      <c r="H13" s="215"/>
      <c r="J13" s="366"/>
    </row>
    <row r="14" spans="1:10" ht="18" hidden="1" customHeight="1">
      <c r="A14" s="577"/>
      <c r="B14" s="577"/>
      <c r="C14" s="213" t="s">
        <v>488</v>
      </c>
      <c r="D14" s="213" t="s">
        <v>8</v>
      </c>
      <c r="E14" s="347"/>
      <c r="F14" s="347"/>
      <c r="G14" s="223">
        <f t="shared" si="0"/>
        <v>0</v>
      </c>
      <c r="H14" s="215"/>
      <c r="J14" s="366"/>
    </row>
    <row r="15" spans="1:10" ht="18" hidden="1" customHeight="1">
      <c r="A15" s="577"/>
      <c r="B15" s="577"/>
      <c r="C15" s="213" t="s">
        <v>489</v>
      </c>
      <c r="D15" s="213" t="s">
        <v>8</v>
      </c>
      <c r="E15" s="347"/>
      <c r="F15" s="347"/>
      <c r="G15" s="223">
        <f t="shared" si="0"/>
        <v>0</v>
      </c>
      <c r="H15" s="215"/>
      <c r="J15" s="366"/>
    </row>
    <row r="16" spans="1:10" ht="18" hidden="1" customHeight="1">
      <c r="A16" s="577"/>
      <c r="B16" s="577"/>
      <c r="C16" s="213" t="s">
        <v>490</v>
      </c>
      <c r="D16" s="213" t="s">
        <v>8</v>
      </c>
      <c r="E16" s="347"/>
      <c r="F16" s="347"/>
      <c r="G16" s="223">
        <f t="shared" si="0"/>
        <v>0</v>
      </c>
      <c r="H16" s="215"/>
      <c r="J16" s="366"/>
    </row>
    <row r="17" spans="1:10" ht="18" hidden="1" customHeight="1">
      <c r="A17" s="577"/>
      <c r="B17" s="577"/>
      <c r="C17" s="213" t="s">
        <v>491</v>
      </c>
      <c r="D17" s="213" t="s">
        <v>8</v>
      </c>
      <c r="E17" s="347"/>
      <c r="F17" s="347"/>
      <c r="G17" s="223">
        <f t="shared" si="0"/>
        <v>0</v>
      </c>
      <c r="H17" s="215"/>
      <c r="J17" s="366"/>
    </row>
    <row r="18" spans="1:10" ht="18" hidden="1" customHeight="1">
      <c r="A18" s="577"/>
      <c r="B18" s="578"/>
      <c r="C18" s="213" t="s">
        <v>492</v>
      </c>
      <c r="D18" s="213" t="s">
        <v>8</v>
      </c>
      <c r="E18" s="347"/>
      <c r="F18" s="347"/>
      <c r="G18" s="223">
        <f t="shared" si="0"/>
        <v>0</v>
      </c>
      <c r="H18" s="215"/>
      <c r="J18" s="366"/>
    </row>
    <row r="19" spans="1:10" ht="18" customHeight="1">
      <c r="A19" s="577"/>
      <c r="B19" s="213" t="s">
        <v>35</v>
      </c>
      <c r="C19" s="213" t="s">
        <v>7</v>
      </c>
      <c r="D19" s="213" t="s">
        <v>8</v>
      </c>
      <c r="E19" s="347">
        <f>'[131]갈전7교 교량 일반수량 집계표'!$I$11</f>
        <v>1492.6289999999999</v>
      </c>
      <c r="F19" s="347"/>
      <c r="G19" s="223">
        <f t="shared" si="0"/>
        <v>1492.6289999999999</v>
      </c>
      <c r="H19" s="215"/>
      <c r="J19" s="366"/>
    </row>
    <row r="20" spans="1:10" ht="18" customHeight="1">
      <c r="A20" s="577"/>
      <c r="B20" s="213" t="s">
        <v>1138</v>
      </c>
      <c r="C20" s="213" t="s">
        <v>7</v>
      </c>
      <c r="D20" s="213" t="s">
        <v>8</v>
      </c>
      <c r="E20" s="347">
        <f>'[131]갈전7교 교량 일반수량 집계표'!$H$10</f>
        <v>38.465000000000003</v>
      </c>
      <c r="F20" s="347"/>
      <c r="G20" s="223">
        <f t="shared" si="0"/>
        <v>38.465000000000003</v>
      </c>
      <c r="H20" s="215"/>
      <c r="J20" s="366"/>
    </row>
    <row r="21" spans="1:10" ht="18" customHeight="1">
      <c r="A21" s="577"/>
      <c r="B21" s="213" t="s">
        <v>65</v>
      </c>
      <c r="C21" s="213" t="s">
        <v>7</v>
      </c>
      <c r="D21" s="213" t="s">
        <v>8</v>
      </c>
      <c r="E21" s="347">
        <f>'[131]갈전7교 교량 일반수량 집계표'!$H$9</f>
        <v>28.209</v>
      </c>
      <c r="F21" s="347"/>
      <c r="G21" s="223">
        <f t="shared" si="0"/>
        <v>28.209</v>
      </c>
      <c r="H21" s="215"/>
      <c r="J21" s="366"/>
    </row>
    <row r="22" spans="1:10" ht="18" hidden="1" customHeight="1">
      <c r="A22" s="577"/>
      <c r="B22" s="583" t="s">
        <v>69</v>
      </c>
      <c r="C22" s="213" t="s">
        <v>7</v>
      </c>
      <c r="D22" s="213" t="s">
        <v>8</v>
      </c>
      <c r="E22" s="223"/>
      <c r="F22" s="347"/>
      <c r="G22" s="223">
        <f t="shared" si="0"/>
        <v>0</v>
      </c>
      <c r="H22" s="215"/>
      <c r="J22" s="366"/>
    </row>
    <row r="23" spans="1:10" ht="18" hidden="1" customHeight="1">
      <c r="A23" s="577"/>
      <c r="B23" s="577"/>
      <c r="C23" s="213" t="s">
        <v>66</v>
      </c>
      <c r="D23" s="213" t="s">
        <v>8</v>
      </c>
      <c r="E23" s="223"/>
      <c r="F23" s="347"/>
      <c r="G23" s="223">
        <f t="shared" si="0"/>
        <v>0</v>
      </c>
      <c r="H23" s="215"/>
      <c r="J23" s="366"/>
    </row>
    <row r="24" spans="1:10" ht="18" hidden="1" customHeight="1">
      <c r="A24" s="577"/>
      <c r="B24" s="578"/>
      <c r="C24" s="213" t="s">
        <v>67</v>
      </c>
      <c r="D24" s="213" t="s">
        <v>8</v>
      </c>
      <c r="E24" s="223"/>
      <c r="F24" s="347"/>
      <c r="G24" s="223">
        <f t="shared" si="0"/>
        <v>0</v>
      </c>
      <c r="H24" s="215"/>
      <c r="J24" s="366"/>
    </row>
    <row r="25" spans="1:10" ht="18" hidden="1" customHeight="1">
      <c r="A25" s="577"/>
      <c r="B25" s="583" t="s">
        <v>68</v>
      </c>
      <c r="C25" s="213" t="s">
        <v>7</v>
      </c>
      <c r="D25" s="213" t="s">
        <v>8</v>
      </c>
      <c r="E25" s="223"/>
      <c r="F25" s="347"/>
      <c r="G25" s="223">
        <f t="shared" si="0"/>
        <v>0</v>
      </c>
      <c r="H25" s="215"/>
      <c r="J25" s="366"/>
    </row>
    <row r="26" spans="1:10" ht="18" hidden="1" customHeight="1">
      <c r="A26" s="577"/>
      <c r="B26" s="577"/>
      <c r="C26" s="213" t="s">
        <v>66</v>
      </c>
      <c r="D26" s="213" t="s">
        <v>8</v>
      </c>
      <c r="E26" s="223"/>
      <c r="F26" s="347"/>
      <c r="G26" s="223">
        <f t="shared" si="0"/>
        <v>0</v>
      </c>
      <c r="H26" s="215"/>
      <c r="J26" s="366"/>
    </row>
    <row r="27" spans="1:10" ht="18" hidden="1" customHeight="1">
      <c r="A27" s="577"/>
      <c r="B27" s="578"/>
      <c r="C27" s="213" t="s">
        <v>67</v>
      </c>
      <c r="D27" s="213" t="s">
        <v>8</v>
      </c>
      <c r="E27" s="223"/>
      <c r="F27" s="347"/>
      <c r="G27" s="223">
        <f t="shared" si="0"/>
        <v>0</v>
      </c>
      <c r="H27" s="215"/>
      <c r="J27" s="366"/>
    </row>
    <row r="28" spans="1:10" ht="18" hidden="1" customHeight="1">
      <c r="A28" s="577"/>
      <c r="B28" s="583" t="s">
        <v>401</v>
      </c>
      <c r="C28" s="213" t="s">
        <v>7</v>
      </c>
      <c r="D28" s="213" t="s">
        <v>8</v>
      </c>
      <c r="E28" s="223"/>
      <c r="F28" s="347"/>
      <c r="G28" s="223">
        <f t="shared" si="0"/>
        <v>0</v>
      </c>
      <c r="H28" s="215"/>
      <c r="J28" s="366"/>
    </row>
    <row r="29" spans="1:10" ht="18" hidden="1" customHeight="1">
      <c r="A29" s="577"/>
      <c r="B29" s="577"/>
      <c r="C29" s="213" t="s">
        <v>66</v>
      </c>
      <c r="D29" s="213" t="s">
        <v>8</v>
      </c>
      <c r="E29" s="223"/>
      <c r="F29" s="347"/>
      <c r="G29" s="223">
        <f t="shared" si="0"/>
        <v>0</v>
      </c>
      <c r="H29" s="215"/>
      <c r="J29" s="366"/>
    </row>
    <row r="30" spans="1:10" ht="18" hidden="1" customHeight="1">
      <c r="A30" s="577"/>
      <c r="B30" s="578"/>
      <c r="C30" s="213" t="s">
        <v>67</v>
      </c>
      <c r="D30" s="213" t="s">
        <v>8</v>
      </c>
      <c r="E30" s="223"/>
      <c r="F30" s="347"/>
      <c r="G30" s="223">
        <f t="shared" si="0"/>
        <v>0</v>
      </c>
      <c r="H30" s="215"/>
      <c r="J30" s="366"/>
    </row>
    <row r="31" spans="1:10" ht="18" customHeight="1">
      <c r="A31" s="577"/>
      <c r="B31" s="211" t="s">
        <v>1036</v>
      </c>
      <c r="C31" s="213" t="s">
        <v>7</v>
      </c>
      <c r="D31" s="213" t="s">
        <v>8</v>
      </c>
      <c r="E31" s="347"/>
      <c r="F31" s="347"/>
      <c r="G31" s="223">
        <f t="shared" si="0"/>
        <v>0</v>
      </c>
      <c r="H31" s="215"/>
      <c r="J31" s="366"/>
    </row>
    <row r="32" spans="1:10" ht="18" customHeight="1">
      <c r="A32" s="577"/>
      <c r="B32" s="211" t="s">
        <v>1035</v>
      </c>
      <c r="C32" s="213" t="s">
        <v>7</v>
      </c>
      <c r="D32" s="213" t="s">
        <v>8</v>
      </c>
      <c r="E32" s="223"/>
      <c r="F32" s="347"/>
      <c r="G32" s="223">
        <f t="shared" si="0"/>
        <v>0</v>
      </c>
      <c r="H32" s="215"/>
      <c r="J32" s="366"/>
    </row>
    <row r="33" spans="1:10" ht="18" customHeight="1">
      <c r="A33" s="578"/>
      <c r="B33" s="211" t="s">
        <v>1035</v>
      </c>
      <c r="C33" s="213" t="s">
        <v>66</v>
      </c>
      <c r="D33" s="213" t="s">
        <v>8</v>
      </c>
      <c r="E33" s="223"/>
      <c r="F33" s="347"/>
      <c r="G33" s="223">
        <f t="shared" si="0"/>
        <v>0</v>
      </c>
      <c r="H33" s="215"/>
      <c r="J33" s="366"/>
    </row>
    <row r="34" spans="1:10" ht="18" hidden="1" customHeight="1">
      <c r="A34" s="583" t="s">
        <v>9</v>
      </c>
      <c r="B34" s="570" t="s">
        <v>760</v>
      </c>
      <c r="C34" s="573"/>
      <c r="D34" s="213" t="s">
        <v>76</v>
      </c>
      <c r="E34" s="347"/>
      <c r="F34" s="347"/>
      <c r="G34" s="223">
        <f t="shared" si="0"/>
        <v>0</v>
      </c>
      <c r="H34" s="215"/>
      <c r="J34" s="366"/>
    </row>
    <row r="35" spans="1:10" ht="18" hidden="1" customHeight="1">
      <c r="A35" s="577"/>
      <c r="B35" s="570" t="s">
        <v>819</v>
      </c>
      <c r="C35" s="573"/>
      <c r="D35" s="213" t="s">
        <v>8</v>
      </c>
      <c r="E35" s="347"/>
      <c r="F35" s="347"/>
      <c r="G35" s="223">
        <f t="shared" si="0"/>
        <v>0</v>
      </c>
      <c r="H35" s="215"/>
      <c r="J35" s="366"/>
    </row>
    <row r="36" spans="1:10" ht="18" hidden="1" customHeight="1">
      <c r="A36" s="577"/>
      <c r="B36" s="568" t="s">
        <v>816</v>
      </c>
      <c r="C36" s="570"/>
      <c r="D36" s="213" t="s">
        <v>71</v>
      </c>
      <c r="E36" s="223"/>
      <c r="F36" s="347"/>
      <c r="G36" s="223">
        <f t="shared" si="0"/>
        <v>0</v>
      </c>
      <c r="H36" s="215"/>
      <c r="J36" s="366"/>
    </row>
    <row r="37" spans="1:10" ht="18" customHeight="1">
      <c r="A37" s="577"/>
      <c r="B37" s="568" t="s">
        <v>962</v>
      </c>
      <c r="C37" s="570"/>
      <c r="D37" s="213" t="s">
        <v>71</v>
      </c>
      <c r="E37" s="223">
        <f>'[131]갈전7교 교량 일반수량 집계표'!$H$15</f>
        <v>2245.0569999999998</v>
      </c>
      <c r="F37" s="347"/>
      <c r="G37" s="223">
        <f t="shared" si="0"/>
        <v>2245.0569999999998</v>
      </c>
      <c r="H37" s="215"/>
      <c r="J37" s="366"/>
    </row>
    <row r="38" spans="1:10" ht="18" hidden="1" customHeight="1">
      <c r="A38" s="578"/>
      <c r="B38" s="568" t="s">
        <v>70</v>
      </c>
      <c r="C38" s="570"/>
      <c r="D38" s="213" t="s">
        <v>8</v>
      </c>
      <c r="E38" s="223"/>
      <c r="F38" s="347"/>
      <c r="G38" s="223">
        <f t="shared" si="0"/>
        <v>0</v>
      </c>
      <c r="H38" s="215"/>
      <c r="J38" s="366"/>
    </row>
    <row r="39" spans="1:10" ht="18" customHeight="1">
      <c r="A39" s="211" t="s">
        <v>72</v>
      </c>
      <c r="B39" s="213" t="s">
        <v>938</v>
      </c>
      <c r="C39" s="213" t="s">
        <v>1046</v>
      </c>
      <c r="D39" s="213" t="s">
        <v>8</v>
      </c>
      <c r="E39" s="223">
        <f>'[131]갈전7교 교량 일반수량 집계표'!$H$17</f>
        <v>739.88300000000004</v>
      </c>
      <c r="F39" s="347"/>
      <c r="G39" s="223">
        <f t="shared" si="0"/>
        <v>739.88300000000004</v>
      </c>
      <c r="H39" s="215"/>
      <c r="J39" s="366"/>
    </row>
    <row r="40" spans="1:10" s="333" customFormat="1" ht="18" hidden="1" customHeight="1">
      <c r="A40" s="212"/>
      <c r="B40" s="573" t="s">
        <v>11</v>
      </c>
      <c r="C40" s="573"/>
      <c r="D40" s="213" t="s">
        <v>12</v>
      </c>
      <c r="E40" s="223"/>
      <c r="F40" s="347"/>
      <c r="G40" s="223">
        <f t="shared" si="0"/>
        <v>0</v>
      </c>
      <c r="H40" s="215"/>
      <c r="J40" s="366"/>
    </row>
    <row r="41" spans="1:10" s="334" customFormat="1" ht="18" hidden="1" customHeight="1">
      <c r="A41" s="621" t="s">
        <v>685</v>
      </c>
      <c r="B41" s="623"/>
      <c r="C41" s="213" t="s">
        <v>763</v>
      </c>
      <c r="D41" s="213" t="s">
        <v>109</v>
      </c>
      <c r="E41" s="351"/>
      <c r="F41" s="351"/>
      <c r="G41" s="223">
        <f t="shared" si="0"/>
        <v>0</v>
      </c>
      <c r="H41" s="215"/>
      <c r="J41" s="366"/>
    </row>
    <row r="42" spans="1:10" s="334" customFormat="1" ht="18" hidden="1" customHeight="1">
      <c r="A42" s="626"/>
      <c r="B42" s="627"/>
      <c r="C42" s="213" t="s">
        <v>764</v>
      </c>
      <c r="D42" s="213" t="s">
        <v>109</v>
      </c>
      <c r="E42" s="351"/>
      <c r="F42" s="351"/>
      <c r="G42" s="223">
        <f t="shared" si="0"/>
        <v>0</v>
      </c>
      <c r="H42" s="215"/>
      <c r="J42" s="366"/>
    </row>
    <row r="43" spans="1:10" ht="18" hidden="1" customHeight="1">
      <c r="A43" s="568" t="s">
        <v>686</v>
      </c>
      <c r="B43" s="569"/>
      <c r="C43" s="570"/>
      <c r="D43" s="213" t="s">
        <v>109</v>
      </c>
      <c r="E43" s="351"/>
      <c r="F43" s="351"/>
      <c r="G43" s="223">
        <f t="shared" si="0"/>
        <v>0</v>
      </c>
      <c r="H43" s="215"/>
      <c r="J43" s="366"/>
    </row>
    <row r="44" spans="1:10" ht="18" hidden="1" customHeight="1">
      <c r="A44" s="213" t="s">
        <v>36</v>
      </c>
      <c r="B44" s="218" t="s">
        <v>37</v>
      </c>
      <c r="C44" s="213" t="s">
        <v>400</v>
      </c>
      <c r="D44" s="213" t="s">
        <v>38</v>
      </c>
      <c r="E44" s="347"/>
      <c r="F44" s="347"/>
      <c r="G44" s="223">
        <f t="shared" si="0"/>
        <v>0</v>
      </c>
      <c r="H44" s="215"/>
      <c r="J44" s="366"/>
    </row>
    <row r="45" spans="1:10" ht="18" hidden="1" customHeight="1">
      <c r="A45" s="583" t="s">
        <v>39</v>
      </c>
      <c r="B45" s="218" t="s">
        <v>710</v>
      </c>
      <c r="C45" s="213"/>
      <c r="D45" s="213" t="s">
        <v>38</v>
      </c>
      <c r="E45" s="347"/>
      <c r="F45" s="347"/>
      <c r="G45" s="223">
        <f t="shared" si="0"/>
        <v>0</v>
      </c>
      <c r="H45" s="215"/>
      <c r="J45" s="366"/>
    </row>
    <row r="46" spans="1:10" ht="18" hidden="1" customHeight="1">
      <c r="A46" s="577"/>
      <c r="B46" s="218" t="s">
        <v>699</v>
      </c>
      <c r="C46" s="213" t="s">
        <v>698</v>
      </c>
      <c r="D46" s="213" t="s">
        <v>38</v>
      </c>
      <c r="E46" s="347"/>
      <c r="F46" s="347"/>
      <c r="G46" s="223">
        <f t="shared" si="0"/>
        <v>0</v>
      </c>
      <c r="H46" s="215"/>
      <c r="J46" s="366"/>
    </row>
    <row r="47" spans="1:10" ht="18" hidden="1" customHeight="1">
      <c r="A47" s="577"/>
      <c r="B47" s="213" t="s">
        <v>700</v>
      </c>
      <c r="C47" s="213" t="s">
        <v>655</v>
      </c>
      <c r="D47" s="213" t="s">
        <v>38</v>
      </c>
      <c r="E47" s="347"/>
      <c r="F47" s="347"/>
      <c r="G47" s="223">
        <f t="shared" si="0"/>
        <v>0</v>
      </c>
      <c r="H47" s="215"/>
      <c r="I47" s="11"/>
      <c r="J47" s="366"/>
    </row>
    <row r="48" spans="1:10" ht="18" hidden="1" customHeight="1">
      <c r="A48" s="578"/>
      <c r="B48" s="213" t="s">
        <v>701</v>
      </c>
      <c r="C48" s="213" t="s">
        <v>412</v>
      </c>
      <c r="D48" s="213" t="s">
        <v>38</v>
      </c>
      <c r="E48" s="347"/>
      <c r="F48" s="347"/>
      <c r="G48" s="223">
        <f t="shared" si="0"/>
        <v>0</v>
      </c>
      <c r="H48" s="215"/>
      <c r="J48" s="366"/>
    </row>
    <row r="49" spans="1:10" ht="18" hidden="1" customHeight="1">
      <c r="A49" s="583" t="s">
        <v>104</v>
      </c>
      <c r="B49" s="583" t="s">
        <v>105</v>
      </c>
      <c r="C49" s="218" t="s">
        <v>106</v>
      </c>
      <c r="D49" s="213" t="s">
        <v>107</v>
      </c>
      <c r="E49" s="347"/>
      <c r="F49" s="347"/>
      <c r="G49" s="223">
        <f t="shared" si="0"/>
        <v>0</v>
      </c>
      <c r="H49" s="215"/>
      <c r="J49" s="366"/>
    </row>
    <row r="50" spans="1:10" ht="18" hidden="1" customHeight="1">
      <c r="A50" s="578"/>
      <c r="B50" s="578"/>
      <c r="C50" s="218" t="s">
        <v>248</v>
      </c>
      <c r="D50" s="213" t="s">
        <v>107</v>
      </c>
      <c r="E50" s="347"/>
      <c r="F50" s="347"/>
      <c r="G50" s="223">
        <f t="shared" si="0"/>
        <v>0</v>
      </c>
      <c r="H50" s="215"/>
      <c r="J50" s="366"/>
    </row>
    <row r="51" spans="1:10" ht="18" hidden="1" customHeight="1">
      <c r="A51" s="633" t="s">
        <v>989</v>
      </c>
      <c r="B51" s="634"/>
      <c r="C51" s="220" t="s">
        <v>990</v>
      </c>
      <c r="D51" s="213" t="s">
        <v>38</v>
      </c>
      <c r="E51" s="347"/>
      <c r="F51" s="347"/>
      <c r="G51" s="223">
        <f t="shared" si="0"/>
        <v>0</v>
      </c>
      <c r="H51" s="215"/>
      <c r="J51" s="366"/>
    </row>
    <row r="52" spans="1:10" ht="18" hidden="1" customHeight="1">
      <c r="A52" s="635"/>
      <c r="B52" s="636"/>
      <c r="C52" s="220" t="s">
        <v>766</v>
      </c>
      <c r="D52" s="213" t="s">
        <v>38</v>
      </c>
      <c r="E52" s="347"/>
      <c r="F52" s="221"/>
      <c r="G52" s="223">
        <f t="shared" si="0"/>
        <v>0</v>
      </c>
      <c r="H52" s="215"/>
      <c r="J52" s="366"/>
    </row>
    <row r="53" spans="1:10" ht="18" hidden="1" customHeight="1">
      <c r="A53" s="637"/>
      <c r="B53" s="638"/>
      <c r="C53" s="220" t="s">
        <v>493</v>
      </c>
      <c r="D53" s="213" t="s">
        <v>38</v>
      </c>
      <c r="E53" s="347"/>
      <c r="F53" s="221"/>
      <c r="G53" s="223">
        <f t="shared" si="0"/>
        <v>0</v>
      </c>
      <c r="H53" s="215"/>
      <c r="J53" s="366"/>
    </row>
    <row r="54" spans="1:10" ht="18" hidden="1" customHeight="1">
      <c r="A54" s="576" t="s">
        <v>112</v>
      </c>
      <c r="B54" s="220" t="s">
        <v>36</v>
      </c>
      <c r="C54" s="220" t="s">
        <v>40</v>
      </c>
      <c r="D54" s="213" t="s">
        <v>76</v>
      </c>
      <c r="E54" s="351"/>
      <c r="F54" s="351"/>
      <c r="G54" s="223">
        <f t="shared" si="0"/>
        <v>0</v>
      </c>
      <c r="H54" s="215"/>
      <c r="J54" s="366"/>
    </row>
    <row r="55" spans="1:10" ht="18" hidden="1" customHeight="1">
      <c r="A55" s="584"/>
      <c r="B55" s="216" t="s">
        <v>709</v>
      </c>
      <c r="C55" s="213" t="s">
        <v>40</v>
      </c>
      <c r="D55" s="213" t="s">
        <v>76</v>
      </c>
      <c r="E55" s="351"/>
      <c r="F55" s="351"/>
      <c r="G55" s="223">
        <f t="shared" si="0"/>
        <v>0</v>
      </c>
      <c r="H55" s="215"/>
      <c r="J55" s="366"/>
    </row>
    <row r="56" spans="1:10" ht="18" hidden="1" customHeight="1">
      <c r="A56" s="584"/>
      <c r="B56" s="211" t="s">
        <v>410</v>
      </c>
      <c r="C56" s="213" t="s">
        <v>702</v>
      </c>
      <c r="D56" s="213" t="s">
        <v>76</v>
      </c>
      <c r="E56" s="475"/>
      <c r="F56" s="351"/>
      <c r="G56" s="223">
        <f t="shared" si="0"/>
        <v>0</v>
      </c>
      <c r="H56" s="215"/>
      <c r="J56" s="366"/>
    </row>
    <row r="57" spans="1:10" ht="18" hidden="1" customHeight="1">
      <c r="A57" s="584"/>
      <c r="B57" s="211" t="s">
        <v>410</v>
      </c>
      <c r="C57" s="213" t="s">
        <v>40</v>
      </c>
      <c r="D57" s="213" t="s">
        <v>76</v>
      </c>
      <c r="E57" s="475"/>
      <c r="F57" s="351"/>
      <c r="G57" s="223">
        <f t="shared" si="0"/>
        <v>0</v>
      </c>
      <c r="H57" s="215"/>
      <c r="J57" s="366"/>
    </row>
    <row r="58" spans="1:10" ht="18" hidden="1" customHeight="1">
      <c r="A58" s="584"/>
      <c r="B58" s="211" t="s">
        <v>410</v>
      </c>
      <c r="C58" s="220" t="s">
        <v>411</v>
      </c>
      <c r="D58" s="213" t="s">
        <v>76</v>
      </c>
      <c r="E58" s="351"/>
      <c r="F58" s="351"/>
      <c r="G58" s="223">
        <f t="shared" si="0"/>
        <v>0</v>
      </c>
      <c r="H58" s="215"/>
      <c r="J58" s="366"/>
    </row>
    <row r="59" spans="1:10" s="10" customFormat="1" ht="18" hidden="1" customHeight="1">
      <c r="A59" s="568" t="s">
        <v>74</v>
      </c>
      <c r="B59" s="570"/>
      <c r="C59" s="213" t="s">
        <v>42</v>
      </c>
      <c r="D59" s="213" t="s">
        <v>4</v>
      </c>
      <c r="E59" s="347"/>
      <c r="F59" s="347"/>
      <c r="G59" s="223">
        <f t="shared" si="0"/>
        <v>0</v>
      </c>
      <c r="H59" s="215"/>
      <c r="J59" s="367"/>
    </row>
    <row r="60" spans="1:10" ht="18" hidden="1" customHeight="1">
      <c r="A60" s="568" t="s">
        <v>33</v>
      </c>
      <c r="B60" s="569"/>
      <c r="C60" s="224" t="s">
        <v>404</v>
      </c>
      <c r="D60" s="213" t="s">
        <v>4</v>
      </c>
      <c r="E60" s="223"/>
      <c r="F60" s="347"/>
      <c r="G60" s="223">
        <f t="shared" si="0"/>
        <v>0</v>
      </c>
      <c r="H60" s="223"/>
      <c r="I60" s="153"/>
      <c r="J60" s="368"/>
    </row>
    <row r="61" spans="1:10" ht="18" hidden="1" customHeight="1">
      <c r="A61" s="568" t="s">
        <v>33</v>
      </c>
      <c r="B61" s="569"/>
      <c r="C61" s="224" t="s">
        <v>405</v>
      </c>
      <c r="D61" s="213" t="s">
        <v>4</v>
      </c>
      <c r="E61" s="347"/>
      <c r="F61" s="347"/>
      <c r="G61" s="223">
        <f t="shared" si="0"/>
        <v>0</v>
      </c>
      <c r="H61" s="223"/>
      <c r="I61" s="9"/>
      <c r="J61" s="368"/>
    </row>
    <row r="62" spans="1:10" ht="18" hidden="1" customHeight="1">
      <c r="A62" s="568" t="s">
        <v>406</v>
      </c>
      <c r="B62" s="569"/>
      <c r="C62" s="224"/>
      <c r="D62" s="213" t="s">
        <v>4</v>
      </c>
      <c r="E62" s="347"/>
      <c r="F62" s="347"/>
      <c r="G62" s="223">
        <f t="shared" si="0"/>
        <v>0</v>
      </c>
      <c r="H62" s="223"/>
      <c r="I62" s="9"/>
      <c r="J62" s="368"/>
    </row>
    <row r="63" spans="1:10" ht="18" customHeight="1">
      <c r="A63" s="213" t="s">
        <v>43</v>
      </c>
      <c r="B63" s="220" t="s">
        <v>969</v>
      </c>
      <c r="C63" s="220"/>
      <c r="D63" s="213" t="s">
        <v>8</v>
      </c>
      <c r="E63" s="347">
        <f>'[131]갈전7교 교량 일반수량 집계표'!$H$31</f>
        <v>507.22500000000002</v>
      </c>
      <c r="F63" s="347"/>
      <c r="G63" s="223">
        <f t="shared" si="0"/>
        <v>507.22500000000002</v>
      </c>
      <c r="H63" s="215"/>
      <c r="J63" s="366"/>
    </row>
    <row r="64" spans="1:10" ht="18" customHeight="1">
      <c r="A64" s="211" t="s">
        <v>44</v>
      </c>
      <c r="B64" s="456" t="s">
        <v>1064</v>
      </c>
      <c r="C64" s="213" t="s">
        <v>1065</v>
      </c>
      <c r="D64" s="213" t="s">
        <v>45</v>
      </c>
      <c r="E64" s="347">
        <f>'[131]갈전7교 교량 일반수량 집계표'!$H$29</f>
        <v>507.22500000000002</v>
      </c>
      <c r="F64" s="347"/>
      <c r="G64" s="223">
        <f t="shared" si="0"/>
        <v>507.22500000000002</v>
      </c>
      <c r="H64" s="223"/>
      <c r="J64" s="366"/>
    </row>
    <row r="65" spans="1:10" ht="18" hidden="1" customHeight="1">
      <c r="A65" s="211" t="s">
        <v>1022</v>
      </c>
      <c r="B65" s="457" t="s">
        <v>1030</v>
      </c>
      <c r="C65" s="213" t="s">
        <v>1047</v>
      </c>
      <c r="D65" s="213" t="s">
        <v>45</v>
      </c>
      <c r="E65" s="347"/>
      <c r="F65" s="347"/>
      <c r="G65" s="223">
        <f t="shared" si="0"/>
        <v>0</v>
      </c>
      <c r="H65" s="223"/>
      <c r="J65" s="366"/>
    </row>
    <row r="66" spans="1:10" ht="18" customHeight="1">
      <c r="A66" s="220" t="s">
        <v>77</v>
      </c>
      <c r="B66" s="225" t="s">
        <v>1028</v>
      </c>
      <c r="C66" s="226"/>
      <c r="D66" s="213" t="s">
        <v>8</v>
      </c>
      <c r="E66" s="347">
        <f>'[131]갈전7교 교량 일반수량 집계표'!$H$30</f>
        <v>760.83799999999997</v>
      </c>
      <c r="F66" s="347"/>
      <c r="G66" s="223">
        <f t="shared" si="0"/>
        <v>760.83799999999997</v>
      </c>
      <c r="H66" s="223"/>
      <c r="J66" s="366"/>
    </row>
    <row r="67" spans="1:10" ht="18" hidden="1" customHeight="1">
      <c r="A67" s="220" t="s">
        <v>80</v>
      </c>
      <c r="B67" s="220"/>
      <c r="C67" s="220"/>
      <c r="D67" s="213" t="s">
        <v>8</v>
      </c>
      <c r="E67" s="223"/>
      <c r="F67" s="347"/>
      <c r="G67" s="223">
        <f t="shared" ref="G67:G130" si="1">SUM(E67:F67)</f>
        <v>0</v>
      </c>
      <c r="H67" s="215"/>
      <c r="J67" s="366"/>
    </row>
    <row r="68" spans="1:10" ht="18" hidden="1" customHeight="1">
      <c r="A68" s="213" t="s">
        <v>46</v>
      </c>
      <c r="B68" s="220" t="s">
        <v>47</v>
      </c>
      <c r="C68" s="220"/>
      <c r="D68" s="213" t="s">
        <v>8</v>
      </c>
      <c r="E68" s="347"/>
      <c r="F68" s="347"/>
      <c r="G68" s="223">
        <f t="shared" si="1"/>
        <v>0</v>
      </c>
      <c r="H68" s="215"/>
      <c r="J68" s="366"/>
    </row>
    <row r="69" spans="1:10" ht="18" customHeight="1">
      <c r="A69" s="225" t="s">
        <v>81</v>
      </c>
      <c r="B69" s="227"/>
      <c r="C69" s="226"/>
      <c r="D69" s="213" t="s">
        <v>8</v>
      </c>
      <c r="E69" s="347">
        <f>'[131]갈전7교 교량 일반수량 집계표'!$H$20</f>
        <v>507.22500000000002</v>
      </c>
      <c r="F69" s="347"/>
      <c r="G69" s="223">
        <f t="shared" si="1"/>
        <v>507.22500000000002</v>
      </c>
      <c r="H69" s="215"/>
      <c r="J69" s="366"/>
    </row>
    <row r="70" spans="1:10" s="10" customFormat="1" ht="18" customHeight="1">
      <c r="A70" s="225" t="s">
        <v>402</v>
      </c>
      <c r="B70" s="227"/>
      <c r="C70" s="226"/>
      <c r="D70" s="213" t="s">
        <v>8</v>
      </c>
      <c r="E70" s="223">
        <f>'[131]갈전7교 교량 일반수량 집계표'!$H$21</f>
        <v>359.113</v>
      </c>
      <c r="F70" s="347"/>
      <c r="G70" s="223">
        <f t="shared" si="1"/>
        <v>359.113</v>
      </c>
      <c r="H70" s="215"/>
      <c r="J70" s="367"/>
    </row>
    <row r="71" spans="1:10" ht="18" customHeight="1">
      <c r="A71" s="573" t="s">
        <v>24</v>
      </c>
      <c r="B71" s="573" t="s">
        <v>25</v>
      </c>
      <c r="C71" s="213" t="s">
        <v>26</v>
      </c>
      <c r="D71" s="213" t="s">
        <v>8</v>
      </c>
      <c r="E71" s="223">
        <f>'[131]갈전7교 교량 일반수량 집계표'!$H$35</f>
        <v>32.064999999999998</v>
      </c>
      <c r="F71" s="347"/>
      <c r="G71" s="223">
        <f t="shared" si="1"/>
        <v>32.064999999999998</v>
      </c>
      <c r="H71" s="215"/>
      <c r="J71" s="366"/>
    </row>
    <row r="72" spans="1:10" ht="18" hidden="1" customHeight="1">
      <c r="A72" s="573"/>
      <c r="B72" s="573"/>
      <c r="C72" s="213" t="s">
        <v>27</v>
      </c>
      <c r="D72" s="213" t="s">
        <v>8</v>
      </c>
      <c r="E72" s="215"/>
      <c r="F72" s="347"/>
      <c r="G72" s="223">
        <f t="shared" si="1"/>
        <v>0</v>
      </c>
      <c r="H72" s="215"/>
      <c r="J72" s="366"/>
    </row>
    <row r="73" spans="1:10" ht="18" hidden="1" customHeight="1">
      <c r="A73" s="573"/>
      <c r="B73" s="573"/>
      <c r="C73" s="213" t="s">
        <v>28</v>
      </c>
      <c r="D73" s="213" t="s">
        <v>8</v>
      </c>
      <c r="E73" s="347"/>
      <c r="F73" s="347"/>
      <c r="G73" s="223">
        <f t="shared" si="1"/>
        <v>0</v>
      </c>
      <c r="H73" s="215"/>
      <c r="J73" s="366"/>
    </row>
    <row r="74" spans="1:10" ht="18" hidden="1" customHeight="1">
      <c r="A74" s="211" t="s">
        <v>78</v>
      </c>
      <c r="B74" s="568" t="s">
        <v>747</v>
      </c>
      <c r="C74" s="570"/>
      <c r="D74" s="213" t="s">
        <v>79</v>
      </c>
      <c r="E74" s="475"/>
      <c r="F74" s="351"/>
      <c r="G74" s="223">
        <f t="shared" si="1"/>
        <v>0</v>
      </c>
      <c r="H74" s="215" t="s">
        <v>1060</v>
      </c>
      <c r="J74" s="366"/>
    </row>
    <row r="75" spans="1:10" ht="18" customHeight="1">
      <c r="A75" s="576" t="s">
        <v>934</v>
      </c>
      <c r="B75" s="568" t="s">
        <v>1153</v>
      </c>
      <c r="C75" s="570"/>
      <c r="D75" s="213" t="s">
        <v>76</v>
      </c>
      <c r="E75" s="351">
        <f>'[131]갈전7교 교량 일반수량 집계표'!$H$36</f>
        <v>4</v>
      </c>
      <c r="F75" s="351"/>
      <c r="G75" s="223">
        <f t="shared" si="1"/>
        <v>4</v>
      </c>
      <c r="H75" s="215"/>
      <c r="J75" s="366"/>
    </row>
    <row r="76" spans="1:10" ht="18" customHeight="1">
      <c r="A76" s="584"/>
      <c r="B76" s="568" t="s">
        <v>1152</v>
      </c>
      <c r="C76" s="570"/>
      <c r="D76" s="213" t="s">
        <v>38</v>
      </c>
      <c r="E76" s="347">
        <f>'[131]갈전7교 교량 일반수량 집계표'!$H$37</f>
        <v>4</v>
      </c>
      <c r="F76" s="347"/>
      <c r="G76" s="223">
        <f t="shared" si="1"/>
        <v>4</v>
      </c>
      <c r="H76" s="215"/>
      <c r="J76" s="366"/>
    </row>
    <row r="77" spans="1:10" ht="18" customHeight="1">
      <c r="A77" s="625"/>
      <c r="B77" s="568" t="s">
        <v>1139</v>
      </c>
      <c r="C77" s="570"/>
      <c r="D77" s="213" t="s">
        <v>38</v>
      </c>
      <c r="E77" s="221">
        <f>'[131]갈전7교 교량 일반수량 집계표'!$H$38</f>
        <v>86</v>
      </c>
      <c r="F77" s="221"/>
      <c r="G77" s="223">
        <f t="shared" si="1"/>
        <v>86</v>
      </c>
      <c r="H77" s="215"/>
      <c r="J77" s="366"/>
    </row>
    <row r="78" spans="1:10" ht="18" hidden="1" customHeight="1">
      <c r="A78" s="576" t="s">
        <v>78</v>
      </c>
      <c r="B78" s="583" t="s">
        <v>48</v>
      </c>
      <c r="C78" s="220" t="s">
        <v>57</v>
      </c>
      <c r="D78" s="213" t="s">
        <v>41</v>
      </c>
      <c r="E78" s="475"/>
      <c r="F78" s="351"/>
      <c r="G78" s="223">
        <f t="shared" si="1"/>
        <v>0</v>
      </c>
      <c r="H78" s="215"/>
      <c r="J78" s="366"/>
    </row>
    <row r="79" spans="1:10" ht="18" hidden="1" customHeight="1">
      <c r="A79" s="584"/>
      <c r="B79" s="577"/>
      <c r="C79" s="220" t="s">
        <v>58</v>
      </c>
      <c r="D79" s="213" t="s">
        <v>41</v>
      </c>
      <c r="E79" s="475"/>
      <c r="F79" s="351"/>
      <c r="G79" s="223">
        <f t="shared" si="1"/>
        <v>0</v>
      </c>
      <c r="H79" s="215"/>
      <c r="J79" s="366"/>
    </row>
    <row r="80" spans="1:10" ht="18" hidden="1" customHeight="1">
      <c r="A80" s="584"/>
      <c r="B80" s="578"/>
      <c r="C80" s="220" t="s">
        <v>59</v>
      </c>
      <c r="D80" s="213" t="s">
        <v>41</v>
      </c>
      <c r="E80" s="475"/>
      <c r="F80" s="351"/>
      <c r="G80" s="223">
        <f t="shared" si="1"/>
        <v>0</v>
      </c>
      <c r="H80" s="215"/>
      <c r="J80" s="366"/>
    </row>
    <row r="81" spans="1:10" ht="18" hidden="1" customHeight="1">
      <c r="A81" s="625"/>
      <c r="B81" s="220" t="s">
        <v>49</v>
      </c>
      <c r="C81" s="220"/>
      <c r="D81" s="213" t="s">
        <v>41</v>
      </c>
      <c r="E81" s="475"/>
      <c r="F81" s="351"/>
      <c r="G81" s="223">
        <f t="shared" si="1"/>
        <v>0</v>
      </c>
      <c r="H81" s="215"/>
      <c r="J81" s="366"/>
    </row>
    <row r="82" spans="1:10" s="333" customFormat="1" ht="17.100000000000001" hidden="1" customHeight="1">
      <c r="A82" s="220" t="s">
        <v>413</v>
      </c>
      <c r="B82" s="220"/>
      <c r="C82" s="220"/>
      <c r="D82" s="213" t="s">
        <v>414</v>
      </c>
      <c r="E82" s="475"/>
      <c r="F82" s="351"/>
      <c r="G82" s="223">
        <f t="shared" si="1"/>
        <v>0</v>
      </c>
      <c r="H82" s="215"/>
      <c r="J82" s="369"/>
    </row>
    <row r="83" spans="1:10" s="334" customFormat="1" ht="17.100000000000001" hidden="1" customHeight="1">
      <c r="A83" s="220" t="s">
        <v>50</v>
      </c>
      <c r="B83" s="220"/>
      <c r="C83" s="220"/>
      <c r="D83" s="213" t="s">
        <v>38</v>
      </c>
      <c r="E83" s="347"/>
      <c r="F83" s="351"/>
      <c r="G83" s="223">
        <f t="shared" si="1"/>
        <v>0</v>
      </c>
      <c r="H83" s="215"/>
      <c r="J83" s="370"/>
    </row>
    <row r="84" spans="1:10" ht="17.100000000000001" customHeight="1">
      <c r="A84" s="568" t="s">
        <v>51</v>
      </c>
      <c r="B84" s="570"/>
      <c r="C84" s="220" t="s">
        <v>486</v>
      </c>
      <c r="D84" s="213" t="s">
        <v>76</v>
      </c>
      <c r="E84" s="351">
        <f>'[131]갈전7교 교량 일반수량 집계표'!$H$32</f>
        <v>1</v>
      </c>
      <c r="F84" s="351"/>
      <c r="G84" s="223">
        <f t="shared" si="1"/>
        <v>1</v>
      </c>
      <c r="H84" s="215"/>
      <c r="J84" s="366"/>
    </row>
    <row r="85" spans="1:10" ht="17.100000000000001" customHeight="1">
      <c r="A85" s="568" t="s">
        <v>52</v>
      </c>
      <c r="B85" s="570"/>
      <c r="C85" s="220" t="s">
        <v>486</v>
      </c>
      <c r="D85" s="213" t="s">
        <v>76</v>
      </c>
      <c r="E85" s="351">
        <f>'[131]갈전7교 교량 일반수량 집계표'!$H$33</f>
        <v>1</v>
      </c>
      <c r="F85" s="351"/>
      <c r="G85" s="223">
        <f t="shared" si="1"/>
        <v>1</v>
      </c>
      <c r="H85" s="215"/>
      <c r="J85" s="366"/>
    </row>
    <row r="86" spans="1:10" ht="17.100000000000001" customHeight="1">
      <c r="A86" s="568" t="s">
        <v>53</v>
      </c>
      <c r="B86" s="570"/>
      <c r="C86" s="220" t="s">
        <v>486</v>
      </c>
      <c r="D86" s="213" t="s">
        <v>76</v>
      </c>
      <c r="E86" s="351">
        <f>'[131]갈전7교 교량 일반수량 집계표'!$H$34</f>
        <v>1</v>
      </c>
      <c r="F86" s="351"/>
      <c r="G86" s="223">
        <f t="shared" si="1"/>
        <v>1</v>
      </c>
      <c r="H86" s="215"/>
      <c r="J86" s="366"/>
    </row>
    <row r="87" spans="1:10" ht="17.100000000000001" hidden="1" customHeight="1">
      <c r="A87" s="228" t="s">
        <v>54</v>
      </c>
      <c r="B87" s="220"/>
      <c r="C87" s="220"/>
      <c r="D87" s="213" t="s">
        <v>76</v>
      </c>
      <c r="E87" s="219"/>
      <c r="F87" s="351"/>
      <c r="G87" s="223">
        <f t="shared" si="1"/>
        <v>0</v>
      </c>
      <c r="H87" s="215"/>
      <c r="J87" s="366"/>
    </row>
    <row r="88" spans="1:10" ht="17.100000000000001" customHeight="1">
      <c r="A88" s="220" t="s">
        <v>55</v>
      </c>
      <c r="B88" s="220"/>
      <c r="C88" s="220" t="s">
        <v>1151</v>
      </c>
      <c r="D88" s="213" t="s">
        <v>38</v>
      </c>
      <c r="E88" s="347">
        <f>'[131]갈전7교 교량 일반수량 집계표'!$H$39</f>
        <v>32.58</v>
      </c>
      <c r="F88" s="347"/>
      <c r="G88" s="223">
        <f t="shared" si="1"/>
        <v>32.58</v>
      </c>
      <c r="H88" s="215"/>
      <c r="J88" s="366"/>
    </row>
    <row r="89" spans="1:10" ht="17.100000000000001" hidden="1" customHeight="1">
      <c r="A89" s="621" t="s">
        <v>56</v>
      </c>
      <c r="B89" s="623"/>
      <c r="C89" s="220" t="s">
        <v>728</v>
      </c>
      <c r="D89" s="213" t="s">
        <v>8</v>
      </c>
      <c r="E89" s="347"/>
      <c r="F89" s="347"/>
      <c r="G89" s="223">
        <f t="shared" si="1"/>
        <v>0</v>
      </c>
      <c r="H89" s="215"/>
      <c r="J89" s="366"/>
    </row>
    <row r="90" spans="1:10" ht="18" customHeight="1">
      <c r="A90" s="583" t="s">
        <v>22</v>
      </c>
      <c r="B90" s="570" t="s">
        <v>23</v>
      </c>
      <c r="C90" s="573"/>
      <c r="D90" s="213" t="s">
        <v>8</v>
      </c>
      <c r="E90" s="347">
        <f>'[131]갈전7교 교량 일반수량 집계표'!$H$19</f>
        <v>1111.9380000000001</v>
      </c>
      <c r="F90" s="347"/>
      <c r="G90" s="223">
        <f t="shared" si="1"/>
        <v>1111.9380000000001</v>
      </c>
      <c r="H90" s="215"/>
      <c r="J90" s="366"/>
    </row>
    <row r="91" spans="1:10" ht="18" customHeight="1">
      <c r="A91" s="628"/>
      <c r="B91" s="570" t="s">
        <v>75</v>
      </c>
      <c r="C91" s="573"/>
      <c r="D91" s="213" t="s">
        <v>8</v>
      </c>
      <c r="E91" s="347">
        <f>'[131]갈전7교 교량 일반수량 집계표'!$H$18</f>
        <v>1142.713</v>
      </c>
      <c r="F91" s="347"/>
      <c r="G91" s="223">
        <f t="shared" si="1"/>
        <v>1142.713</v>
      </c>
      <c r="H91" s="215"/>
      <c r="J91" s="366"/>
    </row>
    <row r="92" spans="1:10" s="10" customFormat="1" ht="18" hidden="1" customHeight="1">
      <c r="A92" s="229" t="s">
        <v>73</v>
      </c>
      <c r="B92" s="230"/>
      <c r="C92" s="231"/>
      <c r="D92" s="232" t="s">
        <v>438</v>
      </c>
      <c r="E92" s="223"/>
      <c r="F92" s="347"/>
      <c r="G92" s="223">
        <f t="shared" si="1"/>
        <v>0</v>
      </c>
      <c r="H92" s="215"/>
      <c r="J92" s="367"/>
    </row>
    <row r="93" spans="1:10" ht="18" customHeight="1">
      <c r="A93" s="621" t="s">
        <v>1029</v>
      </c>
      <c r="B93" s="622"/>
      <c r="C93" s="623"/>
      <c r="D93" s="213" t="s">
        <v>38</v>
      </c>
      <c r="E93" s="347">
        <f>'[131]갈전7교 교량 일반수량 집계표'!$H$40</f>
        <v>35.704000000000001</v>
      </c>
      <c r="F93" s="347"/>
      <c r="G93" s="223">
        <f t="shared" si="1"/>
        <v>35.704000000000001</v>
      </c>
      <c r="H93" s="215"/>
      <c r="J93" s="366"/>
    </row>
    <row r="94" spans="1:10" ht="18" hidden="1" customHeight="1">
      <c r="A94" s="568" t="s">
        <v>1023</v>
      </c>
      <c r="B94" s="569"/>
      <c r="C94" s="570"/>
      <c r="D94" s="213" t="s">
        <v>38</v>
      </c>
      <c r="E94" s="347"/>
      <c r="F94" s="347"/>
      <c r="G94" s="223">
        <f t="shared" si="1"/>
        <v>0</v>
      </c>
      <c r="H94" s="215"/>
      <c r="J94" s="366"/>
    </row>
    <row r="95" spans="1:10" s="333" customFormat="1" ht="18" customHeight="1">
      <c r="A95" s="621" t="s">
        <v>29</v>
      </c>
      <c r="B95" s="622"/>
      <c r="C95" s="623"/>
      <c r="D95" s="213" t="s">
        <v>8</v>
      </c>
      <c r="E95" s="223">
        <f>'[131]갈전7교 교량 일반수량 집계표'!$H$22</f>
        <v>672.47400000000005</v>
      </c>
      <c r="F95" s="347"/>
      <c r="G95" s="223">
        <f t="shared" si="1"/>
        <v>672.47400000000005</v>
      </c>
      <c r="H95" s="223"/>
      <c r="I95" s="464"/>
      <c r="J95" s="465"/>
    </row>
    <row r="96" spans="1:10" ht="18" customHeight="1">
      <c r="A96" s="583" t="s">
        <v>30</v>
      </c>
      <c r="B96" s="568" t="s">
        <v>979</v>
      </c>
      <c r="C96" s="570"/>
      <c r="D96" s="213" t="s">
        <v>76</v>
      </c>
      <c r="E96" s="223"/>
      <c r="F96" s="351"/>
      <c r="G96" s="219">
        <f t="shared" si="1"/>
        <v>0</v>
      </c>
      <c r="H96" s="223"/>
      <c r="I96" s="153"/>
      <c r="J96" s="368"/>
    </row>
    <row r="97" spans="1:11" ht="18" customHeight="1">
      <c r="A97" s="578"/>
      <c r="B97" s="573" t="s">
        <v>31</v>
      </c>
      <c r="C97" s="573"/>
      <c r="D97" s="213" t="s">
        <v>76</v>
      </c>
      <c r="E97" s="219">
        <f>'[131]갈전7교 교량 일반수량 집계표'!$H$16</f>
        <v>200</v>
      </c>
      <c r="F97" s="351"/>
      <c r="G97" s="219">
        <f t="shared" si="1"/>
        <v>200</v>
      </c>
      <c r="H97" s="223"/>
      <c r="I97" s="153"/>
      <c r="J97" s="368"/>
    </row>
    <row r="98" spans="1:11" s="10" customFormat="1" ht="18" hidden="1" customHeight="1">
      <c r="A98" s="583" t="s">
        <v>32</v>
      </c>
      <c r="B98" s="576" t="s">
        <v>767</v>
      </c>
      <c r="C98" s="213" t="s">
        <v>768</v>
      </c>
      <c r="D98" s="213" t="s">
        <v>13</v>
      </c>
      <c r="E98" s="219"/>
      <c r="F98" s="351"/>
      <c r="G98" s="219">
        <f t="shared" si="1"/>
        <v>0</v>
      </c>
      <c r="H98" s="219"/>
      <c r="I98" s="8"/>
      <c r="J98" s="371"/>
    </row>
    <row r="99" spans="1:11" s="10" customFormat="1" ht="18" hidden="1" customHeight="1">
      <c r="A99" s="577"/>
      <c r="B99" s="584"/>
      <c r="C99" s="213" t="s">
        <v>769</v>
      </c>
      <c r="D99" s="213" t="s">
        <v>13</v>
      </c>
      <c r="E99" s="219"/>
      <c r="F99" s="351"/>
      <c r="G99" s="219">
        <f t="shared" si="1"/>
        <v>0</v>
      </c>
      <c r="H99" s="219"/>
      <c r="I99" s="8"/>
      <c r="J99" s="371"/>
    </row>
    <row r="100" spans="1:11" s="10" customFormat="1" ht="18" hidden="1" customHeight="1">
      <c r="A100" s="577"/>
      <c r="B100" s="625"/>
      <c r="C100" s="213" t="s">
        <v>771</v>
      </c>
      <c r="D100" s="213" t="s">
        <v>13</v>
      </c>
      <c r="E100" s="219"/>
      <c r="F100" s="351"/>
      <c r="G100" s="219">
        <f t="shared" si="1"/>
        <v>0</v>
      </c>
      <c r="H100" s="219"/>
      <c r="I100" s="8"/>
      <c r="J100" s="371"/>
    </row>
    <row r="101" spans="1:11" s="10" customFormat="1" ht="18" hidden="1" customHeight="1">
      <c r="A101" s="577"/>
      <c r="B101" s="576" t="s">
        <v>725</v>
      </c>
      <c r="C101" s="213" t="s">
        <v>770</v>
      </c>
      <c r="D101" s="213" t="s">
        <v>13</v>
      </c>
      <c r="E101" s="219"/>
      <c r="F101" s="351"/>
      <c r="G101" s="219">
        <f t="shared" si="1"/>
        <v>0</v>
      </c>
      <c r="H101" s="219"/>
      <c r="I101" s="8"/>
      <c r="J101" s="371"/>
    </row>
    <row r="102" spans="1:11" s="10" customFormat="1" ht="18" hidden="1" customHeight="1">
      <c r="A102" s="577"/>
      <c r="B102" s="584"/>
      <c r="C102" s="213" t="s">
        <v>772</v>
      </c>
      <c r="D102" s="213" t="s">
        <v>13</v>
      </c>
      <c r="E102" s="219"/>
      <c r="F102" s="351"/>
      <c r="G102" s="219">
        <f t="shared" si="1"/>
        <v>0</v>
      </c>
      <c r="H102" s="219"/>
      <c r="I102" s="8"/>
      <c r="J102" s="371"/>
    </row>
    <row r="103" spans="1:11" s="10" customFormat="1" ht="18" hidden="1" customHeight="1">
      <c r="A103" s="578"/>
      <c r="B103" s="625"/>
      <c r="C103" s="213" t="s">
        <v>773</v>
      </c>
      <c r="D103" s="213" t="s">
        <v>13</v>
      </c>
      <c r="E103" s="219"/>
      <c r="F103" s="351"/>
      <c r="G103" s="219">
        <f t="shared" si="1"/>
        <v>0</v>
      </c>
      <c r="H103" s="219"/>
      <c r="I103" s="8"/>
      <c r="J103" s="371"/>
    </row>
    <row r="104" spans="1:11" ht="18" hidden="1" customHeight="1">
      <c r="A104" s="225" t="s">
        <v>415</v>
      </c>
      <c r="B104" s="226"/>
      <c r="C104" s="226"/>
      <c r="D104" s="213" t="s">
        <v>79</v>
      </c>
      <c r="E104" s="219"/>
      <c r="F104" s="351"/>
      <c r="G104" s="219">
        <f t="shared" si="1"/>
        <v>0</v>
      </c>
      <c r="H104" s="219"/>
      <c r="I104" s="154"/>
      <c r="J104" s="368"/>
    </row>
    <row r="105" spans="1:11" ht="18" hidden="1" customHeight="1">
      <c r="A105" s="225" t="s">
        <v>716</v>
      </c>
      <c r="B105" s="226"/>
      <c r="C105" s="226"/>
      <c r="D105" s="213" t="s">
        <v>76</v>
      </c>
      <c r="E105" s="219"/>
      <c r="F105" s="351"/>
      <c r="G105" s="219">
        <f t="shared" si="1"/>
        <v>0</v>
      </c>
      <c r="H105" s="219"/>
      <c r="I105" s="154"/>
      <c r="J105" s="368"/>
    </row>
    <row r="106" spans="1:11" ht="18" hidden="1" customHeight="1">
      <c r="A106" s="568" t="s">
        <v>485</v>
      </c>
      <c r="B106" s="570"/>
      <c r="C106" s="233"/>
      <c r="D106" s="213" t="s">
        <v>84</v>
      </c>
      <c r="E106" s="219"/>
      <c r="F106" s="350"/>
      <c r="G106" s="223">
        <f t="shared" si="1"/>
        <v>0</v>
      </c>
      <c r="H106" s="219"/>
      <c r="I106" s="154"/>
      <c r="J106" s="368"/>
    </row>
    <row r="107" spans="1:11" ht="18" hidden="1" customHeight="1">
      <c r="A107" s="621" t="s">
        <v>249</v>
      </c>
      <c r="B107" s="623"/>
      <c r="C107" s="217" t="s">
        <v>715</v>
      </c>
      <c r="D107" s="213" t="s">
        <v>76</v>
      </c>
      <c r="E107" s="219"/>
      <c r="F107" s="351"/>
      <c r="G107" s="223">
        <f t="shared" si="1"/>
        <v>0</v>
      </c>
      <c r="H107" s="219"/>
      <c r="I107" s="154"/>
      <c r="J107" s="368"/>
    </row>
    <row r="108" spans="1:11" ht="18" hidden="1" customHeight="1">
      <c r="A108" s="626"/>
      <c r="B108" s="627"/>
      <c r="C108" s="217" t="s">
        <v>714</v>
      </c>
      <c r="D108" s="213" t="s">
        <v>76</v>
      </c>
      <c r="E108" s="219"/>
      <c r="F108" s="351"/>
      <c r="G108" s="223">
        <f t="shared" si="1"/>
        <v>0</v>
      </c>
      <c r="H108" s="219"/>
      <c r="I108" s="154"/>
      <c r="J108" s="368"/>
    </row>
    <row r="109" spans="1:11" ht="18" hidden="1" customHeight="1">
      <c r="A109" s="573" t="s">
        <v>484</v>
      </c>
      <c r="B109" s="573"/>
      <c r="C109" s="573"/>
      <c r="D109" s="213" t="s">
        <v>8</v>
      </c>
      <c r="E109" s="347"/>
      <c r="F109" s="347"/>
      <c r="G109" s="223">
        <f t="shared" si="1"/>
        <v>0</v>
      </c>
      <c r="H109" s="219"/>
      <c r="I109" s="154"/>
      <c r="J109" s="368"/>
    </row>
    <row r="110" spans="1:11" ht="18" customHeight="1">
      <c r="A110" s="573" t="s">
        <v>17</v>
      </c>
      <c r="B110" s="573" t="s">
        <v>18</v>
      </c>
      <c r="C110" s="573"/>
      <c r="D110" s="213" t="s">
        <v>438</v>
      </c>
      <c r="E110" s="347"/>
      <c r="F110" s="223"/>
      <c r="G110" s="223">
        <f t="shared" si="1"/>
        <v>0</v>
      </c>
      <c r="H110" s="215"/>
      <c r="I110" s="7"/>
      <c r="J110" s="372"/>
    </row>
    <row r="111" spans="1:11" ht="18" customHeight="1">
      <c r="A111" s="573"/>
      <c r="B111" s="573" t="s">
        <v>1051</v>
      </c>
      <c r="C111" s="573"/>
      <c r="D111" s="213" t="s">
        <v>438</v>
      </c>
      <c r="E111" s="347">
        <f>'[131]갈전7교 교량 일반수량 집계표'!$H$23</f>
        <v>23.267000000000003</v>
      </c>
      <c r="F111" s="223"/>
      <c r="G111" s="223">
        <f t="shared" si="1"/>
        <v>23.267000000000003</v>
      </c>
      <c r="H111" s="215"/>
      <c r="J111" s="366"/>
    </row>
    <row r="112" spans="1:11" ht="18" customHeight="1">
      <c r="A112" s="573"/>
      <c r="B112" s="573" t="s">
        <v>1052</v>
      </c>
      <c r="C112" s="573"/>
      <c r="D112" s="213" t="s">
        <v>438</v>
      </c>
      <c r="E112" s="347">
        <f>'[131]갈전7교 교량 일반수량 집계표'!$H$25</f>
        <v>145.93700000000001</v>
      </c>
      <c r="F112" s="223"/>
      <c r="G112" s="223">
        <f t="shared" si="1"/>
        <v>145.93700000000001</v>
      </c>
      <c r="H112" s="215"/>
      <c r="J112" s="366"/>
      <c r="K112" s="373"/>
    </row>
    <row r="113" spans="1:10" ht="18" customHeight="1">
      <c r="A113" s="573"/>
      <c r="B113" s="573" t="s">
        <v>1053</v>
      </c>
      <c r="C113" s="573"/>
      <c r="D113" s="213" t="s">
        <v>438</v>
      </c>
      <c r="E113" s="215"/>
      <c r="F113" s="223"/>
      <c r="G113" s="223">
        <f t="shared" si="1"/>
        <v>0</v>
      </c>
      <c r="H113" s="215"/>
      <c r="J113" s="366"/>
    </row>
    <row r="114" spans="1:10" ht="18" hidden="1" customHeight="1">
      <c r="A114" s="583" t="s">
        <v>507</v>
      </c>
      <c r="B114" s="568" t="s">
        <v>508</v>
      </c>
      <c r="C114" s="570"/>
      <c r="D114" s="213" t="s">
        <v>214</v>
      </c>
      <c r="E114" s="223"/>
      <c r="F114" s="215"/>
      <c r="G114" s="223">
        <f t="shared" si="1"/>
        <v>0</v>
      </c>
      <c r="H114" s="215"/>
      <c r="J114" s="366"/>
    </row>
    <row r="115" spans="1:10" s="333" customFormat="1" ht="18" hidden="1" customHeight="1">
      <c r="A115" s="577"/>
      <c r="B115" s="568" t="s">
        <v>509</v>
      </c>
      <c r="C115" s="570"/>
      <c r="D115" s="213" t="s">
        <v>214</v>
      </c>
      <c r="E115" s="215"/>
      <c r="F115" s="347"/>
      <c r="G115" s="223">
        <f t="shared" si="1"/>
        <v>0</v>
      </c>
      <c r="H115" s="215"/>
      <c r="J115" s="366"/>
    </row>
    <row r="116" spans="1:10" s="155" customFormat="1" ht="18" hidden="1" customHeight="1">
      <c r="A116" s="621" t="s">
        <v>911</v>
      </c>
      <c r="B116" s="622"/>
      <c r="C116" s="623"/>
      <c r="D116" s="346" t="s">
        <v>8</v>
      </c>
      <c r="E116" s="215"/>
      <c r="F116" s="347"/>
      <c r="G116" s="223">
        <f t="shared" si="1"/>
        <v>0</v>
      </c>
      <c r="H116" s="215"/>
      <c r="J116" s="366"/>
    </row>
    <row r="117" spans="1:10" s="155" customFormat="1" ht="18" hidden="1" customHeight="1">
      <c r="A117" s="648" t="s">
        <v>912</v>
      </c>
      <c r="B117" s="649"/>
      <c r="C117" s="650"/>
      <c r="D117" s="346" t="s">
        <v>12</v>
      </c>
      <c r="E117" s="215"/>
      <c r="F117" s="347"/>
      <c r="G117" s="223">
        <f t="shared" si="1"/>
        <v>0</v>
      </c>
      <c r="H117" s="215"/>
      <c r="J117" s="366"/>
    </row>
    <row r="118" spans="1:10" s="155" customFormat="1" ht="18" hidden="1" customHeight="1">
      <c r="A118" s="346" t="s">
        <v>907</v>
      </c>
      <c r="B118" s="572" t="s">
        <v>908</v>
      </c>
      <c r="C118" s="572"/>
      <c r="D118" s="346" t="s">
        <v>12</v>
      </c>
      <c r="E118" s="215"/>
      <c r="F118" s="347"/>
      <c r="G118" s="223">
        <f t="shared" si="1"/>
        <v>0</v>
      </c>
      <c r="H118" s="215"/>
      <c r="J118" s="366"/>
    </row>
    <row r="119" spans="1:10" s="155" customFormat="1" ht="18" hidden="1" customHeight="1">
      <c r="A119" s="611" t="s">
        <v>909</v>
      </c>
      <c r="B119" s="612"/>
      <c r="C119" s="613"/>
      <c r="D119" s="346" t="s">
        <v>8</v>
      </c>
      <c r="E119" s="215"/>
      <c r="F119" s="347"/>
      <c r="G119" s="223">
        <f t="shared" si="1"/>
        <v>0</v>
      </c>
      <c r="H119" s="215"/>
      <c r="J119" s="366"/>
    </row>
    <row r="120" spans="1:10" s="155" customFormat="1" ht="18" hidden="1" customHeight="1">
      <c r="A120" s="572" t="s">
        <v>910</v>
      </c>
      <c r="B120" s="572"/>
      <c r="C120" s="572"/>
      <c r="D120" s="346" t="s">
        <v>8</v>
      </c>
      <c r="E120" s="215"/>
      <c r="F120" s="347"/>
      <c r="G120" s="223">
        <f t="shared" si="1"/>
        <v>0</v>
      </c>
      <c r="H120" s="215"/>
      <c r="J120" s="366"/>
    </row>
    <row r="121" spans="1:10" s="155" customFormat="1" ht="18" hidden="1" customHeight="1">
      <c r="A121" s="572" t="s">
        <v>980</v>
      </c>
      <c r="B121" s="572"/>
      <c r="C121" s="572"/>
      <c r="D121" s="346" t="s">
        <v>12</v>
      </c>
      <c r="E121" s="215"/>
      <c r="F121" s="347"/>
      <c r="G121" s="223">
        <f t="shared" si="1"/>
        <v>0</v>
      </c>
      <c r="H121" s="215"/>
      <c r="J121" s="366"/>
    </row>
    <row r="122" spans="1:10" ht="18" customHeight="1">
      <c r="A122" s="568" t="s">
        <v>776</v>
      </c>
      <c r="B122" s="569"/>
      <c r="C122" s="570"/>
      <c r="D122" s="213" t="s">
        <v>8</v>
      </c>
      <c r="E122" s="223">
        <f>'[131]갈전7교 교량 일반수량 집계표'!$H$28</f>
        <v>507.22500000000002</v>
      </c>
      <c r="F122" s="347"/>
      <c r="G122" s="223">
        <f t="shared" si="1"/>
        <v>507.22500000000002</v>
      </c>
      <c r="H122" s="223"/>
      <c r="I122" s="153"/>
      <c r="J122" s="366"/>
    </row>
    <row r="123" spans="1:10" ht="18" hidden="1" customHeight="1">
      <c r="A123" s="568" t="s">
        <v>777</v>
      </c>
      <c r="B123" s="570"/>
      <c r="C123" s="217" t="s">
        <v>902</v>
      </c>
      <c r="D123" s="213" t="s">
        <v>76</v>
      </c>
      <c r="E123" s="219"/>
      <c r="F123" s="351"/>
      <c r="G123" s="219">
        <f t="shared" si="1"/>
        <v>0</v>
      </c>
      <c r="H123" s="223"/>
      <c r="I123" s="153"/>
      <c r="J123" s="366"/>
    </row>
    <row r="124" spans="1:10" ht="18" hidden="1" customHeight="1">
      <c r="A124" s="568" t="s">
        <v>644</v>
      </c>
      <c r="B124" s="570"/>
      <c r="C124" s="217" t="s">
        <v>981</v>
      </c>
      <c r="D124" s="382" t="s">
        <v>12</v>
      </c>
      <c r="E124" s="219"/>
      <c r="F124" s="347"/>
      <c r="G124" s="223">
        <f t="shared" si="1"/>
        <v>0</v>
      </c>
      <c r="H124" s="223"/>
      <c r="I124" s="153"/>
      <c r="J124" s="366"/>
    </row>
    <row r="125" spans="1:10" ht="18" hidden="1" customHeight="1">
      <c r="A125" s="568" t="s">
        <v>812</v>
      </c>
      <c r="B125" s="569"/>
      <c r="C125" s="570"/>
      <c r="D125" s="213" t="s">
        <v>813</v>
      </c>
      <c r="E125" s="351"/>
      <c r="F125" s="351"/>
      <c r="G125" s="219">
        <f t="shared" si="1"/>
        <v>0</v>
      </c>
      <c r="H125" s="223"/>
      <c r="I125" s="153"/>
      <c r="J125" s="366"/>
    </row>
    <row r="126" spans="1:10" s="334" customFormat="1" ht="18" customHeight="1">
      <c r="A126" s="641" t="s">
        <v>779</v>
      </c>
      <c r="B126" s="647" t="s">
        <v>780</v>
      </c>
      <c r="C126" s="354" t="s">
        <v>459</v>
      </c>
      <c r="D126" s="335" t="s">
        <v>208</v>
      </c>
      <c r="E126" s="353">
        <f>'[131]갈전7교 교량 일반수량 집계표'!$H$49</f>
        <v>2</v>
      </c>
      <c r="F126" s="351"/>
      <c r="G126" s="219">
        <f t="shared" si="1"/>
        <v>2</v>
      </c>
      <c r="H126" s="215"/>
      <c r="J126" s="370"/>
    </row>
    <row r="127" spans="1:10" ht="18" customHeight="1">
      <c r="A127" s="641"/>
      <c r="B127" s="615"/>
      <c r="C127" s="490" t="s">
        <v>1140</v>
      </c>
      <c r="D127" s="340" t="s">
        <v>208</v>
      </c>
      <c r="E127" s="353">
        <f>'[131]갈전7교 교량 일반수량 집계표'!$H$50</f>
        <v>6</v>
      </c>
      <c r="F127" s="351"/>
      <c r="G127" s="219">
        <f t="shared" si="1"/>
        <v>6</v>
      </c>
      <c r="H127" s="215"/>
      <c r="J127" s="366"/>
    </row>
    <row r="128" spans="1:10" ht="18" customHeight="1">
      <c r="A128" s="641"/>
      <c r="B128" s="615"/>
      <c r="C128" s="490" t="s">
        <v>1141</v>
      </c>
      <c r="D128" s="340" t="s">
        <v>208</v>
      </c>
      <c r="E128" s="353">
        <f>'[131]갈전7교 교량 일반수량 집계표'!$H$51</f>
        <v>6</v>
      </c>
      <c r="F128" s="351"/>
      <c r="G128" s="219">
        <f t="shared" si="1"/>
        <v>6</v>
      </c>
      <c r="H128" s="215"/>
      <c r="J128" s="366"/>
    </row>
    <row r="129" spans="1:10" ht="18" customHeight="1">
      <c r="A129" s="641"/>
      <c r="B129" s="615"/>
      <c r="C129" s="490" t="s">
        <v>1142</v>
      </c>
      <c r="D129" s="340" t="s">
        <v>208</v>
      </c>
      <c r="E129" s="353">
        <f>'[131]갈전7교 교량 일반수량 집계표'!$H$52</f>
        <v>6</v>
      </c>
      <c r="F129" s="351"/>
      <c r="G129" s="219">
        <f t="shared" si="1"/>
        <v>6</v>
      </c>
      <c r="H129" s="215"/>
      <c r="J129" s="366"/>
    </row>
    <row r="130" spans="1:10" ht="18" hidden="1" customHeight="1">
      <c r="A130" s="641"/>
      <c r="B130" s="615"/>
      <c r="C130" s="340" t="s">
        <v>748</v>
      </c>
      <c r="D130" s="340" t="s">
        <v>208</v>
      </c>
      <c r="E130" s="353"/>
      <c r="F130" s="351"/>
      <c r="G130" s="219">
        <f t="shared" si="1"/>
        <v>0</v>
      </c>
      <c r="H130" s="215"/>
      <c r="J130" s="366"/>
    </row>
    <row r="131" spans="1:10" ht="18" customHeight="1">
      <c r="A131" s="641"/>
      <c r="B131" s="615"/>
      <c r="C131" s="328" t="s">
        <v>678</v>
      </c>
      <c r="D131" s="328" t="s">
        <v>12</v>
      </c>
      <c r="E131" s="353">
        <f>'[131]갈전7교 교량 일반수량 집계표'!$H$41</f>
        <v>5021.5200000000004</v>
      </c>
      <c r="F131" s="347"/>
      <c r="G131" s="223">
        <f t="shared" ref="G131:G194" si="2">SUM(E131:F131)</f>
        <v>5021.5200000000004</v>
      </c>
      <c r="H131" s="215"/>
      <c r="J131" s="366"/>
    </row>
    <row r="132" spans="1:10" ht="18" customHeight="1">
      <c r="A132" s="641"/>
      <c r="B132" s="615"/>
      <c r="C132" s="328" t="s">
        <v>679</v>
      </c>
      <c r="D132" s="328" t="s">
        <v>12</v>
      </c>
      <c r="E132" s="353">
        <f>'[131]갈전7교 교량 일반수량 집계표'!$H$42</f>
        <v>4582.3</v>
      </c>
      <c r="F132" s="347"/>
      <c r="G132" s="223">
        <f t="shared" si="2"/>
        <v>4582.3</v>
      </c>
      <c r="H132" s="215"/>
      <c r="J132" s="366"/>
    </row>
    <row r="133" spans="1:10" ht="18" customHeight="1">
      <c r="A133" s="641"/>
      <c r="B133" s="615"/>
      <c r="C133" s="328" t="s">
        <v>680</v>
      </c>
      <c r="D133" s="328" t="s">
        <v>12</v>
      </c>
      <c r="E133" s="353">
        <f>'[131]갈전7교 교량 일반수량 집계표'!$H$43</f>
        <v>101.7</v>
      </c>
      <c r="F133" s="347"/>
      <c r="G133" s="223">
        <f t="shared" si="2"/>
        <v>101.7</v>
      </c>
      <c r="H133" s="215"/>
      <c r="J133" s="366"/>
    </row>
    <row r="134" spans="1:10" ht="18" customHeight="1">
      <c r="A134" s="641"/>
      <c r="B134" s="615"/>
      <c r="C134" s="328" t="s">
        <v>681</v>
      </c>
      <c r="D134" s="328" t="s">
        <v>12</v>
      </c>
      <c r="E134" s="353">
        <f>'[131]갈전7교 교량 일반수량 집계표'!$H$44</f>
        <v>56.9</v>
      </c>
      <c r="F134" s="347"/>
      <c r="G134" s="223">
        <f t="shared" si="2"/>
        <v>56.9</v>
      </c>
      <c r="H134" s="215"/>
      <c r="J134" s="366"/>
    </row>
    <row r="135" spans="1:10" ht="18" customHeight="1">
      <c r="A135" s="641"/>
      <c r="B135" s="615"/>
      <c r="C135" s="328" t="s">
        <v>730</v>
      </c>
      <c r="D135" s="328" t="s">
        <v>4</v>
      </c>
      <c r="E135" s="353">
        <f>'[131]갈전7교 교량 일반수량 집계표'!$H$46</f>
        <v>126.474</v>
      </c>
      <c r="F135" s="347"/>
      <c r="G135" s="223">
        <f t="shared" si="2"/>
        <v>126.474</v>
      </c>
      <c r="H135" s="215"/>
      <c r="J135" s="366"/>
    </row>
    <row r="136" spans="1:10" ht="18" customHeight="1">
      <c r="A136" s="641"/>
      <c r="B136" s="615"/>
      <c r="C136" s="328" t="s">
        <v>731</v>
      </c>
      <c r="D136" s="328" t="s">
        <v>382</v>
      </c>
      <c r="E136" s="353">
        <f>'[131]갈전7교 교량 일반수량 집계표'!$H$45</f>
        <v>838.35900000000004</v>
      </c>
      <c r="F136" s="347"/>
      <c r="G136" s="223">
        <f t="shared" si="2"/>
        <v>838.35900000000004</v>
      </c>
      <c r="H136" s="215"/>
      <c r="J136" s="366"/>
    </row>
    <row r="137" spans="1:10" ht="18" customHeight="1">
      <c r="A137" s="641"/>
      <c r="B137" s="615"/>
      <c r="C137" s="328" t="s">
        <v>682</v>
      </c>
      <c r="D137" s="328" t="s">
        <v>207</v>
      </c>
      <c r="E137" s="353">
        <f>'[131]갈전7교 교량 일반수량 집계표'!$H$47</f>
        <v>208</v>
      </c>
      <c r="F137" s="347"/>
      <c r="G137" s="223">
        <f t="shared" si="2"/>
        <v>208</v>
      </c>
      <c r="H137" s="215"/>
      <c r="J137" s="366"/>
    </row>
    <row r="138" spans="1:10" ht="18" customHeight="1">
      <c r="A138" s="641"/>
      <c r="B138" s="615"/>
      <c r="C138" s="340" t="s">
        <v>1055</v>
      </c>
      <c r="D138" s="340" t="s">
        <v>207</v>
      </c>
      <c r="E138" s="353">
        <f>'[131]갈전7교 교량 일반수량 집계표'!$H$48</f>
        <v>208</v>
      </c>
      <c r="F138" s="347"/>
      <c r="G138" s="223">
        <f t="shared" si="2"/>
        <v>208</v>
      </c>
      <c r="H138" s="215"/>
      <c r="J138" s="366"/>
    </row>
    <row r="139" spans="1:10" ht="18" customHeight="1">
      <c r="A139" s="641"/>
      <c r="B139" s="615"/>
      <c r="C139" s="340" t="s">
        <v>1054</v>
      </c>
      <c r="D139" s="340" t="s">
        <v>38</v>
      </c>
      <c r="E139" s="353">
        <f>'[131]갈전7교 교량 일반수량 집계표'!$H$55</f>
        <v>331.95299999999997</v>
      </c>
      <c r="F139" s="347"/>
      <c r="G139" s="223">
        <f t="shared" si="2"/>
        <v>331.95299999999997</v>
      </c>
      <c r="H139" s="215"/>
      <c r="J139" s="366"/>
    </row>
    <row r="140" spans="1:10" ht="18" hidden="1" customHeight="1">
      <c r="A140" s="641"/>
      <c r="B140" s="614" t="s">
        <v>713</v>
      </c>
      <c r="C140" s="340" t="s">
        <v>677</v>
      </c>
      <c r="D140" s="340" t="s">
        <v>208</v>
      </c>
      <c r="E140" s="353"/>
      <c r="F140" s="351"/>
      <c r="G140" s="223">
        <f t="shared" si="2"/>
        <v>0</v>
      </c>
      <c r="H140" s="215"/>
      <c r="J140" s="366"/>
    </row>
    <row r="141" spans="1:10" ht="18" hidden="1" customHeight="1">
      <c r="A141" s="641"/>
      <c r="B141" s="615"/>
      <c r="C141" s="328" t="s">
        <v>678</v>
      </c>
      <c r="D141" s="328" t="s">
        <v>12</v>
      </c>
      <c r="E141" s="353"/>
      <c r="F141" s="347"/>
      <c r="G141" s="223">
        <f t="shared" si="2"/>
        <v>0</v>
      </c>
      <c r="H141" s="215"/>
      <c r="J141" s="366"/>
    </row>
    <row r="142" spans="1:10" ht="18" hidden="1" customHeight="1">
      <c r="A142" s="641"/>
      <c r="B142" s="615"/>
      <c r="C142" s="328" t="s">
        <v>679</v>
      </c>
      <c r="D142" s="328" t="s">
        <v>12</v>
      </c>
      <c r="E142" s="353"/>
      <c r="F142" s="347"/>
      <c r="G142" s="223">
        <f t="shared" si="2"/>
        <v>0</v>
      </c>
      <c r="H142" s="215"/>
      <c r="J142" s="366"/>
    </row>
    <row r="143" spans="1:10" ht="18" hidden="1" customHeight="1">
      <c r="A143" s="641"/>
      <c r="B143" s="615"/>
      <c r="C143" s="337" t="s">
        <v>680</v>
      </c>
      <c r="D143" s="337" t="s">
        <v>12</v>
      </c>
      <c r="E143" s="353"/>
      <c r="F143" s="347"/>
      <c r="G143" s="223">
        <f t="shared" si="2"/>
        <v>0</v>
      </c>
      <c r="H143" s="215"/>
      <c r="J143" s="366"/>
    </row>
    <row r="144" spans="1:10" ht="18" hidden="1" customHeight="1">
      <c r="A144" s="641"/>
      <c r="B144" s="615"/>
      <c r="C144" s="337" t="s">
        <v>732</v>
      </c>
      <c r="D144" s="337" t="s">
        <v>12</v>
      </c>
      <c r="E144" s="353"/>
      <c r="F144" s="347"/>
      <c r="G144" s="223">
        <f t="shared" si="2"/>
        <v>0</v>
      </c>
      <c r="H144" s="215"/>
      <c r="J144" s="366"/>
    </row>
    <row r="145" spans="1:10" ht="18" hidden="1" customHeight="1">
      <c r="A145" s="641"/>
      <c r="B145" s="615"/>
      <c r="C145" s="337" t="s">
        <v>730</v>
      </c>
      <c r="D145" s="328" t="s">
        <v>12</v>
      </c>
      <c r="E145" s="353"/>
      <c r="F145" s="347"/>
      <c r="G145" s="223">
        <f t="shared" si="2"/>
        <v>0</v>
      </c>
      <c r="H145" s="215"/>
      <c r="J145" s="366"/>
    </row>
    <row r="146" spans="1:10" ht="18" hidden="1" customHeight="1">
      <c r="A146" s="641"/>
      <c r="B146" s="615"/>
      <c r="C146" s="337" t="s">
        <v>731</v>
      </c>
      <c r="D146" s="328" t="s">
        <v>4</v>
      </c>
      <c r="E146" s="353"/>
      <c r="F146" s="347"/>
      <c r="G146" s="223">
        <f t="shared" si="2"/>
        <v>0</v>
      </c>
      <c r="H146" s="215"/>
      <c r="J146" s="366"/>
    </row>
    <row r="147" spans="1:10" ht="18" hidden="1" customHeight="1">
      <c r="A147" s="642"/>
      <c r="B147" s="616"/>
      <c r="C147" s="328" t="s">
        <v>682</v>
      </c>
      <c r="D147" s="328" t="s">
        <v>207</v>
      </c>
      <c r="E147" s="353"/>
      <c r="F147" s="351"/>
      <c r="G147" s="223">
        <f t="shared" si="2"/>
        <v>0</v>
      </c>
      <c r="H147" s="215"/>
      <c r="J147" s="366"/>
    </row>
    <row r="148" spans="1:10" ht="18" hidden="1" customHeight="1">
      <c r="A148" s="605" t="s">
        <v>455</v>
      </c>
      <c r="B148" s="624" t="s">
        <v>456</v>
      </c>
      <c r="C148" s="324" t="s">
        <v>457</v>
      </c>
      <c r="D148" s="327" t="s">
        <v>12</v>
      </c>
      <c r="E148" s="215"/>
      <c r="F148" s="221"/>
      <c r="G148" s="223">
        <f t="shared" si="2"/>
        <v>0</v>
      </c>
      <c r="H148" s="222"/>
      <c r="J148" s="366"/>
    </row>
    <row r="149" spans="1:10" ht="18" hidden="1" customHeight="1">
      <c r="A149" s="605"/>
      <c r="B149" s="610"/>
      <c r="C149" s="234" t="s">
        <v>458</v>
      </c>
      <c r="D149" s="235" t="s">
        <v>207</v>
      </c>
      <c r="E149" s="215"/>
      <c r="F149" s="221"/>
      <c r="G149" s="223">
        <f t="shared" si="2"/>
        <v>0</v>
      </c>
      <c r="H149" s="222"/>
      <c r="J149" s="366"/>
    </row>
    <row r="150" spans="1:10" ht="18" hidden="1" customHeight="1">
      <c r="A150" s="605"/>
      <c r="B150" s="639" t="s">
        <v>472</v>
      </c>
      <c r="C150" s="234" t="s">
        <v>459</v>
      </c>
      <c r="D150" s="235" t="s">
        <v>208</v>
      </c>
      <c r="E150" s="215"/>
      <c r="F150" s="221"/>
      <c r="G150" s="223">
        <f t="shared" si="2"/>
        <v>0</v>
      </c>
      <c r="H150" s="222"/>
      <c r="J150" s="366"/>
    </row>
    <row r="151" spans="1:10" ht="18" hidden="1" customHeight="1">
      <c r="A151" s="605"/>
      <c r="B151" s="640"/>
      <c r="C151" s="234" t="s">
        <v>460</v>
      </c>
      <c r="D151" s="235" t="s">
        <v>208</v>
      </c>
      <c r="E151" s="215"/>
      <c r="F151" s="221"/>
      <c r="G151" s="223">
        <f t="shared" si="2"/>
        <v>0</v>
      </c>
      <c r="H151" s="222"/>
      <c r="J151" s="366"/>
    </row>
    <row r="152" spans="1:10" ht="18" hidden="1" customHeight="1">
      <c r="A152" s="605"/>
      <c r="B152" s="624"/>
      <c r="C152" s="234" t="s">
        <v>617</v>
      </c>
      <c r="D152" s="235" t="s">
        <v>208</v>
      </c>
      <c r="E152" s="215"/>
      <c r="F152" s="352"/>
      <c r="G152" s="223">
        <f t="shared" si="2"/>
        <v>0</v>
      </c>
      <c r="H152" s="222"/>
      <c r="J152" s="366"/>
    </row>
    <row r="153" spans="1:10" ht="18" hidden="1" customHeight="1">
      <c r="A153" s="605"/>
      <c r="B153" s="236" t="s">
        <v>473</v>
      </c>
      <c r="C153" s="234" t="s">
        <v>407</v>
      </c>
      <c r="D153" s="213" t="s">
        <v>38</v>
      </c>
      <c r="E153" s="215"/>
      <c r="F153" s="351"/>
      <c r="G153" s="223">
        <f t="shared" si="2"/>
        <v>0</v>
      </c>
      <c r="H153" s="222"/>
      <c r="J153" s="366"/>
    </row>
    <row r="154" spans="1:10" ht="18" hidden="1" customHeight="1">
      <c r="A154" s="605"/>
      <c r="B154" s="609" t="s">
        <v>474</v>
      </c>
      <c r="C154" s="234" t="s">
        <v>461</v>
      </c>
      <c r="D154" s="213" t="s">
        <v>38</v>
      </c>
      <c r="E154" s="215"/>
      <c r="F154" s="351"/>
      <c r="G154" s="223">
        <f t="shared" si="2"/>
        <v>0</v>
      </c>
      <c r="H154" s="222"/>
      <c r="J154" s="366"/>
    </row>
    <row r="155" spans="1:10" ht="18" hidden="1" customHeight="1">
      <c r="A155" s="605"/>
      <c r="B155" s="610"/>
      <c r="C155" s="234" t="s">
        <v>462</v>
      </c>
      <c r="D155" s="213" t="s">
        <v>38</v>
      </c>
      <c r="E155" s="215"/>
      <c r="F155" s="221"/>
      <c r="G155" s="223">
        <f t="shared" si="2"/>
        <v>0</v>
      </c>
      <c r="H155" s="222"/>
      <c r="J155" s="366"/>
    </row>
    <row r="156" spans="1:10" ht="18" hidden="1" customHeight="1">
      <c r="A156" s="605"/>
      <c r="B156" s="603" t="s">
        <v>475</v>
      </c>
      <c r="C156" s="234" t="s">
        <v>463</v>
      </c>
      <c r="D156" s="235" t="s">
        <v>207</v>
      </c>
      <c r="E156" s="215"/>
      <c r="F156" s="221"/>
      <c r="G156" s="223">
        <f t="shared" si="2"/>
        <v>0</v>
      </c>
      <c r="H156" s="222"/>
      <c r="J156" s="366"/>
    </row>
    <row r="157" spans="1:10" ht="18" hidden="1" customHeight="1">
      <c r="A157" s="606"/>
      <c r="B157" s="610"/>
      <c r="C157" s="234" t="s">
        <v>464</v>
      </c>
      <c r="D157" s="235" t="s">
        <v>207</v>
      </c>
      <c r="E157" s="215"/>
      <c r="F157" s="221"/>
      <c r="G157" s="223">
        <f t="shared" si="2"/>
        <v>0</v>
      </c>
      <c r="H157" s="222"/>
      <c r="J157" s="366"/>
    </row>
    <row r="158" spans="1:10" ht="18" hidden="1" customHeight="1">
      <c r="A158" s="604" t="s">
        <v>455</v>
      </c>
      <c r="B158" s="601" t="s">
        <v>495</v>
      </c>
      <c r="C158" s="602"/>
      <c r="D158" s="213" t="s">
        <v>496</v>
      </c>
      <c r="E158" s="215"/>
      <c r="F158" s="221"/>
      <c r="G158" s="223">
        <f t="shared" si="2"/>
        <v>0</v>
      </c>
      <c r="H158" s="222"/>
      <c r="J158" s="366"/>
    </row>
    <row r="159" spans="1:10" ht="18" hidden="1" customHeight="1">
      <c r="A159" s="605"/>
      <c r="B159" s="603" t="s">
        <v>465</v>
      </c>
      <c r="C159" s="603"/>
      <c r="D159" s="235" t="s">
        <v>207</v>
      </c>
      <c r="E159" s="215"/>
      <c r="F159" s="221"/>
      <c r="G159" s="223">
        <f t="shared" si="2"/>
        <v>0</v>
      </c>
      <c r="H159" s="222"/>
      <c r="J159" s="366"/>
    </row>
    <row r="160" spans="1:10" ht="18" hidden="1" customHeight="1">
      <c r="A160" s="605"/>
      <c r="B160" s="603" t="s">
        <v>466</v>
      </c>
      <c r="C160" s="603"/>
      <c r="D160" s="235" t="s">
        <v>207</v>
      </c>
      <c r="E160" s="215"/>
      <c r="F160" s="221"/>
      <c r="G160" s="223">
        <f t="shared" si="2"/>
        <v>0</v>
      </c>
      <c r="H160" s="222"/>
      <c r="J160" s="366"/>
    </row>
    <row r="161" spans="1:10" ht="18" hidden="1" customHeight="1">
      <c r="A161" s="605"/>
      <c r="B161" s="234" t="s">
        <v>17</v>
      </c>
      <c r="C161" s="234" t="s">
        <v>20</v>
      </c>
      <c r="D161" s="235" t="s">
        <v>111</v>
      </c>
      <c r="E161" s="215"/>
      <c r="F161" s="221"/>
      <c r="G161" s="223">
        <f t="shared" si="2"/>
        <v>0</v>
      </c>
      <c r="H161" s="222"/>
      <c r="J161" s="366"/>
    </row>
    <row r="162" spans="1:10" ht="18" hidden="1" customHeight="1">
      <c r="A162" s="605"/>
      <c r="B162" s="603" t="s">
        <v>467</v>
      </c>
      <c r="C162" s="603"/>
      <c r="D162" s="235" t="s">
        <v>4</v>
      </c>
      <c r="E162" s="215"/>
      <c r="F162" s="221"/>
      <c r="G162" s="223">
        <f t="shared" si="2"/>
        <v>0</v>
      </c>
      <c r="H162" s="222"/>
      <c r="J162" s="366"/>
    </row>
    <row r="163" spans="1:10" ht="18" hidden="1" customHeight="1">
      <c r="A163" s="605"/>
      <c r="B163" s="603" t="s">
        <v>468</v>
      </c>
      <c r="C163" s="603"/>
      <c r="D163" s="235" t="s">
        <v>4</v>
      </c>
      <c r="E163" s="215"/>
      <c r="F163" s="221"/>
      <c r="G163" s="223">
        <f t="shared" si="2"/>
        <v>0</v>
      </c>
      <c r="H163" s="222"/>
      <c r="J163" s="366"/>
    </row>
    <row r="164" spans="1:10" ht="18" hidden="1" customHeight="1">
      <c r="A164" s="605"/>
      <c r="B164" s="603" t="s">
        <v>469</v>
      </c>
      <c r="C164" s="603"/>
      <c r="D164" s="235" t="s">
        <v>207</v>
      </c>
      <c r="E164" s="215"/>
      <c r="F164" s="221"/>
      <c r="G164" s="223">
        <f t="shared" si="2"/>
        <v>0</v>
      </c>
      <c r="H164" s="222"/>
      <c r="J164" s="366"/>
    </row>
    <row r="165" spans="1:10" ht="18" hidden="1" customHeight="1">
      <c r="A165" s="605"/>
      <c r="B165" s="234" t="s">
        <v>470</v>
      </c>
      <c r="C165" s="234" t="s">
        <v>565</v>
      </c>
      <c r="D165" s="235" t="s">
        <v>4</v>
      </c>
      <c r="E165" s="215"/>
      <c r="F165" s="221"/>
      <c r="G165" s="223">
        <f t="shared" si="2"/>
        <v>0</v>
      </c>
      <c r="H165" s="222"/>
      <c r="J165" s="366"/>
    </row>
    <row r="166" spans="1:10" ht="18" hidden="1" customHeight="1">
      <c r="A166" s="605"/>
      <c r="B166" s="603" t="s">
        <v>471</v>
      </c>
      <c r="C166" s="603"/>
      <c r="D166" s="235" t="s">
        <v>207</v>
      </c>
      <c r="E166" s="215"/>
      <c r="F166" s="221"/>
      <c r="G166" s="223">
        <f t="shared" si="2"/>
        <v>0</v>
      </c>
      <c r="H166" s="222"/>
      <c r="J166" s="366"/>
    </row>
    <row r="167" spans="1:10" ht="18" hidden="1" customHeight="1">
      <c r="A167" s="606"/>
      <c r="B167" s="603" t="s">
        <v>497</v>
      </c>
      <c r="C167" s="603"/>
      <c r="D167" s="235" t="s">
        <v>207</v>
      </c>
      <c r="E167" s="215"/>
      <c r="F167" s="221"/>
      <c r="G167" s="223">
        <f t="shared" si="2"/>
        <v>0</v>
      </c>
      <c r="H167" s="249"/>
      <c r="J167" s="366"/>
    </row>
    <row r="168" spans="1:10" ht="18" customHeight="1">
      <c r="A168" s="591" t="s">
        <v>665</v>
      </c>
      <c r="B168" s="639" t="s">
        <v>1068</v>
      </c>
      <c r="C168" s="480" t="s">
        <v>1150</v>
      </c>
      <c r="D168" s="481" t="s">
        <v>76</v>
      </c>
      <c r="E168" s="215">
        <f>'[134]0-1)가시설 수량 집계표'!$H$67</f>
        <v>8</v>
      </c>
      <c r="F168" s="221"/>
      <c r="G168" s="223">
        <f t="shared" si="2"/>
        <v>8</v>
      </c>
      <c r="H168" s="249"/>
      <c r="J168" s="366"/>
    </row>
    <row r="169" spans="1:10" ht="18" customHeight="1">
      <c r="A169" s="592"/>
      <c r="B169" s="640"/>
      <c r="C169" s="482" t="s">
        <v>924</v>
      </c>
      <c r="D169" s="483" t="s">
        <v>76</v>
      </c>
      <c r="E169" s="215">
        <f>'[134]0-1)가시설 수량 집계표'!$H$68</f>
        <v>8</v>
      </c>
      <c r="F169" s="221"/>
      <c r="G169" s="223">
        <f t="shared" si="2"/>
        <v>8</v>
      </c>
      <c r="H169" s="249"/>
      <c r="J169" s="366"/>
    </row>
    <row r="170" spans="1:10" ht="18" customHeight="1">
      <c r="A170" s="592"/>
      <c r="B170" s="624"/>
      <c r="C170" s="482" t="s">
        <v>926</v>
      </c>
      <c r="D170" s="483" t="s">
        <v>76</v>
      </c>
      <c r="E170" s="215">
        <f>'[134]0-1)가시설 수량 집계표'!$H$69</f>
        <v>28</v>
      </c>
      <c r="F170" s="221"/>
      <c r="G170" s="223">
        <f t="shared" si="2"/>
        <v>28</v>
      </c>
      <c r="H170" s="249"/>
      <c r="J170" s="366"/>
    </row>
    <row r="171" spans="1:10" ht="18" hidden="1" customHeight="1">
      <c r="A171" s="592"/>
      <c r="B171" s="598" t="s">
        <v>839</v>
      </c>
      <c r="C171" s="393" t="s">
        <v>820</v>
      </c>
      <c r="D171" s="394" t="s">
        <v>12</v>
      </c>
      <c r="E171" s="215"/>
      <c r="F171" s="221"/>
      <c r="G171" s="223">
        <f t="shared" si="2"/>
        <v>0</v>
      </c>
      <c r="H171" s="249"/>
      <c r="J171" s="366"/>
    </row>
    <row r="172" spans="1:10" ht="18" hidden="1" customHeight="1">
      <c r="A172" s="592"/>
      <c r="B172" s="599"/>
      <c r="C172" s="393" t="s">
        <v>821</v>
      </c>
      <c r="D172" s="394" t="s">
        <v>12</v>
      </c>
      <c r="E172" s="215">
        <v>0</v>
      </c>
      <c r="F172" s="221"/>
      <c r="G172" s="223">
        <f t="shared" si="2"/>
        <v>0</v>
      </c>
      <c r="H172" s="249"/>
      <c r="J172" s="366"/>
    </row>
    <row r="173" spans="1:10" ht="18" hidden="1" customHeight="1">
      <c r="A173" s="592"/>
      <c r="B173" s="600"/>
      <c r="C173" s="393" t="s">
        <v>822</v>
      </c>
      <c r="D173" s="394" t="s">
        <v>12</v>
      </c>
      <c r="E173" s="215">
        <v>0</v>
      </c>
      <c r="F173" s="221"/>
      <c r="G173" s="223">
        <f t="shared" si="2"/>
        <v>0</v>
      </c>
      <c r="H173" s="249"/>
      <c r="J173" s="366"/>
    </row>
    <row r="174" spans="1:10" ht="18" hidden="1" customHeight="1">
      <c r="A174" s="592"/>
      <c r="B174" s="458" t="s">
        <v>1038</v>
      </c>
      <c r="C174" s="393"/>
      <c r="D174" s="394" t="s">
        <v>108</v>
      </c>
      <c r="E174" s="215"/>
      <c r="F174" s="221"/>
      <c r="G174" s="223">
        <f t="shared" si="2"/>
        <v>0</v>
      </c>
      <c r="H174" s="249"/>
      <c r="J174" s="366"/>
    </row>
    <row r="175" spans="1:10" ht="18" hidden="1" customHeight="1">
      <c r="A175" s="592"/>
      <c r="B175" s="607" t="s">
        <v>824</v>
      </c>
      <c r="C175" s="608"/>
      <c r="D175" s="394" t="s">
        <v>12</v>
      </c>
      <c r="E175" s="215"/>
      <c r="F175" s="221"/>
      <c r="G175" s="223">
        <f t="shared" si="2"/>
        <v>0</v>
      </c>
      <c r="H175" s="249"/>
      <c r="J175" s="366"/>
    </row>
    <row r="176" spans="1:10" ht="18" hidden="1" customHeight="1">
      <c r="A176" s="592"/>
      <c r="B176" s="395" t="s">
        <v>825</v>
      </c>
      <c r="C176" s="643" t="s">
        <v>823</v>
      </c>
      <c r="D176" s="394" t="s">
        <v>914</v>
      </c>
      <c r="E176" s="215"/>
      <c r="F176" s="221"/>
      <c r="G176" s="223">
        <f t="shared" si="2"/>
        <v>0</v>
      </c>
      <c r="H176" s="249"/>
      <c r="J176" s="366"/>
    </row>
    <row r="177" spans="1:10" ht="18" hidden="1" customHeight="1">
      <c r="A177" s="592"/>
      <c r="B177" s="395" t="s">
        <v>828</v>
      </c>
      <c r="C177" s="644"/>
      <c r="D177" s="394" t="s">
        <v>12</v>
      </c>
      <c r="E177" s="215"/>
      <c r="F177" s="221"/>
      <c r="G177" s="223">
        <f t="shared" si="2"/>
        <v>0</v>
      </c>
      <c r="H177" s="249"/>
      <c r="J177" s="366"/>
    </row>
    <row r="178" spans="1:10" ht="18" hidden="1" customHeight="1">
      <c r="A178" s="592"/>
      <c r="B178" s="395" t="s">
        <v>826</v>
      </c>
      <c r="C178" s="644"/>
      <c r="D178" s="394" t="s">
        <v>915</v>
      </c>
      <c r="E178" s="215"/>
      <c r="F178" s="221"/>
      <c r="G178" s="223">
        <f t="shared" si="2"/>
        <v>0</v>
      </c>
      <c r="H178" s="249"/>
      <c r="J178" s="366"/>
    </row>
    <row r="179" spans="1:10" ht="18" hidden="1" customHeight="1">
      <c r="A179" s="592"/>
      <c r="B179" s="395" t="s">
        <v>827</v>
      </c>
      <c r="C179" s="644"/>
      <c r="D179" s="394" t="s">
        <v>12</v>
      </c>
      <c r="E179" s="215"/>
      <c r="F179" s="221"/>
      <c r="G179" s="223">
        <f t="shared" si="2"/>
        <v>0</v>
      </c>
      <c r="H179" s="249"/>
      <c r="J179" s="366"/>
    </row>
    <row r="180" spans="1:10" ht="18" customHeight="1">
      <c r="A180" s="592"/>
      <c r="B180" s="485" t="s">
        <v>1072</v>
      </c>
      <c r="C180" s="486" t="s">
        <v>407</v>
      </c>
      <c r="D180" s="340" t="s">
        <v>12</v>
      </c>
      <c r="E180" s="215">
        <f>'[134]0-1)가시설 수량 집계표'!$H$19</f>
        <v>6888.84</v>
      </c>
      <c r="F180" s="221"/>
      <c r="G180" s="223">
        <f t="shared" si="2"/>
        <v>6888.84</v>
      </c>
      <c r="H180" s="249"/>
      <c r="J180" s="366"/>
    </row>
    <row r="181" spans="1:10" ht="18" customHeight="1">
      <c r="A181" s="592"/>
      <c r="B181" s="607" t="s">
        <v>419</v>
      </c>
      <c r="C181" s="608"/>
      <c r="D181" s="340" t="s">
        <v>12</v>
      </c>
      <c r="E181" s="215">
        <f>'[134]0-1)가시설 수량 집계표'!$H$21</f>
        <v>6888.84</v>
      </c>
      <c r="F181" s="221"/>
      <c r="G181" s="223">
        <f t="shared" si="2"/>
        <v>6888.84</v>
      </c>
      <c r="H181" s="249"/>
      <c r="J181" s="366"/>
    </row>
    <row r="182" spans="1:10" ht="18" customHeight="1">
      <c r="A182" s="592"/>
      <c r="B182" s="607" t="s">
        <v>674</v>
      </c>
      <c r="C182" s="608"/>
      <c r="D182" s="394" t="s">
        <v>421</v>
      </c>
      <c r="E182" s="215">
        <f>'[134]0-1)가시설 수량 집계표'!$H$22</f>
        <v>2</v>
      </c>
      <c r="F182" s="221"/>
      <c r="G182" s="223">
        <f t="shared" si="2"/>
        <v>2</v>
      </c>
      <c r="H182" s="249"/>
      <c r="J182" s="366"/>
    </row>
    <row r="183" spans="1:10" ht="18" customHeight="1">
      <c r="A183" s="592"/>
      <c r="B183" s="485" t="s">
        <v>1073</v>
      </c>
      <c r="C183" s="486" t="s">
        <v>1077</v>
      </c>
      <c r="D183" s="394" t="s">
        <v>109</v>
      </c>
      <c r="E183" s="215">
        <f>'[134]0-1)가시설 수량 집계표'!$H$23</f>
        <v>2</v>
      </c>
      <c r="F183" s="221"/>
      <c r="G183" s="223">
        <f t="shared" si="2"/>
        <v>2</v>
      </c>
      <c r="H183" s="249"/>
      <c r="J183" s="366"/>
    </row>
    <row r="184" spans="1:10" ht="18" customHeight="1">
      <c r="A184" s="592"/>
      <c r="B184" s="485" t="s">
        <v>1074</v>
      </c>
      <c r="C184" s="486" t="s">
        <v>1078</v>
      </c>
      <c r="D184" s="394" t="s">
        <v>108</v>
      </c>
      <c r="E184" s="215">
        <f>'[134]0-1)가시설 수량 집계표'!$H$24</f>
        <v>22</v>
      </c>
      <c r="F184" s="221"/>
      <c r="G184" s="223">
        <f t="shared" si="2"/>
        <v>22</v>
      </c>
      <c r="H184" s="249"/>
      <c r="J184" s="366"/>
    </row>
    <row r="185" spans="1:10" ht="18" customHeight="1">
      <c r="A185" s="592"/>
      <c r="B185" s="607" t="s">
        <v>1075</v>
      </c>
      <c r="C185" s="608"/>
      <c r="D185" s="340" t="s">
        <v>12</v>
      </c>
      <c r="E185" s="215">
        <f>'[134]0-1)가시설 수량 집계표'!$H$25</f>
        <v>6888.84</v>
      </c>
      <c r="F185" s="221"/>
      <c r="G185" s="223">
        <f t="shared" si="2"/>
        <v>6888.84</v>
      </c>
      <c r="H185" s="249"/>
      <c r="J185" s="366"/>
    </row>
    <row r="186" spans="1:10" ht="18" customHeight="1">
      <c r="A186" s="592"/>
      <c r="B186" s="607" t="s">
        <v>1076</v>
      </c>
      <c r="C186" s="608"/>
      <c r="D186" s="394" t="s">
        <v>421</v>
      </c>
      <c r="E186" s="215">
        <f>'[134]0-1)가시설 수량 집계표'!$H$26</f>
        <v>8</v>
      </c>
      <c r="F186" s="221"/>
      <c r="G186" s="223">
        <f t="shared" si="2"/>
        <v>8</v>
      </c>
      <c r="H186" s="249"/>
      <c r="J186" s="366"/>
    </row>
    <row r="187" spans="1:10" ht="18" customHeight="1">
      <c r="A187" s="592"/>
      <c r="B187" s="596" t="s">
        <v>691</v>
      </c>
      <c r="C187" s="397" t="s">
        <v>1079</v>
      </c>
      <c r="D187" s="396" t="s">
        <v>207</v>
      </c>
      <c r="E187" s="215">
        <f>'[134]0-1)가시설 수량 집계표'!$H$30</f>
        <v>8</v>
      </c>
      <c r="F187" s="221"/>
      <c r="G187" s="223">
        <f t="shared" si="2"/>
        <v>8</v>
      </c>
      <c r="H187" s="249"/>
      <c r="J187" s="366"/>
    </row>
    <row r="188" spans="1:10" ht="18" customHeight="1">
      <c r="A188" s="592"/>
      <c r="B188" s="597"/>
      <c r="C188" s="397" t="s">
        <v>1080</v>
      </c>
      <c r="D188" s="396" t="s">
        <v>207</v>
      </c>
      <c r="E188" s="215">
        <f>'[134]0-1)가시설 수량 집계표'!$H$31</f>
        <v>32</v>
      </c>
      <c r="F188" s="221"/>
      <c r="G188" s="223">
        <f t="shared" si="2"/>
        <v>32</v>
      </c>
      <c r="H188" s="249"/>
      <c r="J188" s="366"/>
    </row>
    <row r="189" spans="1:10" ht="20.100000000000001" customHeight="1">
      <c r="A189" s="592"/>
      <c r="B189" s="484" t="s">
        <v>1081</v>
      </c>
      <c r="C189" s="399" t="s">
        <v>1083</v>
      </c>
      <c r="D189" s="396" t="s">
        <v>657</v>
      </c>
      <c r="E189" s="215">
        <f>'[134]0-1)가시설 수량 집계표'!$H$33</f>
        <v>24</v>
      </c>
      <c r="F189" s="221"/>
      <c r="G189" s="223">
        <f t="shared" si="2"/>
        <v>24</v>
      </c>
      <c r="H189" s="249"/>
      <c r="J189" s="366"/>
    </row>
    <row r="190" spans="1:10" ht="20.100000000000001" customHeight="1">
      <c r="A190" s="592"/>
      <c r="B190" s="484" t="s">
        <v>1084</v>
      </c>
      <c r="C190" s="399"/>
      <c r="D190" s="396" t="s">
        <v>421</v>
      </c>
      <c r="E190" s="215">
        <f>'[134]0-1)가시설 수량 집계표'!$H$34</f>
        <v>16</v>
      </c>
      <c r="F190" s="221"/>
      <c r="G190" s="223">
        <f t="shared" si="2"/>
        <v>16</v>
      </c>
      <c r="H190" s="249"/>
      <c r="J190" s="366"/>
    </row>
    <row r="191" spans="1:10" ht="18" customHeight="1">
      <c r="A191" s="592"/>
      <c r="B191" s="396" t="s">
        <v>1106</v>
      </c>
      <c r="C191" s="396" t="s">
        <v>1085</v>
      </c>
      <c r="D191" s="396" t="s">
        <v>657</v>
      </c>
      <c r="E191" s="215">
        <f>'[134]0-1)가시설 수량 집계표'!$H$36</f>
        <v>144</v>
      </c>
      <c r="F191" s="221"/>
      <c r="G191" s="223">
        <f t="shared" si="2"/>
        <v>144</v>
      </c>
      <c r="H191" s="249"/>
      <c r="J191" s="366"/>
    </row>
    <row r="192" spans="1:10" ht="18" customHeight="1">
      <c r="A192" s="592"/>
      <c r="B192" s="487" t="s">
        <v>1086</v>
      </c>
      <c r="C192" s="487" t="s">
        <v>1082</v>
      </c>
      <c r="D192" s="487" t="s">
        <v>657</v>
      </c>
      <c r="E192" s="215">
        <f>'[134]0-1)가시설 수량 집계표'!$H$37</f>
        <v>72</v>
      </c>
      <c r="F192" s="221"/>
      <c r="G192" s="223">
        <f t="shared" si="2"/>
        <v>72</v>
      </c>
      <c r="H192" s="249"/>
      <c r="J192" s="366"/>
    </row>
    <row r="193" spans="1:10" ht="18" customHeight="1">
      <c r="A193" s="592"/>
      <c r="B193" s="487" t="s">
        <v>1087</v>
      </c>
      <c r="C193" s="487" t="s">
        <v>1097</v>
      </c>
      <c r="D193" s="487" t="s">
        <v>207</v>
      </c>
      <c r="E193" s="215">
        <f>'[134]0-1)가시설 수량 집계표'!$H$38</f>
        <v>72</v>
      </c>
      <c r="F193" s="221"/>
      <c r="G193" s="223">
        <f t="shared" si="2"/>
        <v>72</v>
      </c>
      <c r="H193" s="249"/>
      <c r="J193" s="366"/>
    </row>
    <row r="194" spans="1:10" ht="18" hidden="1" customHeight="1">
      <c r="A194" s="592"/>
      <c r="B194" s="487" t="s">
        <v>1088</v>
      </c>
      <c r="C194" s="487" t="s">
        <v>1082</v>
      </c>
      <c r="D194" s="487" t="s">
        <v>657</v>
      </c>
      <c r="E194" s="215"/>
      <c r="F194" s="221"/>
      <c r="G194" s="223">
        <f t="shared" si="2"/>
        <v>0</v>
      </c>
      <c r="H194" s="249"/>
      <c r="J194" s="366"/>
    </row>
    <row r="195" spans="1:10" ht="18" hidden="1" customHeight="1">
      <c r="A195" s="592"/>
      <c r="B195" s="487" t="s">
        <v>1089</v>
      </c>
      <c r="C195" s="487" t="s">
        <v>1098</v>
      </c>
      <c r="D195" s="487" t="s">
        <v>207</v>
      </c>
      <c r="E195" s="215"/>
      <c r="F195" s="221"/>
      <c r="G195" s="223">
        <f t="shared" ref="G195:G233" si="3">SUM(E195:F195)</f>
        <v>0</v>
      </c>
      <c r="H195" s="249"/>
      <c r="J195" s="366"/>
    </row>
    <row r="196" spans="1:10" ht="18" hidden="1" customHeight="1">
      <c r="A196" s="592"/>
      <c r="B196" s="487" t="s">
        <v>1090</v>
      </c>
      <c r="C196" s="487" t="s">
        <v>1082</v>
      </c>
      <c r="D196" s="487" t="s">
        <v>657</v>
      </c>
      <c r="E196" s="215"/>
      <c r="F196" s="221"/>
      <c r="G196" s="223">
        <f t="shared" si="3"/>
        <v>0</v>
      </c>
      <c r="H196" s="249"/>
      <c r="J196" s="366"/>
    </row>
    <row r="197" spans="1:10" ht="18" customHeight="1">
      <c r="A197" s="592"/>
      <c r="B197" s="487" t="s">
        <v>1091</v>
      </c>
      <c r="C197" s="487" t="s">
        <v>1099</v>
      </c>
      <c r="D197" s="487" t="s">
        <v>657</v>
      </c>
      <c r="E197" s="215">
        <f>'[134]0-1)가시설 수량 집계표'!$H$42</f>
        <v>88</v>
      </c>
      <c r="F197" s="221"/>
      <c r="G197" s="223">
        <f t="shared" si="3"/>
        <v>88</v>
      </c>
      <c r="H197" s="249"/>
      <c r="J197" s="366"/>
    </row>
    <row r="198" spans="1:10" ht="18" customHeight="1">
      <c r="A198" s="592"/>
      <c r="B198" s="487" t="s">
        <v>1092</v>
      </c>
      <c r="C198" s="487" t="s">
        <v>1082</v>
      </c>
      <c r="D198" s="487" t="s">
        <v>657</v>
      </c>
      <c r="E198" s="215">
        <f>'[134]0-1)가시설 수량 집계표'!$H$39+'[134]0-1)가시설 수량 집계표'!$H$43</f>
        <v>32</v>
      </c>
      <c r="F198" s="221"/>
      <c r="G198" s="223">
        <f t="shared" si="3"/>
        <v>32</v>
      </c>
      <c r="H198" s="249"/>
      <c r="J198" s="366"/>
    </row>
    <row r="199" spans="1:10" ht="18" customHeight="1">
      <c r="A199" s="592"/>
      <c r="B199" s="618" t="s">
        <v>1093</v>
      </c>
      <c r="C199" s="487" t="s">
        <v>1107</v>
      </c>
      <c r="D199" s="487" t="s">
        <v>207</v>
      </c>
      <c r="E199" s="215">
        <f>'[134]0-1)가시설 수량 집계표'!$H$44</f>
        <v>16</v>
      </c>
      <c r="F199" s="221"/>
      <c r="G199" s="223">
        <f t="shared" si="3"/>
        <v>16</v>
      </c>
      <c r="H199" s="249"/>
      <c r="J199" s="366"/>
    </row>
    <row r="200" spans="1:10" ht="18" customHeight="1">
      <c r="A200" s="592"/>
      <c r="B200" s="619"/>
      <c r="C200" s="487" t="s">
        <v>1108</v>
      </c>
      <c r="D200" s="487" t="s">
        <v>207</v>
      </c>
      <c r="E200" s="215">
        <f>'[134]0-1)가시설 수량 집계표'!$H$40</f>
        <v>16</v>
      </c>
      <c r="F200" s="221"/>
      <c r="G200" s="223">
        <f t="shared" si="3"/>
        <v>16</v>
      </c>
      <c r="H200" s="249"/>
      <c r="J200" s="366"/>
    </row>
    <row r="201" spans="1:10" ht="18" customHeight="1">
      <c r="A201" s="592"/>
      <c r="B201" s="620"/>
      <c r="C201" s="487" t="s">
        <v>1109</v>
      </c>
      <c r="D201" s="487" t="s">
        <v>207</v>
      </c>
      <c r="E201" s="215"/>
      <c r="F201" s="221"/>
      <c r="G201" s="223">
        <f t="shared" si="3"/>
        <v>0</v>
      </c>
      <c r="H201" s="249"/>
      <c r="J201" s="366"/>
    </row>
    <row r="202" spans="1:10" ht="18" customHeight="1">
      <c r="A202" s="592"/>
      <c r="B202" s="487" t="s">
        <v>1104</v>
      </c>
      <c r="C202" s="487" t="s">
        <v>1105</v>
      </c>
      <c r="D202" s="487" t="s">
        <v>657</v>
      </c>
      <c r="E202" s="215">
        <f>'[134]0-1)가시설 수량 집계표'!$H$41</f>
        <v>16</v>
      </c>
      <c r="F202" s="221"/>
      <c r="G202" s="223">
        <f t="shared" si="3"/>
        <v>16</v>
      </c>
      <c r="H202" s="249"/>
      <c r="J202" s="366"/>
    </row>
    <row r="203" spans="1:10" ht="18" customHeight="1">
      <c r="A203" s="592"/>
      <c r="B203" s="487" t="s">
        <v>1094</v>
      </c>
      <c r="C203" s="487" t="s">
        <v>1100</v>
      </c>
      <c r="D203" s="487" t="s">
        <v>1103</v>
      </c>
      <c r="E203" s="215">
        <f>'[134]0-1)가시설 수량 집계표'!$H$46</f>
        <v>195</v>
      </c>
      <c r="F203" s="221"/>
      <c r="G203" s="223">
        <f t="shared" si="3"/>
        <v>195</v>
      </c>
      <c r="H203" s="249"/>
      <c r="J203" s="366"/>
    </row>
    <row r="204" spans="1:10" ht="18" customHeight="1">
      <c r="A204" s="592"/>
      <c r="B204" s="617" t="s">
        <v>1095</v>
      </c>
      <c r="C204" s="617"/>
      <c r="D204" s="487" t="s">
        <v>657</v>
      </c>
      <c r="E204" s="215">
        <f>'[134]0-1)가시설 수량 집계표'!$H$47</f>
        <v>752</v>
      </c>
      <c r="F204" s="221"/>
      <c r="G204" s="223">
        <f t="shared" si="3"/>
        <v>752</v>
      </c>
      <c r="H204" s="249"/>
      <c r="J204" s="366"/>
    </row>
    <row r="205" spans="1:10" ht="18" customHeight="1">
      <c r="A205" s="592"/>
      <c r="B205" s="487" t="s">
        <v>1096</v>
      </c>
      <c r="C205" s="487" t="s">
        <v>1101</v>
      </c>
      <c r="D205" s="487" t="s">
        <v>657</v>
      </c>
      <c r="E205" s="215">
        <f>'[134]0-1)가시설 수량 집계표'!$H$48</f>
        <v>8</v>
      </c>
      <c r="F205" s="221"/>
      <c r="G205" s="223">
        <f t="shared" si="3"/>
        <v>8</v>
      </c>
      <c r="H205" s="249"/>
      <c r="J205" s="366"/>
    </row>
    <row r="206" spans="1:10" ht="18" customHeight="1">
      <c r="A206" s="592"/>
      <c r="B206" s="487" t="s">
        <v>1096</v>
      </c>
      <c r="C206" s="487" t="s">
        <v>1102</v>
      </c>
      <c r="D206" s="487" t="s">
        <v>657</v>
      </c>
      <c r="E206" s="215">
        <f>'[134]0-1)가시설 수량 집계표'!$H$49</f>
        <v>64</v>
      </c>
      <c r="F206" s="221"/>
      <c r="G206" s="223">
        <f t="shared" si="3"/>
        <v>64</v>
      </c>
      <c r="H206" s="249"/>
      <c r="J206" s="366"/>
    </row>
    <row r="207" spans="1:10" ht="18" hidden="1" customHeight="1">
      <c r="A207" s="592"/>
      <c r="B207" s="594" t="s">
        <v>661</v>
      </c>
      <c r="C207" s="400" t="s">
        <v>1069</v>
      </c>
      <c r="D207" s="400" t="s">
        <v>12</v>
      </c>
      <c r="E207" s="461"/>
      <c r="F207" s="462"/>
      <c r="G207" s="223">
        <f t="shared" si="3"/>
        <v>0</v>
      </c>
      <c r="H207" s="463"/>
      <c r="J207" s="366"/>
    </row>
    <row r="208" spans="1:10" ht="18" hidden="1" customHeight="1">
      <c r="A208" s="592"/>
      <c r="B208" s="594"/>
      <c r="C208" s="396" t="s">
        <v>658</v>
      </c>
      <c r="D208" s="396" t="s">
        <v>12</v>
      </c>
      <c r="E208" s="215"/>
      <c r="F208" s="221"/>
      <c r="G208" s="223">
        <f t="shared" si="3"/>
        <v>0</v>
      </c>
      <c r="H208" s="249"/>
      <c r="J208" s="366"/>
    </row>
    <row r="209" spans="1:12" ht="18" hidden="1" customHeight="1">
      <c r="A209" s="592"/>
      <c r="B209" s="594"/>
      <c r="C209" s="396" t="s">
        <v>1070</v>
      </c>
      <c r="D209" s="396" t="s">
        <v>12</v>
      </c>
      <c r="E209" s="215"/>
      <c r="F209" s="221"/>
      <c r="G209" s="223">
        <f t="shared" si="3"/>
        <v>0</v>
      </c>
      <c r="H209" s="249"/>
      <c r="J209" s="366"/>
    </row>
    <row r="210" spans="1:12" ht="30.75" hidden="1" customHeight="1">
      <c r="A210" s="592"/>
      <c r="B210" s="594"/>
      <c r="C210" s="403" t="s">
        <v>1071</v>
      </c>
      <c r="D210" s="396" t="s">
        <v>659</v>
      </c>
      <c r="E210" s="215"/>
      <c r="F210" s="221"/>
      <c r="G210" s="223">
        <f t="shared" si="3"/>
        <v>0</v>
      </c>
      <c r="H210" s="249"/>
      <c r="J210" s="366"/>
    </row>
    <row r="211" spans="1:12" ht="24.75" hidden="1" customHeight="1">
      <c r="A211" s="592"/>
      <c r="B211" s="594"/>
      <c r="C211" s="402" t="s">
        <v>662</v>
      </c>
      <c r="D211" s="396" t="s">
        <v>659</v>
      </c>
      <c r="E211" s="215"/>
      <c r="F211" s="221"/>
      <c r="G211" s="223">
        <f t="shared" si="3"/>
        <v>0</v>
      </c>
      <c r="H211" s="249"/>
      <c r="J211" s="366"/>
    </row>
    <row r="212" spans="1:12" ht="18" hidden="1" customHeight="1">
      <c r="A212" s="592"/>
      <c r="B212" s="594"/>
      <c r="C212" s="402" t="s">
        <v>663</v>
      </c>
      <c r="D212" s="396" t="s">
        <v>13</v>
      </c>
      <c r="E212" s="215"/>
      <c r="F212" s="221"/>
      <c r="G212" s="223">
        <f t="shared" si="3"/>
        <v>0</v>
      </c>
      <c r="H212" s="249"/>
      <c r="J212" s="366"/>
    </row>
    <row r="213" spans="1:12" ht="18" hidden="1" customHeight="1">
      <c r="A213" s="592"/>
      <c r="B213" s="594"/>
      <c r="C213" s="645" t="s">
        <v>664</v>
      </c>
      <c r="D213" s="396" t="s">
        <v>659</v>
      </c>
      <c r="E213" s="215"/>
      <c r="F213" s="221"/>
      <c r="G213" s="223">
        <f t="shared" si="3"/>
        <v>0</v>
      </c>
      <c r="H213" s="249"/>
      <c r="J213" s="366"/>
    </row>
    <row r="214" spans="1:12" ht="18" hidden="1" customHeight="1">
      <c r="A214" s="592"/>
      <c r="B214" s="595"/>
      <c r="C214" s="646"/>
      <c r="D214" s="396" t="s">
        <v>4</v>
      </c>
      <c r="E214" s="223"/>
      <c r="F214" s="221"/>
      <c r="G214" s="223">
        <f t="shared" si="3"/>
        <v>0</v>
      </c>
      <c r="H214" s="249"/>
      <c r="J214" s="366"/>
    </row>
    <row r="215" spans="1:12" ht="18" hidden="1" customHeight="1">
      <c r="A215" s="592"/>
      <c r="B215" s="596" t="s">
        <v>692</v>
      </c>
      <c r="C215" s="401" t="s">
        <v>829</v>
      </c>
      <c r="D215" s="396" t="s">
        <v>214</v>
      </c>
      <c r="E215" s="223"/>
      <c r="F215" s="221"/>
      <c r="G215" s="223">
        <f t="shared" si="3"/>
        <v>0</v>
      </c>
      <c r="H215" s="64" t="s">
        <v>170</v>
      </c>
      <c r="J215" s="366"/>
    </row>
    <row r="216" spans="1:12" ht="18" hidden="1" customHeight="1">
      <c r="A216" s="592"/>
      <c r="B216" s="597"/>
      <c r="C216" s="401" t="s">
        <v>660</v>
      </c>
      <c r="D216" s="396" t="s">
        <v>214</v>
      </c>
      <c r="E216" s="223"/>
      <c r="F216" s="221"/>
      <c r="G216" s="223">
        <f t="shared" si="3"/>
        <v>0</v>
      </c>
      <c r="H216" s="64" t="s">
        <v>666</v>
      </c>
      <c r="J216" s="366"/>
    </row>
    <row r="217" spans="1:12" ht="18" hidden="1" customHeight="1">
      <c r="A217" s="592"/>
      <c r="B217" s="596" t="s">
        <v>693</v>
      </c>
      <c r="C217" s="401" t="s">
        <v>829</v>
      </c>
      <c r="D217" s="398" t="s">
        <v>214</v>
      </c>
      <c r="E217" s="223"/>
      <c r="F217" s="221"/>
      <c r="G217" s="223">
        <f t="shared" si="3"/>
        <v>0</v>
      </c>
      <c r="H217" s="64" t="s">
        <v>170</v>
      </c>
      <c r="J217" s="366"/>
    </row>
    <row r="218" spans="1:12" ht="18" hidden="1" customHeight="1">
      <c r="A218" s="592"/>
      <c r="B218" s="597"/>
      <c r="C218" s="401" t="s">
        <v>660</v>
      </c>
      <c r="D218" s="396" t="s">
        <v>214</v>
      </c>
      <c r="E218" s="223"/>
      <c r="F218" s="221"/>
      <c r="G218" s="223">
        <f t="shared" si="3"/>
        <v>0</v>
      </c>
      <c r="H218" s="64" t="s">
        <v>170</v>
      </c>
      <c r="J218" s="366"/>
    </row>
    <row r="219" spans="1:12" ht="18" hidden="1" customHeight="1">
      <c r="A219" s="592"/>
      <c r="B219" s="400" t="s">
        <v>835</v>
      </c>
      <c r="C219" s="401" t="s">
        <v>830</v>
      </c>
      <c r="D219" s="396" t="s">
        <v>831</v>
      </c>
      <c r="E219" s="215"/>
      <c r="F219" s="221"/>
      <c r="G219" s="223">
        <f t="shared" si="3"/>
        <v>0</v>
      </c>
      <c r="H219" s="64"/>
      <c r="J219" s="366"/>
    </row>
    <row r="220" spans="1:12" ht="18" hidden="1" customHeight="1">
      <c r="A220" s="592"/>
      <c r="B220" s="400" t="s">
        <v>836</v>
      </c>
      <c r="C220" s="401" t="s">
        <v>833</v>
      </c>
      <c r="D220" s="396" t="s">
        <v>214</v>
      </c>
      <c r="E220" s="215"/>
      <c r="F220" s="221"/>
      <c r="G220" s="223">
        <f t="shared" si="3"/>
        <v>0</v>
      </c>
      <c r="H220" s="64"/>
      <c r="J220" s="366"/>
    </row>
    <row r="221" spans="1:12" ht="18" hidden="1" customHeight="1">
      <c r="A221" s="592"/>
      <c r="B221" s="400" t="s">
        <v>837</v>
      </c>
      <c r="C221" s="401" t="s">
        <v>834</v>
      </c>
      <c r="D221" s="396" t="s">
        <v>214</v>
      </c>
      <c r="E221" s="215"/>
      <c r="F221" s="221"/>
      <c r="G221" s="223">
        <f t="shared" si="3"/>
        <v>0</v>
      </c>
      <c r="H221" s="64"/>
      <c r="J221" s="366"/>
    </row>
    <row r="222" spans="1:12" ht="18" hidden="1" customHeight="1">
      <c r="A222" s="592"/>
      <c r="B222" s="400" t="s">
        <v>832</v>
      </c>
      <c r="C222" s="401" t="s">
        <v>428</v>
      </c>
      <c r="D222" s="396" t="s">
        <v>214</v>
      </c>
      <c r="E222" s="215"/>
      <c r="F222" s="221"/>
      <c r="G222" s="223">
        <f t="shared" si="3"/>
        <v>0</v>
      </c>
      <c r="H222" s="64"/>
      <c r="J222" s="366"/>
    </row>
    <row r="223" spans="1:12" ht="17.100000000000001" customHeight="1">
      <c r="A223" s="592"/>
      <c r="B223" s="589" t="s">
        <v>1154</v>
      </c>
      <c r="C223" s="489" t="s">
        <v>1133</v>
      </c>
      <c r="D223" s="396" t="s">
        <v>214</v>
      </c>
      <c r="E223" s="222">
        <f>'[134]0-1)가시설 수량 집계표'!$H$55</f>
        <v>458.89100000000002</v>
      </c>
      <c r="F223" s="488"/>
      <c r="G223" s="223">
        <f t="shared" si="3"/>
        <v>458.89100000000002</v>
      </c>
      <c r="H223" s="222" t="s">
        <v>1137</v>
      </c>
      <c r="J223" s="366">
        <f>SUM(J3:J121)</f>
        <v>0</v>
      </c>
      <c r="L223" s="366">
        <f>SUM(L3:L121)</f>
        <v>0</v>
      </c>
    </row>
    <row r="224" spans="1:12" ht="17.100000000000001" customHeight="1">
      <c r="A224" s="592"/>
      <c r="B224" s="590"/>
      <c r="C224" s="489" t="s">
        <v>1083</v>
      </c>
      <c r="D224" s="396" t="s">
        <v>214</v>
      </c>
      <c r="E224" s="222">
        <f>'[134]0-1)가시설 수량 집계표'!$H$54</f>
        <v>104.22199999999999</v>
      </c>
      <c r="F224" s="488"/>
      <c r="G224" s="223">
        <f t="shared" si="3"/>
        <v>104.22199999999999</v>
      </c>
      <c r="H224" s="222" t="s">
        <v>1137</v>
      </c>
    </row>
    <row r="225" spans="1:8" ht="17.100000000000001" customHeight="1">
      <c r="A225" s="592"/>
      <c r="B225" s="590"/>
      <c r="C225" s="489" t="s">
        <v>1078</v>
      </c>
      <c r="D225" s="396" t="s">
        <v>214</v>
      </c>
      <c r="E225" s="222">
        <f>'[134]0-1)가시설 수량 집계표'!$H$53</f>
        <v>6.1980000000000004</v>
      </c>
      <c r="F225" s="488"/>
      <c r="G225" s="223">
        <f t="shared" si="3"/>
        <v>6.1980000000000004</v>
      </c>
      <c r="H225" s="222" t="s">
        <v>1137</v>
      </c>
    </row>
    <row r="226" spans="1:8" ht="17.100000000000001" customHeight="1">
      <c r="A226" s="592"/>
      <c r="B226" s="590"/>
      <c r="C226" s="489" t="s">
        <v>1110</v>
      </c>
      <c r="D226" s="396" t="s">
        <v>214</v>
      </c>
      <c r="E226" s="222">
        <f>'[134]0-1)가시설 수량 집계표'!$H$58</f>
        <v>1.1200000000000001</v>
      </c>
      <c r="F226" s="488"/>
      <c r="G226" s="223">
        <f t="shared" si="3"/>
        <v>1.1200000000000001</v>
      </c>
      <c r="H226" s="222" t="s">
        <v>1137</v>
      </c>
    </row>
    <row r="227" spans="1:8" ht="17.100000000000001" customHeight="1">
      <c r="A227" s="592"/>
      <c r="B227" s="590"/>
      <c r="C227" s="489" t="s">
        <v>1111</v>
      </c>
      <c r="D227" s="396" t="s">
        <v>214</v>
      </c>
      <c r="E227" s="222">
        <f>'[134]0-1)가시설 수량 집계표'!$H$59</f>
        <v>14.507999999999999</v>
      </c>
      <c r="F227" s="488"/>
      <c r="G227" s="223">
        <f t="shared" si="3"/>
        <v>14.507999999999999</v>
      </c>
      <c r="H227" s="222" t="s">
        <v>1137</v>
      </c>
    </row>
    <row r="228" spans="1:8" ht="17.100000000000001" customHeight="1">
      <c r="A228" s="592"/>
      <c r="B228" s="590"/>
      <c r="C228" s="489" t="s">
        <v>1112</v>
      </c>
      <c r="D228" s="396" t="s">
        <v>214</v>
      </c>
      <c r="E228" s="222">
        <f>'[134]0-1)가시설 수량 집계표'!$H$57</f>
        <v>3.6539999999999999</v>
      </c>
      <c r="F228" s="488"/>
      <c r="G228" s="223">
        <f t="shared" si="3"/>
        <v>3.6539999999999999</v>
      </c>
      <c r="H228" s="222" t="s">
        <v>1137</v>
      </c>
    </row>
    <row r="229" spans="1:8" ht="17.100000000000001" customHeight="1">
      <c r="A229" s="593"/>
      <c r="B229" s="590"/>
      <c r="C229" s="489" t="s">
        <v>1085</v>
      </c>
      <c r="D229" s="396" t="s">
        <v>214</v>
      </c>
      <c r="E229" s="222">
        <f>'[134]0-1)가시설 수량 집계표'!$H$56</f>
        <v>3.089</v>
      </c>
      <c r="F229" s="488"/>
      <c r="G229" s="223">
        <f t="shared" si="3"/>
        <v>3.089</v>
      </c>
      <c r="H229" s="222" t="s">
        <v>1137</v>
      </c>
    </row>
    <row r="230" spans="1:8" ht="48">
      <c r="A230" s="585" t="s">
        <v>1155</v>
      </c>
      <c r="B230" s="586"/>
      <c r="C230" s="492" t="s">
        <v>1156</v>
      </c>
      <c r="D230" s="340" t="s">
        <v>38</v>
      </c>
      <c r="E230" s="353">
        <v>560</v>
      </c>
      <c r="F230" s="347"/>
      <c r="G230" s="223">
        <f t="shared" si="3"/>
        <v>560</v>
      </c>
      <c r="H230" s="215"/>
    </row>
    <row r="231" spans="1:8" ht="24">
      <c r="A231" s="587" t="s">
        <v>1157</v>
      </c>
      <c r="B231" s="587"/>
      <c r="C231" s="492" t="s">
        <v>1158</v>
      </c>
      <c r="D231" s="340" t="s">
        <v>38</v>
      </c>
      <c r="E231" s="353">
        <v>112</v>
      </c>
      <c r="F231" s="347"/>
      <c r="G231" s="223">
        <f t="shared" si="3"/>
        <v>112</v>
      </c>
      <c r="H231" s="215"/>
    </row>
    <row r="232" spans="1:8" ht="30" customHeight="1">
      <c r="A232" s="588" t="s">
        <v>1159</v>
      </c>
      <c r="B232" s="588"/>
      <c r="C232" s="493" t="s">
        <v>1160</v>
      </c>
      <c r="D232" s="340" t="s">
        <v>208</v>
      </c>
      <c r="E232" s="353">
        <v>28</v>
      </c>
      <c r="F232" s="347"/>
      <c r="G232" s="223">
        <f t="shared" si="3"/>
        <v>28</v>
      </c>
      <c r="H232" s="215"/>
    </row>
    <row r="233" spans="1:8" ht="18" customHeight="1">
      <c r="A233" s="588" t="s">
        <v>1161</v>
      </c>
      <c r="B233" s="588"/>
      <c r="C233" s="493" t="s">
        <v>1162</v>
      </c>
      <c r="D233" s="213" t="s">
        <v>382</v>
      </c>
      <c r="E233" s="353">
        <v>344.27</v>
      </c>
      <c r="F233" s="347"/>
      <c r="G233" s="223">
        <f t="shared" si="3"/>
        <v>344.27</v>
      </c>
      <c r="H233" s="215"/>
    </row>
  </sheetData>
  <mergeCells count="119">
    <mergeCell ref="B112:C112"/>
    <mergeCell ref="B126:B139"/>
    <mergeCell ref="A122:C122"/>
    <mergeCell ref="B115:C115"/>
    <mergeCell ref="B114:C114"/>
    <mergeCell ref="B118:C118"/>
    <mergeCell ref="A123:B123"/>
    <mergeCell ref="A125:C125"/>
    <mergeCell ref="A117:C117"/>
    <mergeCell ref="A110:A113"/>
    <mergeCell ref="C176:C179"/>
    <mergeCell ref="B167:C167"/>
    <mergeCell ref="B215:B216"/>
    <mergeCell ref="C213:C214"/>
    <mergeCell ref="B175:C175"/>
    <mergeCell ref="B182:C182"/>
    <mergeCell ref="B186:C186"/>
    <mergeCell ref="B187:B188"/>
    <mergeCell ref="A45:A48"/>
    <mergeCell ref="A75:A77"/>
    <mergeCell ref="A94:C94"/>
    <mergeCell ref="A93:C93"/>
    <mergeCell ref="B98:B100"/>
    <mergeCell ref="A126:A147"/>
    <mergeCell ref="A114:A115"/>
    <mergeCell ref="B75:C75"/>
    <mergeCell ref="B76:C76"/>
    <mergeCell ref="B77:C77"/>
    <mergeCell ref="A148:A157"/>
    <mergeCell ref="B164:C164"/>
    <mergeCell ref="B166:C166"/>
    <mergeCell ref="B156:B157"/>
    <mergeCell ref="B150:B152"/>
    <mergeCell ref="B168:B170"/>
    <mergeCell ref="A41:B42"/>
    <mergeCell ref="A51:B53"/>
    <mergeCell ref="A62:B62"/>
    <mergeCell ref="A43:C43"/>
    <mergeCell ref="A85:B85"/>
    <mergeCell ref="B78:B80"/>
    <mergeCell ref="B49:B50"/>
    <mergeCell ref="A60:B60"/>
    <mergeCell ref="A49:A50"/>
    <mergeCell ref="B74:C74"/>
    <mergeCell ref="B35:C35"/>
    <mergeCell ref="A34:A38"/>
    <mergeCell ref="B40:C40"/>
    <mergeCell ref="A13:A33"/>
    <mergeCell ref="B25:B27"/>
    <mergeCell ref="B37:C37"/>
    <mergeCell ref="B36:C36"/>
    <mergeCell ref="B38:C38"/>
    <mergeCell ref="B34:C34"/>
    <mergeCell ref="B28:B30"/>
    <mergeCell ref="B7:C7"/>
    <mergeCell ref="A8:A9"/>
    <mergeCell ref="B9:C9"/>
    <mergeCell ref="A10:A12"/>
    <mergeCell ref="B22:B24"/>
    <mergeCell ref="A3:A7"/>
    <mergeCell ref="A89:B89"/>
    <mergeCell ref="B97:C97"/>
    <mergeCell ref="B2:C2"/>
    <mergeCell ref="B11:B12"/>
    <mergeCell ref="B13:B18"/>
    <mergeCell ref="B4:C4"/>
    <mergeCell ref="B5:C5"/>
    <mergeCell ref="B6:C6"/>
    <mergeCell ref="B8:C8"/>
    <mergeCell ref="B3:C3"/>
    <mergeCell ref="A84:B84"/>
    <mergeCell ref="B71:B73"/>
    <mergeCell ref="A96:A97"/>
    <mergeCell ref="A86:B86"/>
    <mergeCell ref="B96:C96"/>
    <mergeCell ref="A98:A103"/>
    <mergeCell ref="B90:C90"/>
    <mergeCell ref="B91:C91"/>
    <mergeCell ref="A95:C95"/>
    <mergeCell ref="A90:A91"/>
    <mergeCell ref="B101:B103"/>
    <mergeCell ref="A106:B106"/>
    <mergeCell ref="A107:B108"/>
    <mergeCell ref="A124:B124"/>
    <mergeCell ref="A109:C109"/>
    <mergeCell ref="A54:A58"/>
    <mergeCell ref="A61:B61"/>
    <mergeCell ref="A71:A73"/>
    <mergeCell ref="A59:B59"/>
    <mergeCell ref="A78:A81"/>
    <mergeCell ref="A119:C119"/>
    <mergeCell ref="B110:C110"/>
    <mergeCell ref="B140:B147"/>
    <mergeCell ref="B204:C204"/>
    <mergeCell ref="B199:B201"/>
    <mergeCell ref="B111:C111"/>
    <mergeCell ref="A116:C116"/>
    <mergeCell ref="A121:C121"/>
    <mergeCell ref="B113:C113"/>
    <mergeCell ref="B148:B149"/>
    <mergeCell ref="A120:C120"/>
    <mergeCell ref="B158:C158"/>
    <mergeCell ref="B163:C163"/>
    <mergeCell ref="B160:C160"/>
    <mergeCell ref="A158:A167"/>
    <mergeCell ref="B185:C185"/>
    <mergeCell ref="B154:B155"/>
    <mergeCell ref="B181:C181"/>
    <mergeCell ref="B162:C162"/>
    <mergeCell ref="B159:C159"/>
    <mergeCell ref="A230:B230"/>
    <mergeCell ref="A231:B231"/>
    <mergeCell ref="A232:B232"/>
    <mergeCell ref="A233:B233"/>
    <mergeCell ref="B223:B229"/>
    <mergeCell ref="A168:A229"/>
    <mergeCell ref="B207:B214"/>
    <mergeCell ref="B217:B218"/>
    <mergeCell ref="B171:B173"/>
  </mergeCells>
  <phoneticPr fontId="7" type="noConversion"/>
  <printOptions horizontalCentered="1"/>
  <pageMargins left="0.74803149606299213" right="0.59055118110236227" top="0.86614173228346458" bottom="0.98425196850393704" header="0.62992125984251968" footer="0.51181102362204722"/>
  <pageSetup paperSize="9" scale="99" orientation="portrait" useFirstPageNumber="1" r:id="rId1"/>
  <headerFooter alignWithMargins="0">
    <oddHeader xml:space="preserve">&amp;C&amp;"돋움,굵게"&amp;12구조물공 총괄 집계표 (&amp;P)&amp;R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161"/>
  <sheetViews>
    <sheetView showZeros="0" view="pageBreakPreview" zoomScaleNormal="100" zoomScaleSheetLayoutView="100" workbookViewId="0">
      <selection activeCell="H72" sqref="H72"/>
    </sheetView>
  </sheetViews>
  <sheetFormatPr defaultColWidth="7.77734375" defaultRowHeight="11.25"/>
  <cols>
    <col min="1" max="1" width="19.44140625" style="156" bestFit="1" customWidth="1"/>
    <col min="2" max="2" width="4.33203125" style="156" customWidth="1"/>
    <col min="3" max="3" width="4" style="156" customWidth="1"/>
    <col min="4" max="12" width="8.5546875" style="156" customWidth="1"/>
    <col min="13" max="16384" width="7.77734375" style="156"/>
  </cols>
  <sheetData>
    <row r="1" spans="1:18" ht="15.75" customHeight="1"/>
    <row r="2" spans="1:18" ht="15.75" customHeight="1">
      <c r="A2" s="157" t="str">
        <f>"  &lt; "&amp;간지!$Z$3&amp;" &gt;  ( SD400 ) "</f>
        <v xml:space="preserve">  &lt; 갈전7교 &gt;  ( SD400 ) </v>
      </c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8" s="160" customFormat="1" ht="15.95" customHeight="1">
      <c r="A3" s="6" t="s">
        <v>193</v>
      </c>
      <c r="B3" s="5" t="s">
        <v>158</v>
      </c>
      <c r="C3" s="5" t="s">
        <v>2</v>
      </c>
      <c r="D3" s="5" t="s">
        <v>194</v>
      </c>
      <c r="E3" s="5" t="s">
        <v>195</v>
      </c>
      <c r="F3" s="5" t="s">
        <v>196</v>
      </c>
      <c r="G3" s="5" t="s">
        <v>197</v>
      </c>
      <c r="H3" s="5" t="s">
        <v>198</v>
      </c>
      <c r="I3" s="5" t="s">
        <v>199</v>
      </c>
      <c r="J3" s="5" t="s">
        <v>200</v>
      </c>
      <c r="K3" s="5" t="s">
        <v>201</v>
      </c>
      <c r="L3" s="5" t="s">
        <v>85</v>
      </c>
      <c r="O3" s="283" t="s">
        <v>537</v>
      </c>
    </row>
    <row r="4" spans="1:18" s="160" customFormat="1" ht="15.95" customHeight="1">
      <c r="A4" s="653" t="s">
        <v>1062</v>
      </c>
      <c r="B4" s="161" t="s">
        <v>159</v>
      </c>
      <c r="C4" s="161" t="s">
        <v>160</v>
      </c>
      <c r="D4" s="162"/>
      <c r="E4" s="162"/>
      <c r="F4" s="162">
        <f>'[131]갈전7교 교량 철근수량 집계표'!$M$17</f>
        <v>60.944000000000003</v>
      </c>
      <c r="G4" s="162">
        <f>'[131]갈전7교 교량 철근수량 집계표'!$M$19</f>
        <v>51.283999999999999</v>
      </c>
      <c r="H4" s="162">
        <f>'[131]갈전7교 교량 철근수량 집계표'!$M$21</f>
        <v>20.417999999999999</v>
      </c>
      <c r="I4" s="162">
        <f>'[131]갈전7교 교량 철근수량 집계표'!$M$23</f>
        <v>30.885000000000002</v>
      </c>
      <c r="J4" s="162">
        <f>'[131]갈전7교 교량 철근수량 집계표'!$M$25</f>
        <v>5.6760000000000002</v>
      </c>
      <c r="K4" s="162"/>
      <c r="L4" s="163">
        <f>IF(SUM(D4:K4)&gt;0,SUM(D4:K4),"")</f>
        <v>169.20699999999999</v>
      </c>
      <c r="M4" s="292"/>
      <c r="O4" s="281"/>
      <c r="P4" s="281" t="s">
        <v>538</v>
      </c>
      <c r="Q4" s="281" t="s">
        <v>539</v>
      </c>
      <c r="R4" s="281" t="s">
        <v>540</v>
      </c>
    </row>
    <row r="5" spans="1:18" s="160" customFormat="1" ht="15.95" customHeight="1">
      <c r="A5" s="652"/>
      <c r="B5" s="164" t="s">
        <v>161</v>
      </c>
      <c r="C5" s="164"/>
      <c r="D5" s="165"/>
      <c r="E5" s="385">
        <f>ROUND(E4*1.06,3)</f>
        <v>0</v>
      </c>
      <c r="F5" s="385">
        <f>ROUND(F4*1.06,3)</f>
        <v>64.600999999999999</v>
      </c>
      <c r="G5" s="385">
        <f>ROUND(G4*1.06,3)</f>
        <v>54.360999999999997</v>
      </c>
      <c r="H5" s="385">
        <f>ROUND(H4*1.03,3)</f>
        <v>21.030999999999999</v>
      </c>
      <c r="I5" s="385">
        <f>ROUND(I4*1.03,3)</f>
        <v>31.812000000000001</v>
      </c>
      <c r="J5" s="385">
        <f>ROUND(J4*1.03,3)</f>
        <v>5.8460000000000001</v>
      </c>
      <c r="K5" s="165"/>
      <c r="L5" s="166">
        <f>IF(SUM(D5:K5)&gt;0,SUM(D5:K5),"")</f>
        <v>177.65100000000001</v>
      </c>
    </row>
    <row r="6" spans="1:18" s="160" customFormat="1" ht="15.95" hidden="1" customHeight="1">
      <c r="A6" s="651" t="s">
        <v>259</v>
      </c>
      <c r="B6" s="167" t="s">
        <v>159</v>
      </c>
      <c r="C6" s="167" t="s">
        <v>160</v>
      </c>
      <c r="D6" s="162"/>
      <c r="E6" s="162"/>
      <c r="F6" s="162"/>
      <c r="G6" s="162"/>
      <c r="H6" s="162"/>
      <c r="I6" s="162"/>
      <c r="J6" s="162"/>
      <c r="K6" s="162"/>
      <c r="L6" s="163" t="str">
        <f t="shared" ref="L6:L30" si="0">IF(SUM(D6:K6)&gt;0,SUM(D6:K6),"")</f>
        <v/>
      </c>
    </row>
    <row r="7" spans="1:18" s="160" customFormat="1" ht="15.95" hidden="1" customHeight="1">
      <c r="A7" s="652"/>
      <c r="B7" s="164" t="s">
        <v>161</v>
      </c>
      <c r="C7" s="164"/>
      <c r="D7" s="165">
        <f>ROUND(D6*1.06,3)</f>
        <v>0</v>
      </c>
      <c r="E7" s="165">
        <f>ROUND(E6*1.06,3)</f>
        <v>0</v>
      </c>
      <c r="F7" s="165"/>
      <c r="G7" s="165"/>
      <c r="H7" s="165"/>
      <c r="I7" s="165"/>
      <c r="J7" s="165"/>
      <c r="K7" s="165"/>
      <c r="L7" s="166" t="str">
        <f t="shared" si="0"/>
        <v/>
      </c>
    </row>
    <row r="8" spans="1:18" s="160" customFormat="1" ht="15.95" hidden="1" customHeight="1">
      <c r="A8" s="653"/>
      <c r="B8" s="167" t="s">
        <v>159</v>
      </c>
      <c r="C8" s="167" t="s">
        <v>160</v>
      </c>
      <c r="D8" s="330"/>
      <c r="E8" s="330"/>
      <c r="F8" s="162"/>
      <c r="G8" s="162"/>
      <c r="H8" s="162"/>
      <c r="I8" s="162"/>
      <c r="J8" s="162"/>
      <c r="K8" s="162"/>
      <c r="L8" s="163"/>
    </row>
    <row r="9" spans="1:18" s="160" customFormat="1" ht="15.95" hidden="1" customHeight="1">
      <c r="A9" s="652"/>
      <c r="B9" s="164" t="s">
        <v>161</v>
      </c>
      <c r="C9" s="164"/>
      <c r="D9" s="165"/>
      <c r="E9" s="165"/>
      <c r="F9" s="385">
        <f>ROUND(F8*1.06,3)</f>
        <v>0</v>
      </c>
      <c r="G9" s="385">
        <f>ROUND(G8*1.06,3)</f>
        <v>0</v>
      </c>
      <c r="H9" s="385">
        <f>ROUND(H8*1.03,3)</f>
        <v>0</v>
      </c>
      <c r="I9" s="385">
        <f>ROUND(I8*1.03,3)</f>
        <v>0</v>
      </c>
      <c r="J9" s="385">
        <f>ROUND(J8*1.03,3)</f>
        <v>0</v>
      </c>
      <c r="K9" s="165"/>
      <c r="L9" s="166"/>
    </row>
    <row r="10" spans="1:18" s="160" customFormat="1" ht="15.95" customHeight="1">
      <c r="A10" s="651"/>
      <c r="B10" s="167" t="s">
        <v>159</v>
      </c>
      <c r="C10" s="167" t="s">
        <v>160</v>
      </c>
      <c r="D10" s="162"/>
      <c r="E10" s="162"/>
      <c r="F10" s="162"/>
      <c r="G10" s="162"/>
      <c r="H10" s="162"/>
      <c r="I10" s="162"/>
      <c r="J10" s="162"/>
      <c r="K10" s="162"/>
      <c r="L10" s="163" t="str">
        <f t="shared" si="0"/>
        <v/>
      </c>
    </row>
    <row r="11" spans="1:18" s="160" customFormat="1" ht="15.95" customHeight="1">
      <c r="A11" s="652"/>
      <c r="B11" s="164" t="s">
        <v>161</v>
      </c>
      <c r="C11" s="164"/>
      <c r="D11" s="165"/>
      <c r="E11" s="165"/>
      <c r="F11" s="385">
        <f>ROUND(F10*1.06,3)</f>
        <v>0</v>
      </c>
      <c r="G11" s="385">
        <f>ROUND(G10*1.06,3)</f>
        <v>0</v>
      </c>
      <c r="H11" s="385">
        <f>ROUND(H10*1.03,3)</f>
        <v>0</v>
      </c>
      <c r="I11" s="385">
        <f>ROUND(I10*1.03,3)</f>
        <v>0</v>
      </c>
      <c r="J11" s="385">
        <f>ROUND(J10*1.03,3)</f>
        <v>0</v>
      </c>
      <c r="K11" s="165"/>
      <c r="L11" s="166" t="str">
        <f>IF(SUM(D11:K11)&gt;0,SUM(D11:K11),"")</f>
        <v/>
      </c>
    </row>
    <row r="12" spans="1:18" s="160" customFormat="1" ht="15.95" hidden="1" customHeight="1">
      <c r="A12" s="651"/>
      <c r="B12" s="167" t="s">
        <v>159</v>
      </c>
      <c r="C12" s="167" t="s">
        <v>160</v>
      </c>
      <c r="D12" s="162"/>
      <c r="E12" s="162"/>
      <c r="F12" s="162"/>
      <c r="G12" s="162"/>
      <c r="H12" s="162"/>
      <c r="I12" s="162"/>
      <c r="J12" s="162"/>
      <c r="K12" s="162"/>
      <c r="L12" s="163" t="str">
        <f t="shared" si="0"/>
        <v/>
      </c>
    </row>
    <row r="13" spans="1:18" s="160" customFormat="1" ht="15.95" hidden="1" customHeight="1">
      <c r="A13" s="652"/>
      <c r="B13" s="164" t="s">
        <v>161</v>
      </c>
      <c r="C13" s="164"/>
      <c r="D13" s="165">
        <f>ROUND(D12*1.06,3)</f>
        <v>0</v>
      </c>
      <c r="E13" s="165">
        <f>ROUND(E12*1.06,3)</f>
        <v>0</v>
      </c>
      <c r="F13" s="165"/>
      <c r="G13" s="165"/>
      <c r="H13" s="165"/>
      <c r="I13" s="165"/>
      <c r="J13" s="165"/>
      <c r="K13" s="165"/>
      <c r="L13" s="166" t="str">
        <f t="shared" si="0"/>
        <v/>
      </c>
    </row>
    <row r="14" spans="1:18" s="160" customFormat="1" ht="15.95" hidden="1" customHeight="1">
      <c r="A14" s="651" t="s">
        <v>547</v>
      </c>
      <c r="B14" s="167" t="s">
        <v>159</v>
      </c>
      <c r="C14" s="167" t="s">
        <v>160</v>
      </c>
      <c r="D14" s="162"/>
      <c r="E14" s="162"/>
      <c r="F14" s="162"/>
      <c r="G14" s="162"/>
      <c r="H14" s="162"/>
      <c r="I14" s="284"/>
      <c r="J14" s="284"/>
      <c r="K14" s="162"/>
      <c r="L14" s="163" t="str">
        <f>IF(SUM(D14:K14)&gt;0,SUM(D14:K14),"")</f>
        <v/>
      </c>
      <c r="O14" s="281" t="s">
        <v>541</v>
      </c>
      <c r="P14" s="282"/>
      <c r="Q14" s="282"/>
      <c r="R14" s="281">
        <f>SUM(P14:Q14)</f>
        <v>0</v>
      </c>
    </row>
    <row r="15" spans="1:18" s="160" customFormat="1" ht="15.95" hidden="1" customHeight="1">
      <c r="A15" s="652"/>
      <c r="B15" s="164" t="s">
        <v>161</v>
      </c>
      <c r="C15" s="164"/>
      <c r="D15" s="165">
        <f>ROUND(D14*1.06,3)</f>
        <v>0</v>
      </c>
      <c r="E15" s="165">
        <f>ROUND(E14*1.06,3)</f>
        <v>0</v>
      </c>
      <c r="F15" s="165">
        <f>ROUND(F14*1.06,3)</f>
        <v>0</v>
      </c>
      <c r="G15" s="165">
        <f>ROUND(G14*1.06,3)</f>
        <v>0</v>
      </c>
      <c r="H15" s="165">
        <f>ROUND(H14*1.03,3)</f>
        <v>0</v>
      </c>
      <c r="I15" s="165">
        <f>ROUND(I14*1.03,3)</f>
        <v>0</v>
      </c>
      <c r="J15" s="165">
        <f>ROUND(J14*1.03,3)</f>
        <v>0</v>
      </c>
      <c r="K15" s="165">
        <f>ROUND(K14*1.03,3)</f>
        <v>0</v>
      </c>
      <c r="L15" s="166" t="str">
        <f>IF(SUM(D15:K15)&gt;0,SUM(D15:K15),"")</f>
        <v/>
      </c>
      <c r="O15" s="281" t="s">
        <v>542</v>
      </c>
      <c r="P15" s="282"/>
      <c r="Q15" s="282"/>
      <c r="R15" s="281">
        <f>SUM(P15:Q15)</f>
        <v>0</v>
      </c>
    </row>
    <row r="16" spans="1:18" s="160" customFormat="1" ht="15.95" hidden="1" customHeight="1">
      <c r="A16" s="651" t="s">
        <v>564</v>
      </c>
      <c r="B16" s="167" t="s">
        <v>159</v>
      </c>
      <c r="C16" s="167" t="s">
        <v>160</v>
      </c>
      <c r="D16" s="162"/>
      <c r="E16" s="162"/>
      <c r="F16" s="162"/>
      <c r="G16" s="162"/>
      <c r="H16" s="162"/>
      <c r="I16" s="162"/>
      <c r="J16" s="162"/>
      <c r="K16" s="162"/>
      <c r="L16" s="163" t="str">
        <f t="shared" si="0"/>
        <v/>
      </c>
      <c r="O16" s="281" t="s">
        <v>543</v>
      </c>
      <c r="P16" s="282"/>
      <c r="Q16" s="282"/>
      <c r="R16" s="281">
        <f>SUM(P16:Q16)</f>
        <v>0</v>
      </c>
    </row>
    <row r="17" spans="1:21" s="160" customFormat="1" ht="15.95" hidden="1" customHeight="1">
      <c r="A17" s="652"/>
      <c r="B17" s="164" t="s">
        <v>161</v>
      </c>
      <c r="C17" s="164"/>
      <c r="D17" s="165">
        <f>ROUND(D16*1.06,3)</f>
        <v>0</v>
      </c>
      <c r="E17" s="165">
        <f>ROUND(E16*1.06,3)</f>
        <v>0</v>
      </c>
      <c r="F17" s="165">
        <f>ROUND(F16*1.06,3)</f>
        <v>0</v>
      </c>
      <c r="G17" s="165">
        <f>ROUND(G16*1.06,3)</f>
        <v>0</v>
      </c>
      <c r="H17" s="165">
        <f>ROUND(H16*1.03,3)</f>
        <v>0</v>
      </c>
      <c r="I17" s="165">
        <f>ROUND(I16*1.03,3)</f>
        <v>0</v>
      </c>
      <c r="J17" s="165">
        <f>ROUND(J16*1.03,3)</f>
        <v>0</v>
      </c>
      <c r="K17" s="165">
        <f>ROUND(K16*1.03,3)</f>
        <v>0</v>
      </c>
      <c r="L17" s="166" t="str">
        <f>IF(SUM(D17:K17)&gt;0,SUM(D17:K17),"")</f>
        <v/>
      </c>
      <c r="O17" s="281" t="s">
        <v>544</v>
      </c>
      <c r="P17" s="282"/>
      <c r="Q17" s="282"/>
      <c r="R17" s="281">
        <f>SUM(P17:Q17)</f>
        <v>0</v>
      </c>
    </row>
    <row r="18" spans="1:21" s="160" customFormat="1" ht="15.95" hidden="1" customHeight="1">
      <c r="A18" s="651"/>
      <c r="B18" s="167" t="s">
        <v>159</v>
      </c>
      <c r="C18" s="167" t="s">
        <v>160</v>
      </c>
      <c r="D18" s="162"/>
      <c r="E18" s="162"/>
      <c r="F18" s="162"/>
      <c r="G18" s="162"/>
      <c r="H18" s="162"/>
      <c r="I18" s="162"/>
      <c r="J18" s="162"/>
      <c r="K18" s="162"/>
      <c r="L18" s="163" t="str">
        <f t="shared" si="0"/>
        <v/>
      </c>
    </row>
    <row r="19" spans="1:21" s="160" customFormat="1" ht="15.95" hidden="1" customHeight="1">
      <c r="A19" s="652"/>
      <c r="B19" s="164" t="s">
        <v>161</v>
      </c>
      <c r="C19" s="164"/>
      <c r="D19" s="165">
        <f>ROUND(D18*1.06,3)</f>
        <v>0</v>
      </c>
      <c r="E19" s="165">
        <f>ROUND(E18*1.06,3)</f>
        <v>0</v>
      </c>
      <c r="F19" s="165">
        <f>ROUND(F18*1.06,3)</f>
        <v>0</v>
      </c>
      <c r="G19" s="165">
        <f>ROUND(G18*1.06,3)</f>
        <v>0</v>
      </c>
      <c r="H19" s="165">
        <f>ROUND(H18*1.03,3)</f>
        <v>0</v>
      </c>
      <c r="I19" s="165">
        <f>ROUND(I18*1.03,3)</f>
        <v>0</v>
      </c>
      <c r="J19" s="165">
        <f>ROUND(J18*1.03,3)</f>
        <v>0</v>
      </c>
      <c r="K19" s="165">
        <f>ROUND(K18*1.03,3)</f>
        <v>0</v>
      </c>
      <c r="L19" s="166" t="str">
        <f t="shared" si="0"/>
        <v/>
      </c>
    </row>
    <row r="20" spans="1:21" s="160" customFormat="1" ht="15.95" hidden="1" customHeight="1">
      <c r="A20" s="651"/>
      <c r="B20" s="167" t="s">
        <v>159</v>
      </c>
      <c r="C20" s="167" t="s">
        <v>160</v>
      </c>
      <c r="D20" s="168"/>
      <c r="E20" s="169"/>
      <c r="F20" s="169"/>
      <c r="G20" s="168"/>
      <c r="H20" s="169"/>
      <c r="I20" s="170"/>
      <c r="J20" s="169"/>
      <c r="K20" s="169"/>
      <c r="L20" s="163" t="str">
        <f t="shared" si="0"/>
        <v/>
      </c>
    </row>
    <row r="21" spans="1:21" s="160" customFormat="1" ht="15.95" hidden="1" customHeight="1">
      <c r="A21" s="652"/>
      <c r="B21" s="164" t="s">
        <v>161</v>
      </c>
      <c r="C21" s="164"/>
      <c r="D21" s="171"/>
      <c r="E21" s="172"/>
      <c r="F21" s="172"/>
      <c r="G21" s="171"/>
      <c r="H21" s="172"/>
      <c r="I21" s="172"/>
      <c r="J21" s="172"/>
      <c r="K21" s="172"/>
      <c r="L21" s="166" t="str">
        <f t="shared" si="0"/>
        <v/>
      </c>
    </row>
    <row r="22" spans="1:21" s="160" customFormat="1" ht="15.95" hidden="1" customHeight="1">
      <c r="A22" s="651"/>
      <c r="B22" s="167" t="s">
        <v>159</v>
      </c>
      <c r="C22" s="167" t="s">
        <v>160</v>
      </c>
      <c r="D22" s="168"/>
      <c r="E22" s="169"/>
      <c r="F22" s="169"/>
      <c r="G22" s="168"/>
      <c r="H22" s="169"/>
      <c r="I22" s="170"/>
      <c r="J22" s="169"/>
      <c r="K22" s="169"/>
      <c r="L22" s="163" t="str">
        <f t="shared" si="0"/>
        <v/>
      </c>
    </row>
    <row r="23" spans="1:21" s="160" customFormat="1" ht="15.95" hidden="1" customHeight="1">
      <c r="A23" s="652"/>
      <c r="B23" s="164" t="s">
        <v>161</v>
      </c>
      <c r="C23" s="164"/>
      <c r="D23" s="171"/>
      <c r="E23" s="172"/>
      <c r="F23" s="172"/>
      <c r="G23" s="171"/>
      <c r="H23" s="172"/>
      <c r="I23" s="172"/>
      <c r="J23" s="172"/>
      <c r="K23" s="172"/>
      <c r="L23" s="166" t="str">
        <f t="shared" si="0"/>
        <v/>
      </c>
    </row>
    <row r="24" spans="1:21" s="160" customFormat="1" ht="15.95" hidden="1" customHeight="1">
      <c r="A24" s="651"/>
      <c r="B24" s="167" t="s">
        <v>159</v>
      </c>
      <c r="C24" s="167" t="s">
        <v>160</v>
      </c>
      <c r="D24" s="168"/>
      <c r="E24" s="169"/>
      <c r="F24" s="169"/>
      <c r="G24" s="168"/>
      <c r="H24" s="169"/>
      <c r="I24" s="170"/>
      <c r="J24" s="169"/>
      <c r="K24" s="169"/>
      <c r="L24" s="163" t="str">
        <f t="shared" si="0"/>
        <v/>
      </c>
    </row>
    <row r="25" spans="1:21" s="160" customFormat="1" ht="15.95" hidden="1" customHeight="1">
      <c r="A25" s="652"/>
      <c r="B25" s="164" t="s">
        <v>161</v>
      </c>
      <c r="C25" s="164"/>
      <c r="D25" s="171"/>
      <c r="E25" s="172"/>
      <c r="F25" s="172"/>
      <c r="G25" s="171"/>
      <c r="H25" s="172"/>
      <c r="I25" s="172"/>
      <c r="J25" s="172"/>
      <c r="K25" s="172"/>
      <c r="L25" s="166" t="str">
        <f t="shared" si="0"/>
        <v/>
      </c>
    </row>
    <row r="26" spans="1:21" s="160" customFormat="1" ht="15.95" hidden="1" customHeight="1">
      <c r="A26" s="651"/>
      <c r="B26" s="167" t="s">
        <v>159</v>
      </c>
      <c r="C26" s="167" t="s">
        <v>160</v>
      </c>
      <c r="D26" s="168"/>
      <c r="E26" s="169"/>
      <c r="F26" s="169"/>
      <c r="G26" s="168"/>
      <c r="H26" s="169"/>
      <c r="I26" s="170"/>
      <c r="J26" s="169"/>
      <c r="K26" s="169"/>
      <c r="L26" s="163"/>
    </row>
    <row r="27" spans="1:21" s="160" customFormat="1" ht="15.95" hidden="1" customHeight="1">
      <c r="A27" s="652"/>
      <c r="B27" s="164" t="s">
        <v>161</v>
      </c>
      <c r="C27" s="164"/>
      <c r="D27" s="165">
        <f>ROUND(D26*1.06,3)</f>
        <v>0</v>
      </c>
      <c r="E27" s="165">
        <f>ROUND(E26*1.06,3)</f>
        <v>0</v>
      </c>
      <c r="F27" s="165">
        <f>ROUND(F26*1.06,3)</f>
        <v>0</v>
      </c>
      <c r="G27" s="165">
        <f>ROUND(G26*1.06,3)</f>
        <v>0</v>
      </c>
      <c r="H27" s="165"/>
      <c r="I27" s="165"/>
      <c r="J27" s="165"/>
      <c r="K27" s="165"/>
      <c r="L27" s="166"/>
    </row>
    <row r="28" spans="1:21" s="160" customFormat="1" ht="15.95" hidden="1" customHeight="1">
      <c r="A28" s="651"/>
      <c r="B28" s="167" t="s">
        <v>159</v>
      </c>
      <c r="C28" s="167" t="s">
        <v>160</v>
      </c>
      <c r="D28" s="168"/>
      <c r="E28" s="169"/>
      <c r="F28" s="169"/>
      <c r="G28" s="168"/>
      <c r="H28" s="169"/>
      <c r="I28" s="170"/>
      <c r="J28" s="169"/>
      <c r="K28" s="169"/>
      <c r="L28" s="163"/>
    </row>
    <row r="29" spans="1:21" s="160" customFormat="1" ht="15.95" hidden="1" customHeight="1">
      <c r="A29" s="652"/>
      <c r="B29" s="164" t="s">
        <v>161</v>
      </c>
      <c r="C29" s="164"/>
      <c r="D29" s="171"/>
      <c r="E29" s="172"/>
      <c r="F29" s="165">
        <f>ROUND(F28*1.06,3)</f>
        <v>0</v>
      </c>
      <c r="G29" s="171"/>
      <c r="H29" s="165">
        <f>ROUND(H28*1.03,3)</f>
        <v>0</v>
      </c>
      <c r="I29" s="165">
        <f>ROUND(I28*1.03,3)</f>
        <v>0</v>
      </c>
      <c r="J29" s="165">
        <f>ROUND(J28*1.03,3)</f>
        <v>0</v>
      </c>
      <c r="K29" s="165">
        <f>ROUND(K28*1.03,3)</f>
        <v>0</v>
      </c>
      <c r="L29" s="166" t="str">
        <f t="shared" si="0"/>
        <v/>
      </c>
    </row>
    <row r="30" spans="1:21" s="160" customFormat="1" ht="15.95" customHeight="1">
      <c r="A30" s="651"/>
      <c r="B30" s="167" t="s">
        <v>159</v>
      </c>
      <c r="C30" s="167" t="s">
        <v>160</v>
      </c>
      <c r="D30" s="168"/>
      <c r="E30" s="169"/>
      <c r="F30" s="169"/>
      <c r="G30" s="168"/>
      <c r="H30" s="169"/>
      <c r="I30" s="170"/>
      <c r="J30" s="169"/>
      <c r="K30" s="169"/>
      <c r="L30" s="163" t="str">
        <f t="shared" si="0"/>
        <v/>
      </c>
    </row>
    <row r="31" spans="1:21" s="160" customFormat="1" ht="15.95" customHeight="1">
      <c r="A31" s="652"/>
      <c r="B31" s="164" t="s">
        <v>161</v>
      </c>
      <c r="C31" s="164"/>
      <c r="D31" s="165"/>
      <c r="E31" s="165"/>
      <c r="F31" s="165"/>
      <c r="G31" s="165"/>
      <c r="H31" s="165"/>
      <c r="I31" s="165"/>
      <c r="J31" s="165"/>
      <c r="K31" s="165"/>
      <c r="L31" s="166" t="str">
        <f>IF(SUM(D31:K31)&gt;0,SUM(D31:K31),"")</f>
        <v/>
      </c>
    </row>
    <row r="32" spans="1:21" s="160" customFormat="1" ht="15.95" customHeight="1">
      <c r="A32" s="651" t="s">
        <v>202</v>
      </c>
      <c r="B32" s="167" t="s">
        <v>159</v>
      </c>
      <c r="C32" s="167" t="s">
        <v>160</v>
      </c>
      <c r="D32" s="173">
        <f>(D10+D12+D4+D6+D8+D14+D16+D18+D20+D22+D24+D26+D28)</f>
        <v>0</v>
      </c>
      <c r="E32" s="173">
        <f t="shared" ref="E32:G33" si="1">(E10+E12+E4+E6+E8+E14+E16+E18+E20+E22+E24+E26+E28)</f>
        <v>0</v>
      </c>
      <c r="F32" s="173">
        <f t="shared" si="1"/>
        <v>60.944000000000003</v>
      </c>
      <c r="G32" s="173">
        <f t="shared" si="1"/>
        <v>51.283999999999999</v>
      </c>
      <c r="H32" s="173">
        <f t="shared" ref="H32:J33" si="2">(H10+H12+H4+H6+H8+H14+H16+H18+H20+H22+H24+H26+H28)</f>
        <v>20.417999999999999</v>
      </c>
      <c r="I32" s="173">
        <f t="shared" si="2"/>
        <v>30.885000000000002</v>
      </c>
      <c r="J32" s="173">
        <f t="shared" si="2"/>
        <v>5.6760000000000002</v>
      </c>
      <c r="K32" s="173"/>
      <c r="L32" s="174">
        <f>SUM(D32:K32)</f>
        <v>169.20699999999999</v>
      </c>
      <c r="S32" s="280"/>
      <c r="T32" s="280"/>
      <c r="U32" s="280"/>
    </row>
    <row r="33" spans="1:21" s="160" customFormat="1" ht="15.95" customHeight="1">
      <c r="A33" s="652"/>
      <c r="B33" s="164" t="s">
        <v>161</v>
      </c>
      <c r="C33" s="164"/>
      <c r="D33" s="172">
        <f>(D11+D13+D5+D7+D9+D15+D17+D19+D21+D23+D25+D27+D29)</f>
        <v>0</v>
      </c>
      <c r="E33" s="172">
        <f t="shared" si="1"/>
        <v>0</v>
      </c>
      <c r="F33" s="172">
        <f t="shared" si="1"/>
        <v>64.600999999999999</v>
      </c>
      <c r="G33" s="172">
        <f t="shared" si="1"/>
        <v>54.360999999999997</v>
      </c>
      <c r="H33" s="172">
        <f t="shared" si="2"/>
        <v>21.030999999999999</v>
      </c>
      <c r="I33" s="172">
        <f t="shared" si="2"/>
        <v>31.812000000000001</v>
      </c>
      <c r="J33" s="172">
        <f t="shared" si="2"/>
        <v>5.8460000000000001</v>
      </c>
      <c r="K33" s="172"/>
      <c r="L33" s="166">
        <f>SUM(D33:K33)</f>
        <v>177.65100000000001</v>
      </c>
      <c r="M33" s="175">
        <f>L33-L32</f>
        <v>8.4440000000000168</v>
      </c>
      <c r="S33" s="280"/>
      <c r="T33" s="280"/>
      <c r="U33" s="280"/>
    </row>
    <row r="34" spans="1:21" s="160" customFormat="1" ht="15.95" customHeight="1">
      <c r="A34" s="176"/>
      <c r="B34" s="176"/>
      <c r="C34" s="176"/>
      <c r="D34" s="177"/>
      <c r="E34" s="177"/>
      <c r="F34" s="177"/>
      <c r="G34" s="177"/>
      <c r="H34" s="177"/>
      <c r="I34" s="177"/>
      <c r="J34" s="177"/>
      <c r="K34" s="177"/>
      <c r="L34" s="178"/>
      <c r="M34" s="175"/>
      <c r="S34" s="280"/>
      <c r="T34" s="280"/>
      <c r="U34" s="280"/>
    </row>
    <row r="35" spans="1:21" ht="15.75" hidden="1" customHeight="1">
      <c r="A35" s="157" t="str">
        <f>"  &lt; "&amp;간지!$Z$3&amp;" &gt;  ( SD300 ) "</f>
        <v xml:space="preserve">  &lt; 갈전7교 &gt;  ( SD300 ) </v>
      </c>
      <c r="B35" s="158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S35" s="280"/>
      <c r="T35" s="280"/>
      <c r="U35" s="280"/>
    </row>
    <row r="36" spans="1:21" s="160" customFormat="1" ht="15.95" hidden="1" customHeight="1">
      <c r="A36" s="6" t="s">
        <v>193</v>
      </c>
      <c r="B36" s="5" t="s">
        <v>158</v>
      </c>
      <c r="C36" s="5" t="s">
        <v>2</v>
      </c>
      <c r="D36" s="5" t="s">
        <v>162</v>
      </c>
      <c r="E36" s="5" t="s">
        <v>163</v>
      </c>
      <c r="F36" s="5" t="s">
        <v>164</v>
      </c>
      <c r="G36" s="5" t="s">
        <v>165</v>
      </c>
      <c r="H36" s="5" t="s">
        <v>166</v>
      </c>
      <c r="I36" s="5" t="s">
        <v>167</v>
      </c>
      <c r="J36" s="5" t="s">
        <v>168</v>
      </c>
      <c r="K36" s="5" t="s">
        <v>169</v>
      </c>
      <c r="L36" s="5" t="s">
        <v>85</v>
      </c>
      <c r="S36" s="280"/>
      <c r="T36" s="280"/>
      <c r="U36" s="280"/>
    </row>
    <row r="37" spans="1:21" s="160" customFormat="1" ht="15.95" hidden="1" customHeight="1">
      <c r="A37" s="651"/>
      <c r="B37" s="161" t="s">
        <v>159</v>
      </c>
      <c r="C37" s="161" t="s">
        <v>160</v>
      </c>
      <c r="D37" s="162"/>
      <c r="E37" s="162"/>
      <c r="F37" s="162"/>
      <c r="G37" s="162"/>
      <c r="H37" s="162"/>
      <c r="I37" s="162"/>
      <c r="J37" s="162"/>
      <c r="K37" s="162"/>
      <c r="L37" s="163" t="str">
        <f t="shared" ref="L37:L42" si="3">IF(SUM(D37:K37)&gt;0,SUM(D37:K37),"")</f>
        <v/>
      </c>
      <c r="M37" s="179"/>
      <c r="O37" s="280"/>
      <c r="P37" s="280"/>
      <c r="Q37" s="280"/>
      <c r="R37" s="280"/>
      <c r="S37" s="280"/>
      <c r="T37" s="280"/>
      <c r="U37" s="280"/>
    </row>
    <row r="38" spans="1:21" s="160" customFormat="1" ht="15.95" hidden="1" customHeight="1">
      <c r="A38" s="652"/>
      <c r="B38" s="164" t="s">
        <v>161</v>
      </c>
      <c r="C38" s="164"/>
      <c r="D38" s="165"/>
      <c r="E38" s="165"/>
      <c r="F38" s="165"/>
      <c r="G38" s="165"/>
      <c r="H38" s="165"/>
      <c r="I38" s="165"/>
      <c r="J38" s="165"/>
      <c r="K38" s="165"/>
      <c r="L38" s="166" t="str">
        <f t="shared" si="3"/>
        <v/>
      </c>
      <c r="M38" s="179"/>
      <c r="O38" s="280"/>
      <c r="P38" s="280"/>
      <c r="Q38" s="280"/>
      <c r="R38" s="280"/>
      <c r="S38" s="280"/>
      <c r="T38" s="280"/>
      <c r="U38" s="280"/>
    </row>
    <row r="39" spans="1:21" s="160" customFormat="1" ht="15.95" hidden="1" customHeight="1">
      <c r="A39" s="651"/>
      <c r="B39" s="167" t="s">
        <v>159</v>
      </c>
      <c r="C39" s="167" t="s">
        <v>160</v>
      </c>
      <c r="D39" s="168"/>
      <c r="E39" s="169"/>
      <c r="F39" s="169"/>
      <c r="G39" s="168"/>
      <c r="H39" s="169"/>
      <c r="I39" s="170"/>
      <c r="J39" s="169"/>
      <c r="K39" s="169"/>
      <c r="L39" s="163" t="str">
        <f t="shared" si="3"/>
        <v/>
      </c>
    </row>
    <row r="40" spans="1:21" s="160" customFormat="1" ht="15.95" hidden="1" customHeight="1">
      <c r="A40" s="652"/>
      <c r="B40" s="164" t="s">
        <v>161</v>
      </c>
      <c r="C40" s="164"/>
      <c r="D40" s="165"/>
      <c r="E40" s="165"/>
      <c r="F40" s="165"/>
      <c r="G40" s="165"/>
      <c r="H40" s="165"/>
      <c r="I40" s="165"/>
      <c r="J40" s="165"/>
      <c r="K40" s="165"/>
      <c r="L40" s="166" t="str">
        <f t="shared" si="3"/>
        <v/>
      </c>
    </row>
    <row r="41" spans="1:21" s="160" customFormat="1" ht="15.95" hidden="1" customHeight="1">
      <c r="A41" s="651"/>
      <c r="B41" s="161" t="s">
        <v>159</v>
      </c>
      <c r="C41" s="161" t="s">
        <v>160</v>
      </c>
      <c r="D41" s="162"/>
      <c r="E41" s="162"/>
      <c r="F41" s="162"/>
      <c r="G41" s="162"/>
      <c r="H41" s="162"/>
      <c r="I41" s="162"/>
      <c r="J41" s="162"/>
      <c r="K41" s="162"/>
      <c r="L41" s="163" t="str">
        <f t="shared" si="3"/>
        <v/>
      </c>
      <c r="N41" s="179"/>
      <c r="O41" s="280"/>
      <c r="P41" s="279"/>
      <c r="Q41" s="279"/>
      <c r="R41" s="279"/>
      <c r="S41" s="279"/>
      <c r="T41" s="279"/>
      <c r="U41" s="280"/>
    </row>
    <row r="42" spans="1:21" s="160" customFormat="1" ht="15.95" hidden="1" customHeight="1">
      <c r="A42" s="652"/>
      <c r="B42" s="164" t="s">
        <v>161</v>
      </c>
      <c r="C42" s="164"/>
      <c r="D42" s="165"/>
      <c r="E42" s="165"/>
      <c r="F42" s="165"/>
      <c r="G42" s="165"/>
      <c r="H42" s="165"/>
      <c r="I42" s="165"/>
      <c r="J42" s="165"/>
      <c r="K42" s="165"/>
      <c r="L42" s="166" t="str">
        <f t="shared" si="3"/>
        <v/>
      </c>
    </row>
    <row r="43" spans="1:21" s="160" customFormat="1" ht="15.95" hidden="1" customHeight="1">
      <c r="A43" s="653" t="s">
        <v>203</v>
      </c>
      <c r="B43" s="167" t="s">
        <v>159</v>
      </c>
      <c r="C43" s="167" t="s">
        <v>160</v>
      </c>
      <c r="D43" s="169"/>
      <c r="E43" s="169"/>
      <c r="F43" s="169"/>
      <c r="G43" s="169"/>
      <c r="H43" s="169"/>
      <c r="I43" s="169"/>
      <c r="J43" s="169"/>
      <c r="K43" s="169"/>
      <c r="L43" s="163" t="str">
        <f t="shared" ref="L43:L62" si="4">IF(SUM(D43:K43)&gt;0,SUM(D43:K43),"")</f>
        <v/>
      </c>
    </row>
    <row r="44" spans="1:21" s="160" customFormat="1" ht="15.95" hidden="1" customHeight="1">
      <c r="A44" s="652"/>
      <c r="B44" s="164" t="s">
        <v>161</v>
      </c>
      <c r="C44" s="164"/>
      <c r="D44" s="165"/>
      <c r="E44" s="165"/>
      <c r="F44" s="165"/>
      <c r="G44" s="165"/>
      <c r="H44" s="165"/>
      <c r="I44" s="165"/>
      <c r="J44" s="165"/>
      <c r="K44" s="165"/>
      <c r="L44" s="166" t="str">
        <f t="shared" si="4"/>
        <v/>
      </c>
    </row>
    <row r="45" spans="1:21" s="160" customFormat="1" ht="15.95" hidden="1" customHeight="1">
      <c r="A45" s="651"/>
      <c r="B45" s="167" t="s">
        <v>159</v>
      </c>
      <c r="C45" s="167" t="s">
        <v>160</v>
      </c>
      <c r="D45" s="169"/>
      <c r="E45" s="169"/>
      <c r="F45" s="169"/>
      <c r="G45" s="168"/>
      <c r="H45" s="169"/>
      <c r="I45" s="169"/>
      <c r="J45" s="169"/>
      <c r="K45" s="169"/>
      <c r="L45" s="163" t="str">
        <f t="shared" si="4"/>
        <v/>
      </c>
    </row>
    <row r="46" spans="1:21" s="160" customFormat="1" ht="15.95" hidden="1" customHeight="1">
      <c r="A46" s="652"/>
      <c r="B46" s="164" t="s">
        <v>161</v>
      </c>
      <c r="C46" s="164"/>
      <c r="D46" s="172"/>
      <c r="E46" s="172"/>
      <c r="F46" s="172"/>
      <c r="G46" s="171"/>
      <c r="H46" s="172"/>
      <c r="I46" s="172"/>
      <c r="J46" s="172"/>
      <c r="K46" s="172"/>
      <c r="L46" s="166" t="str">
        <f t="shared" si="4"/>
        <v/>
      </c>
    </row>
    <row r="47" spans="1:21" s="160" customFormat="1" ht="15.95" hidden="1" customHeight="1">
      <c r="A47" s="651"/>
      <c r="B47" s="167" t="s">
        <v>159</v>
      </c>
      <c r="C47" s="167" t="s">
        <v>160</v>
      </c>
      <c r="D47" s="168"/>
      <c r="E47" s="169"/>
      <c r="F47" s="169"/>
      <c r="G47" s="168"/>
      <c r="H47" s="169"/>
      <c r="I47" s="170"/>
      <c r="J47" s="169"/>
      <c r="K47" s="169"/>
      <c r="L47" s="163" t="str">
        <f t="shared" si="4"/>
        <v/>
      </c>
    </row>
    <row r="48" spans="1:21" s="160" customFormat="1" ht="15.95" hidden="1" customHeight="1">
      <c r="A48" s="652"/>
      <c r="B48" s="164" t="s">
        <v>161</v>
      </c>
      <c r="C48" s="164"/>
      <c r="D48" s="171"/>
      <c r="E48" s="172"/>
      <c r="F48" s="172"/>
      <c r="G48" s="171"/>
      <c r="H48" s="172"/>
      <c r="I48" s="172"/>
      <c r="J48" s="172"/>
      <c r="K48" s="172"/>
      <c r="L48" s="166" t="str">
        <f t="shared" si="4"/>
        <v/>
      </c>
    </row>
    <row r="49" spans="1:14" s="160" customFormat="1" ht="15.95" hidden="1" customHeight="1">
      <c r="A49" s="651"/>
      <c r="B49" s="167" t="s">
        <v>159</v>
      </c>
      <c r="C49" s="167" t="s">
        <v>160</v>
      </c>
      <c r="D49" s="168"/>
      <c r="E49" s="169"/>
      <c r="F49" s="169"/>
      <c r="G49" s="168"/>
      <c r="H49" s="169"/>
      <c r="I49" s="170"/>
      <c r="J49" s="169"/>
      <c r="K49" s="169"/>
      <c r="L49" s="163" t="str">
        <f t="shared" si="4"/>
        <v/>
      </c>
    </row>
    <row r="50" spans="1:14" s="160" customFormat="1" ht="15.95" hidden="1" customHeight="1">
      <c r="A50" s="652"/>
      <c r="B50" s="164" t="s">
        <v>161</v>
      </c>
      <c r="C50" s="164"/>
      <c r="D50" s="171"/>
      <c r="E50" s="172"/>
      <c r="F50" s="172"/>
      <c r="G50" s="171"/>
      <c r="H50" s="172"/>
      <c r="I50" s="172"/>
      <c r="J50" s="172"/>
      <c r="K50" s="172"/>
      <c r="L50" s="166" t="str">
        <f t="shared" si="4"/>
        <v/>
      </c>
    </row>
    <row r="51" spans="1:14" s="160" customFormat="1" ht="15.95" hidden="1" customHeight="1">
      <c r="A51" s="651"/>
      <c r="B51" s="167" t="s">
        <v>159</v>
      </c>
      <c r="C51" s="167" t="s">
        <v>160</v>
      </c>
      <c r="D51" s="168"/>
      <c r="E51" s="169"/>
      <c r="F51" s="169"/>
      <c r="G51" s="168"/>
      <c r="H51" s="169"/>
      <c r="I51" s="170"/>
      <c r="J51" s="169"/>
      <c r="K51" s="169"/>
      <c r="L51" s="163" t="str">
        <f t="shared" si="4"/>
        <v/>
      </c>
    </row>
    <row r="52" spans="1:14" s="160" customFormat="1" ht="15.95" hidden="1" customHeight="1">
      <c r="A52" s="652"/>
      <c r="B52" s="164" t="s">
        <v>161</v>
      </c>
      <c r="C52" s="164"/>
      <c r="D52" s="171"/>
      <c r="E52" s="172"/>
      <c r="F52" s="172"/>
      <c r="G52" s="171"/>
      <c r="H52" s="172"/>
      <c r="I52" s="172"/>
      <c r="J52" s="172"/>
      <c r="K52" s="172"/>
      <c r="L52" s="166" t="str">
        <f t="shared" si="4"/>
        <v/>
      </c>
    </row>
    <row r="53" spans="1:14" s="160" customFormat="1" ht="15.95" hidden="1" customHeight="1">
      <c r="A53" s="651"/>
      <c r="B53" s="167" t="s">
        <v>159</v>
      </c>
      <c r="C53" s="167" t="s">
        <v>160</v>
      </c>
      <c r="D53" s="168"/>
      <c r="E53" s="169"/>
      <c r="F53" s="169"/>
      <c r="G53" s="168"/>
      <c r="H53" s="169"/>
      <c r="I53" s="170"/>
      <c r="J53" s="169"/>
      <c r="K53" s="169"/>
      <c r="L53" s="163" t="str">
        <f t="shared" si="4"/>
        <v/>
      </c>
    </row>
    <row r="54" spans="1:14" s="160" customFormat="1" ht="15.95" hidden="1" customHeight="1">
      <c r="A54" s="652"/>
      <c r="B54" s="164" t="s">
        <v>161</v>
      </c>
      <c r="C54" s="164"/>
      <c r="D54" s="171"/>
      <c r="E54" s="172"/>
      <c r="F54" s="172"/>
      <c r="G54" s="171"/>
      <c r="H54" s="172"/>
      <c r="I54" s="172"/>
      <c r="J54" s="172"/>
      <c r="K54" s="172"/>
      <c r="L54" s="166" t="str">
        <f t="shared" si="4"/>
        <v/>
      </c>
    </row>
    <row r="55" spans="1:14" s="160" customFormat="1" ht="15.95" hidden="1" customHeight="1">
      <c r="A55" s="651"/>
      <c r="B55" s="167" t="s">
        <v>159</v>
      </c>
      <c r="C55" s="167" t="s">
        <v>160</v>
      </c>
      <c r="D55" s="168"/>
      <c r="E55" s="169"/>
      <c r="F55" s="169"/>
      <c r="G55" s="168"/>
      <c r="H55" s="169"/>
      <c r="I55" s="170"/>
      <c r="J55" s="169"/>
      <c r="K55" s="169"/>
      <c r="L55" s="163" t="str">
        <f t="shared" si="4"/>
        <v/>
      </c>
    </row>
    <row r="56" spans="1:14" s="160" customFormat="1" ht="15.95" hidden="1" customHeight="1">
      <c r="A56" s="652"/>
      <c r="B56" s="164" t="s">
        <v>161</v>
      </c>
      <c r="C56" s="164"/>
      <c r="D56" s="171"/>
      <c r="E56" s="172"/>
      <c r="F56" s="172"/>
      <c r="G56" s="171"/>
      <c r="H56" s="172"/>
      <c r="I56" s="172"/>
      <c r="J56" s="172"/>
      <c r="K56" s="172"/>
      <c r="L56" s="166" t="str">
        <f t="shared" si="4"/>
        <v/>
      </c>
    </row>
    <row r="57" spans="1:14" s="160" customFormat="1" ht="15.95" hidden="1" customHeight="1">
      <c r="A57" s="651"/>
      <c r="B57" s="167" t="s">
        <v>159</v>
      </c>
      <c r="C57" s="167" t="s">
        <v>160</v>
      </c>
      <c r="D57" s="168"/>
      <c r="E57" s="169"/>
      <c r="F57" s="169"/>
      <c r="G57" s="168"/>
      <c r="H57" s="169"/>
      <c r="I57" s="170"/>
      <c r="J57" s="169"/>
      <c r="K57" s="169"/>
      <c r="L57" s="163" t="str">
        <f t="shared" si="4"/>
        <v/>
      </c>
    </row>
    <row r="58" spans="1:14" s="160" customFormat="1" ht="15.95" hidden="1" customHeight="1">
      <c r="A58" s="652"/>
      <c r="B58" s="164" t="s">
        <v>161</v>
      </c>
      <c r="C58" s="164"/>
      <c r="D58" s="171"/>
      <c r="E58" s="172"/>
      <c r="F58" s="172"/>
      <c r="G58" s="171"/>
      <c r="H58" s="172"/>
      <c r="I58" s="172"/>
      <c r="J58" s="172"/>
      <c r="K58" s="172"/>
      <c r="L58" s="166" t="str">
        <f t="shared" si="4"/>
        <v/>
      </c>
    </row>
    <row r="59" spans="1:14" s="160" customFormat="1" ht="15.95" hidden="1" customHeight="1">
      <c r="A59" s="651"/>
      <c r="B59" s="167" t="s">
        <v>159</v>
      </c>
      <c r="C59" s="167" t="s">
        <v>160</v>
      </c>
      <c r="D59" s="168"/>
      <c r="E59" s="169"/>
      <c r="F59" s="169"/>
      <c r="G59" s="168"/>
      <c r="H59" s="169"/>
      <c r="I59" s="170"/>
      <c r="J59" s="169"/>
      <c r="K59" s="169"/>
      <c r="L59" s="163" t="str">
        <f t="shared" si="4"/>
        <v/>
      </c>
    </row>
    <row r="60" spans="1:14" s="160" customFormat="1" ht="15.95" hidden="1" customHeight="1">
      <c r="A60" s="652"/>
      <c r="B60" s="164" t="s">
        <v>161</v>
      </c>
      <c r="C60" s="164"/>
      <c r="D60" s="165"/>
      <c r="E60" s="165"/>
      <c r="F60" s="165"/>
      <c r="G60" s="165"/>
      <c r="H60" s="165"/>
      <c r="I60" s="165"/>
      <c r="J60" s="165"/>
      <c r="K60" s="165"/>
      <c r="L60" s="166" t="str">
        <f>IF(SUM(D60:K60)&gt;0,SUM(D60:K60),"")</f>
        <v/>
      </c>
    </row>
    <row r="61" spans="1:14" s="160" customFormat="1" ht="15.95" hidden="1" customHeight="1">
      <c r="A61" s="651"/>
      <c r="B61" s="167" t="s">
        <v>159</v>
      </c>
      <c r="C61" s="167" t="s">
        <v>160</v>
      </c>
      <c r="D61" s="168"/>
      <c r="E61" s="169"/>
      <c r="F61" s="169"/>
      <c r="G61" s="168"/>
      <c r="H61" s="169"/>
      <c r="I61" s="170"/>
      <c r="J61" s="169"/>
      <c r="K61" s="169"/>
      <c r="L61" s="163" t="str">
        <f t="shared" si="4"/>
        <v/>
      </c>
    </row>
    <row r="62" spans="1:14" s="160" customFormat="1" ht="15.95" hidden="1" customHeight="1">
      <c r="A62" s="652"/>
      <c r="B62" s="164" t="s">
        <v>161</v>
      </c>
      <c r="C62" s="164"/>
      <c r="D62" s="171"/>
      <c r="E62" s="172"/>
      <c r="F62" s="172"/>
      <c r="G62" s="171"/>
      <c r="H62" s="172"/>
      <c r="I62" s="172"/>
      <c r="J62" s="172"/>
      <c r="K62" s="172"/>
      <c r="L62" s="166" t="str">
        <f t="shared" si="4"/>
        <v/>
      </c>
    </row>
    <row r="63" spans="1:14" s="160" customFormat="1" ht="15.95" hidden="1" customHeight="1">
      <c r="A63" s="651" t="s">
        <v>202</v>
      </c>
      <c r="B63" s="167" t="s">
        <v>159</v>
      </c>
      <c r="C63" s="167" t="s">
        <v>160</v>
      </c>
      <c r="D63" s="173"/>
      <c r="E63" s="173">
        <f t="shared" ref="E63:K64" si="5">(E43+E45+E37+E41+E47+E49+E51+E53+E55+E57+E59+E61+E39)</f>
        <v>0</v>
      </c>
      <c r="F63" s="173">
        <f t="shared" si="5"/>
        <v>0</v>
      </c>
      <c r="G63" s="173">
        <f t="shared" si="5"/>
        <v>0</v>
      </c>
      <c r="H63" s="173">
        <f t="shared" si="5"/>
        <v>0</v>
      </c>
      <c r="I63" s="173">
        <f t="shared" si="5"/>
        <v>0</v>
      </c>
      <c r="J63" s="173">
        <f t="shared" si="5"/>
        <v>0</v>
      </c>
      <c r="K63" s="173">
        <f t="shared" si="5"/>
        <v>0</v>
      </c>
      <c r="L63" s="174">
        <f>SUM(D63:K63)</f>
        <v>0</v>
      </c>
      <c r="M63" s="180">
        <f>L64-L63</f>
        <v>0</v>
      </c>
      <c r="N63" s="181"/>
    </row>
    <row r="64" spans="1:14" s="160" customFormat="1" ht="15.95" hidden="1" customHeight="1">
      <c r="A64" s="652"/>
      <c r="B64" s="164" t="s">
        <v>161</v>
      </c>
      <c r="C64" s="164"/>
      <c r="D64" s="172"/>
      <c r="E64" s="172">
        <f t="shared" si="5"/>
        <v>0</v>
      </c>
      <c r="F64" s="172">
        <f t="shared" si="5"/>
        <v>0</v>
      </c>
      <c r="G64" s="172">
        <f t="shared" si="5"/>
        <v>0</v>
      </c>
      <c r="H64" s="172">
        <f t="shared" si="5"/>
        <v>0</v>
      </c>
      <c r="I64" s="172">
        <f t="shared" si="5"/>
        <v>0</v>
      </c>
      <c r="J64" s="172">
        <f t="shared" si="5"/>
        <v>0</v>
      </c>
      <c r="K64" s="172">
        <f t="shared" si="5"/>
        <v>0</v>
      </c>
      <c r="L64" s="166">
        <f>SUM(D64:K64)</f>
        <v>0</v>
      </c>
      <c r="M64" s="175"/>
    </row>
    <row r="65" spans="1:12" ht="12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</row>
    <row r="66" spans="1:12" ht="12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</row>
    <row r="67" spans="1:12" ht="12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</row>
    <row r="68" spans="1:12" ht="12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</row>
    <row r="69" spans="1:12" ht="12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</row>
    <row r="70" spans="1:12" ht="12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</row>
    <row r="71" spans="1:12" ht="12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</row>
    <row r="72" spans="1:12" ht="12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</row>
    <row r="73" spans="1:12" ht="12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</row>
    <row r="74" spans="1:12" ht="12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</row>
    <row r="75" spans="1:12" ht="12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</row>
    <row r="76" spans="1:12" ht="12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</row>
    <row r="77" spans="1:12" ht="12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</row>
    <row r="78" spans="1:12" ht="12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</row>
    <row r="79" spans="1:12" ht="12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</row>
    <row r="80" spans="1:12" ht="12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</row>
    <row r="81" spans="1:12" ht="12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</row>
    <row r="82" spans="1:12" ht="12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</row>
    <row r="83" spans="1:12" ht="12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</row>
    <row r="84" spans="1:12" ht="12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</row>
    <row r="85" spans="1:12" ht="12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</row>
    <row r="86" spans="1:12" ht="12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</row>
    <row r="87" spans="1:12" ht="12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</row>
    <row r="88" spans="1:12" ht="12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</row>
    <row r="89" spans="1:12" ht="12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</row>
    <row r="90" spans="1:12" ht="12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</row>
    <row r="91" spans="1:12" ht="12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</row>
    <row r="92" spans="1:12" ht="12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</row>
    <row r="93" spans="1:12" ht="12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</row>
    <row r="94" spans="1:12" ht="12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</row>
    <row r="95" spans="1:12" ht="12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</row>
    <row r="96" spans="1:12" ht="12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</row>
    <row r="97" spans="1:12" ht="12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</row>
    <row r="98" spans="1:12" ht="12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</row>
    <row r="99" spans="1:12" ht="12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</row>
    <row r="100" spans="1:12" ht="12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</row>
    <row r="101" spans="1:12" ht="12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</row>
    <row r="102" spans="1:12" ht="12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</row>
    <row r="103" spans="1:12" ht="12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</row>
    <row r="104" spans="1:12" ht="12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</row>
    <row r="105" spans="1:12" ht="12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</row>
    <row r="106" spans="1:12" ht="12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</row>
    <row r="107" spans="1:12" ht="12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</row>
    <row r="108" spans="1:12" ht="12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</row>
    <row r="109" spans="1:12" ht="12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</row>
    <row r="110" spans="1:12" ht="12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</row>
    <row r="111" spans="1:12" ht="12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</row>
    <row r="112" spans="1:12" ht="12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</row>
    <row r="113" spans="1:12" ht="12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</row>
    <row r="114" spans="1:12" ht="12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</row>
    <row r="115" spans="1:12" ht="12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</row>
    <row r="116" spans="1:12" ht="12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</row>
    <row r="117" spans="1:12" ht="12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</row>
    <row r="118" spans="1:12" ht="12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</row>
    <row r="119" spans="1:12" ht="12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</row>
    <row r="120" spans="1:12" ht="12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</row>
    <row r="121" spans="1:12" ht="12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</row>
    <row r="122" spans="1:12" ht="12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</row>
    <row r="123" spans="1:12" ht="12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</row>
    <row r="124" spans="1:12" ht="12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</row>
    <row r="125" spans="1:12" ht="12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</row>
    <row r="126" spans="1:12" ht="12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</row>
    <row r="127" spans="1:12" ht="12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</row>
    <row r="128" spans="1:12" ht="12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</row>
    <row r="129" spans="1:12" ht="12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</row>
    <row r="130" spans="1:12" ht="12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</row>
    <row r="131" spans="1:12" ht="12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</row>
    <row r="132" spans="1:12" ht="12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</row>
    <row r="133" spans="1:12" ht="12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</row>
    <row r="134" spans="1:12" ht="12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</row>
    <row r="135" spans="1:12" ht="12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</row>
    <row r="136" spans="1:12" ht="12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</row>
    <row r="137" spans="1:12" ht="12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</row>
    <row r="138" spans="1:12" ht="12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</row>
    <row r="139" spans="1:12" ht="12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</row>
    <row r="140" spans="1:12" ht="12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</row>
    <row r="141" spans="1:12" ht="12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</row>
    <row r="142" spans="1:12" ht="12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</row>
    <row r="143" spans="1:12" ht="12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</row>
    <row r="144" spans="1:12" ht="12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</row>
    <row r="145" spans="1:12" ht="12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</row>
    <row r="146" spans="1:12" ht="12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</row>
    <row r="147" spans="1:12" ht="12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</row>
    <row r="148" spans="1:12" ht="12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</row>
    <row r="149" spans="1:12" ht="12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</row>
    <row r="150" spans="1:12" ht="12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</row>
    <row r="151" spans="1:12" ht="12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</row>
    <row r="152" spans="1:12" ht="12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</row>
    <row r="153" spans="1:12" ht="12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</row>
    <row r="154" spans="1:12" ht="12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</row>
    <row r="155" spans="1:12" ht="12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</row>
    <row r="156" spans="1:12" ht="12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</row>
    <row r="157" spans="1:12" ht="12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</row>
    <row r="158" spans="1:12" ht="12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</row>
    <row r="159" spans="1:12" ht="12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</row>
    <row r="160" spans="1:12" ht="12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</row>
    <row r="161" spans="1:12" ht="12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</row>
  </sheetData>
  <mergeCells count="29">
    <mergeCell ref="A37:A38"/>
    <mergeCell ref="A47:A48"/>
    <mergeCell ref="A24:A25"/>
    <mergeCell ref="A26:A27"/>
    <mergeCell ref="A28:A29"/>
    <mergeCell ref="A45:A46"/>
    <mergeCell ref="A41:A42"/>
    <mergeCell ref="A32:A33"/>
    <mergeCell ref="A30:A31"/>
    <mergeCell ref="A20:A21"/>
    <mergeCell ref="A16:A17"/>
    <mergeCell ref="A63:A64"/>
    <mergeCell ref="A49:A50"/>
    <mergeCell ref="A51:A52"/>
    <mergeCell ref="A53:A54"/>
    <mergeCell ref="A55:A56"/>
    <mergeCell ref="A61:A62"/>
    <mergeCell ref="A43:A44"/>
    <mergeCell ref="A22:A23"/>
    <mergeCell ref="A18:A19"/>
    <mergeCell ref="A14:A15"/>
    <mergeCell ref="A39:A40"/>
    <mergeCell ref="A59:A60"/>
    <mergeCell ref="A57:A58"/>
    <mergeCell ref="A4:A5"/>
    <mergeCell ref="A10:A11"/>
    <mergeCell ref="A6:A7"/>
    <mergeCell ref="A8:A9"/>
    <mergeCell ref="A12:A13"/>
  </mergeCells>
  <phoneticPr fontId="5" type="noConversion"/>
  <printOptions horizontalCentered="1"/>
  <pageMargins left="0.78740157480314965" right="0.78740157480314965" top="0.59" bottom="0.74" header="0.36" footer="0.44"/>
  <pageSetup paperSize="9" orientation="landscape" r:id="rId1"/>
  <headerFooter alignWithMargins="0">
    <oddHeader>&amp;C&amp;"돋움체,굵게"&amp;12구조물공 철근 집계표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13</vt:i4>
      </vt:variant>
    </vt:vector>
  </HeadingPairs>
  <TitlesOfParts>
    <vt:vector size="27" baseType="lpstr">
      <vt:lpstr>간지</vt:lpstr>
      <vt:lpstr>간지(1)xx</vt:lpstr>
      <vt:lpstr>내역서</vt:lpstr>
      <vt:lpstr>간지(2)xx</vt:lpstr>
      <vt:lpstr>주요자재</vt:lpstr>
      <vt:lpstr>콘크리트자재집계</vt:lpstr>
      <vt:lpstr>골재수량 집계표</vt:lpstr>
      <vt:lpstr>시멘트 및 골재량 산출</vt:lpstr>
      <vt:lpstr>간지(3)xx</vt:lpstr>
      <vt:lpstr>전체이월수량</vt:lpstr>
      <vt:lpstr>간지(4)xx</vt:lpstr>
      <vt:lpstr>토공총괄집계표</vt:lpstr>
      <vt:lpstr>구조물공총괄집계표</vt:lpstr>
      <vt:lpstr>철근총괄</vt:lpstr>
      <vt:lpstr>간지!Print_Area</vt:lpstr>
      <vt:lpstr>'골재수량 집계표'!Print_Area</vt:lpstr>
      <vt:lpstr>구조물공총괄집계표!Print_Area</vt:lpstr>
      <vt:lpstr>내역서!Print_Area</vt:lpstr>
      <vt:lpstr>'시멘트 및 골재량 산출'!Print_Area</vt:lpstr>
      <vt:lpstr>전체이월수량!Print_Area</vt:lpstr>
      <vt:lpstr>주요자재!Print_Area</vt:lpstr>
      <vt:lpstr>철근총괄!Print_Area</vt:lpstr>
      <vt:lpstr>콘크리트자재집계!Print_Area</vt:lpstr>
      <vt:lpstr>토공총괄집계표!Print_Area</vt:lpstr>
      <vt:lpstr>구조물공총괄집계표!Print_Titles</vt:lpstr>
      <vt:lpstr>내역서!Print_Titles</vt:lpstr>
      <vt:lpstr>전체이월수량!Print_Titles</vt:lpstr>
    </vt:vector>
  </TitlesOfParts>
  <Company>구조부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함형오</dc:creator>
  <cp:lastModifiedBy>영모김</cp:lastModifiedBy>
  <cp:lastPrinted>2026-01-15T05:46:36Z</cp:lastPrinted>
  <dcterms:created xsi:type="dcterms:W3CDTF">2006-01-16T04:14:47Z</dcterms:created>
  <dcterms:modified xsi:type="dcterms:W3CDTF">2026-04-17T00:42:51Z</dcterms:modified>
</cp:coreProperties>
</file>