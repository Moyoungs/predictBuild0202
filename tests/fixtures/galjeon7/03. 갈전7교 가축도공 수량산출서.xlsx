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inas.dbeng.co.kr\구조부\공유5(2024년)\J2023067 창원죽동지구 하천기본계획 수립 및 실시설계\05 성과품\03 수량\13. 갈전7교\"/>
    </mc:Choice>
  </mc:AlternateContent>
  <xr:revisionPtr revIDLastSave="0" documentId="13_ncr:1_{163D1FF6-2FF5-47C7-B5B6-D0B61DA89F39}" xr6:coauthVersionLast="36" xr6:coauthVersionMax="36" xr10:uidLastSave="{00000000-0000-0000-0000-000000000000}"/>
  <bookViews>
    <workbookView xWindow="0" yWindow="0" windowWidth="28800" windowHeight="11580" tabRatio="910" firstSheet="1" activeTab="2" xr2:uid="{00000000-000D-0000-FFFF-FFFF00000000}"/>
  </bookViews>
  <sheets>
    <sheet name="소간지" sheetId="29" state="hidden" r:id="rId1"/>
    <sheet name="간지(가축도)" sheetId="30" r:id="rId2"/>
    <sheet name="가축도집계" sheetId="25" r:id="rId3"/>
    <sheet name="갈전7교" sheetId="42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0S3_" hidden="1">{#N/A,#N/A,FALSE,"포장2"}</definedName>
    <definedName name="_1P3_" hidden="1">{#N/A,#N/A,FALSE,"배수1"}</definedName>
    <definedName name="_2P3_" hidden="1">{#N/A,#N/A,FALSE,"배수1"}</definedName>
    <definedName name="_2P4_" hidden="1">{#N/A,#N/A,FALSE,"혼합골재"}</definedName>
    <definedName name="_3P5_" hidden="1">{#N/A,#N/A,FALSE,"배수1"}</definedName>
    <definedName name="_4P4_" hidden="1">{#N/A,#N/A,FALSE,"혼합골재"}</definedName>
    <definedName name="_4P6_" hidden="1">{#N/A,#N/A,FALSE,"2~8번"}</definedName>
    <definedName name="_5S3_" hidden="1">{#N/A,#N/A,FALSE,"포장2"}</definedName>
    <definedName name="_6P5_" hidden="1">{#N/A,#N/A,FALSE,"배수1"}</definedName>
    <definedName name="_8P6_" hidden="1">{#N/A,#N/A,FALSE,"2~8번"}</definedName>
    <definedName name="_dist__bin" localSheetId="3" hidden="1">[1]조명시설!#REF!</definedName>
    <definedName name="_dist__bin" hidden="1">[1]조명시설!#REF!</definedName>
    <definedName name="_Dist_Bin" localSheetId="3" hidden="1">[2]조명시설!#REF!</definedName>
    <definedName name="_Dist_Bin" hidden="1">[2]조명시설!#REF!</definedName>
    <definedName name="_Dist_Values" localSheetId="3" hidden="1">[2]조명시설!#REF!</definedName>
    <definedName name="_Dist_Values" hidden="1">[2]조명시설!#REF!</definedName>
    <definedName name="_Fill" localSheetId="3" hidden="1">[2]조명시설!#REF!</definedName>
    <definedName name="_Fill" hidden="1">[2]조명시설!#REF!</definedName>
    <definedName name="_xlnm._FilterDatabase" localSheetId="3" hidden="1">#REF!</definedName>
    <definedName name="_xlnm._FilterDatabase" hidden="1">#REF!</definedName>
    <definedName name="_Key1" localSheetId="3" hidden="1">[2]조명시설!#REF!</definedName>
    <definedName name="_Key1" hidden="1">[2]조명시설!#REF!</definedName>
    <definedName name="_Key2" localSheetId="3" hidden="1">[2]조명시설!#REF!</definedName>
    <definedName name="_Key2" hidden="1">[2]조명시설!#REF!</definedName>
    <definedName name="_kfkf" localSheetId="3" hidden="1">#REF!</definedName>
    <definedName name="_kfkf" hidden="1">#REF!</definedName>
    <definedName name="_Order1" hidden="1">0</definedName>
    <definedName name="_Order2" hidden="1">0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ort" localSheetId="3" hidden="1">#REF!</definedName>
    <definedName name="_Sort" hidden="1">#REF!</definedName>
    <definedName name="_woogi" localSheetId="3" hidden="1">#REF!</definedName>
    <definedName name="_woogi" hidden="1">#REF!</definedName>
    <definedName name="_woogi2" localSheetId="3" hidden="1">#REF!</definedName>
    <definedName name="_woogi2" hidden="1">#REF!</definedName>
    <definedName name="_woogi24" localSheetId="3" hidden="1">#REF!</definedName>
    <definedName name="_woogi24" hidden="1">#REF!</definedName>
    <definedName name="_woogi3" localSheetId="3" hidden="1">#REF!</definedName>
    <definedName name="_woogi3" hidden="1">#REF!</definedName>
    <definedName name="_재ㅐ햐" localSheetId="3" hidden="1">#REF!</definedName>
    <definedName name="_재ㅐ햐" hidden="1">#REF!</definedName>
    <definedName name="a" hidden="1">{#N/A,#N/A,FALSE,"속도"}</definedName>
    <definedName name="aaa" hidden="1">{#N/A,#N/A,FALSE,"속도"}</definedName>
    <definedName name="aaaa" localSheetId="2" hidden="1">{#N/A,#N/A,FALSE,"조골재"}</definedName>
    <definedName name="aaaa" hidden="1">{#N/A,#N/A,FALSE,"조골재"}</definedName>
    <definedName name="aaaaa" localSheetId="2" hidden="1">{#N/A,#N/A,FALSE,"조골재"}</definedName>
    <definedName name="aaaaa" hidden="1">{#N/A,#N/A,FALSE,"조골재"}</definedName>
    <definedName name="aaaaaa" hidden="1">{#N/A,#N/A,FALSE,"속도"}</definedName>
    <definedName name="aaaaaaaaaa" localSheetId="2" hidden="1">{#N/A,#N/A,FALSE,"운반시간"}</definedName>
    <definedName name="aaaaaaaaaa" hidden="1">{#N/A,#N/A,FALSE,"운반시간"}</definedName>
    <definedName name="AccessDatabase" hidden="1">"D:\_genkou\excel97\sample\支店集計作業\本社合計2.mdb"</definedName>
    <definedName name="anscount" hidden="1">1</definedName>
    <definedName name="b" hidden="1">{#N/A,#N/A,FALSE,"2~8번"}</definedName>
    <definedName name="D" hidden="1">{#N/A,#N/A,TRUE,"토적및재료집계";#N/A,#N/A,TRUE,"토적및재료집계";#N/A,#N/A,TRUE,"단위량"}</definedName>
    <definedName name="dataww" localSheetId="3" hidden="1">#REF!</definedName>
    <definedName name="dataww" hidden="1">#REF!</definedName>
    <definedName name="dddddd" hidden="1">{#N/A,#N/A,FALSE,"이정표"}</definedName>
    <definedName name="DFASFD" hidden="1">{#N/A,#N/A,FALSE,"골재소요량";#N/A,#N/A,FALSE,"골재소요량"}</definedName>
    <definedName name="DFDASFGDASG" hidden="1">{#N/A,#N/A,FALSE,"단가표지"}</definedName>
    <definedName name="DFDF" hidden="1">{#N/A,#N/A,FALSE,"조골재"}</definedName>
    <definedName name="DFDFDF" hidden="1">{#N/A,#N/A,FALSE,"단가표지"}</definedName>
    <definedName name="DFDSADFADSF" hidden="1">{#N/A,#N/A,FALSE,"2~8번"}</definedName>
    <definedName name="DFDSAFDFD" hidden="1">{#N/A,#N/A,FALSE,"부대1"}</definedName>
    <definedName name="DFDSAFSFG" hidden="1">{#N/A,#N/A,FALSE,"구조2"}</definedName>
    <definedName name="DFDSAGFDSAG" hidden="1">{#N/A,#N/A,FALSE,"혼합골재"}</definedName>
    <definedName name="DFDSFD" hidden="1">{#N/A,#N/A,FALSE,"속도"}</definedName>
    <definedName name="DFDSFDFDFD" hidden="1">{#N/A,#N/A,FALSE,"구조1"}</definedName>
    <definedName name="DFDSFDS" hidden="1">{#N/A,#N/A,FALSE,"부대2"}</definedName>
    <definedName name="DFDSSF" hidden="1">{#N/A,#N/A,FALSE,"이정표"}</definedName>
    <definedName name="DFGADSGAFDG" hidden="1">{#N/A,#N/A,FALSE,"운반시간"}</definedName>
    <definedName name="dldldldll" localSheetId="3" hidden="1">[3]조명시설!#REF!</definedName>
    <definedName name="dldldldll" hidden="1">[3]조명시설!#REF!</definedName>
    <definedName name="dsaf" localSheetId="2" hidden="1">{#N/A,#N/A,FALSE,"조골재"}</definedName>
    <definedName name="dsaf" hidden="1">{#N/A,#N/A,FALSE,"조골재"}</definedName>
    <definedName name="DSF" localSheetId="2" hidden="1">{#N/A,#N/A,FALSE,"골재소요량";#N/A,#N/A,FALSE,"골재소요량"}</definedName>
    <definedName name="DSF" hidden="1">{#N/A,#N/A,FALSE,"골재소요량";#N/A,#N/A,FALSE,"골재소요량"}</definedName>
    <definedName name="eee" localSheetId="2" hidden="1">{#N/A,#N/A,FALSE,"2~8번"}</definedName>
    <definedName name="eee" hidden="1">{#N/A,#N/A,FALSE,"2~8번"}</definedName>
    <definedName name="FDGDFAGFD" hidden="1">{#N/A,#N/A,FALSE,"포장1";#N/A,#N/A,FALSE,"포장1"}</definedName>
    <definedName name="fdgfdg" hidden="1">{#N/A,#N/A,FALSE,"2~8번"}</definedName>
    <definedName name="fdgfgf" hidden="1">{#N/A,#N/A,FALSE,"운반시간"}</definedName>
    <definedName name="ffffff" hidden="1">{#N/A,#N/A,FALSE,"조골재"}</definedName>
    <definedName name="FGDAG" hidden="1">{#N/A,#N/A,FALSE,"포장2"}</definedName>
    <definedName name="FGDAGFG" hidden="1">{#N/A,#N/A,FALSE,"혼합골재"}</definedName>
    <definedName name="fgfadgf" hidden="1">{#N/A,#N/A,FALSE,"혼합골재"}</definedName>
    <definedName name="FGFDG" hidden="1">{#N/A,#N/A,FALSE,"표지목차"}</definedName>
    <definedName name="fgfdgffff" hidden="1">{#N/A,#N/A,FALSE,"부대2"}</definedName>
    <definedName name="fgfdsgdfg" hidden="1">{#N/A,#N/A,FALSE,"혼합골재"}</definedName>
    <definedName name="fghfdagfd" hidden="1">{#N/A,#N/A,FALSE,"표지목차"}</definedName>
    <definedName name="fhddg" hidden="1">{#N/A,#N/A,FALSE,"부대1"}</definedName>
    <definedName name="fx" localSheetId="2" hidden="1">{#N/A,#N/A,FALSE,"조골재"}</definedName>
    <definedName name="fx" hidden="1">{#N/A,#N/A,FALSE,"조골재"}</definedName>
    <definedName name="G" hidden="1">{#N/A,#N/A,FALSE,"2~8번"}</definedName>
    <definedName name="GFGFHGFHF" hidden="1">{#N/A,#N/A,FALSE,"토공2"}</definedName>
    <definedName name="gfhgh" hidden="1">{#N/A,#N/A,FALSE,"배수2"}</definedName>
    <definedName name="ggfhgfshgh" hidden="1">{#N/A,#N/A,FALSE,"포장2"}</definedName>
    <definedName name="ggggg" hidden="1">{#N/A,#N/A,FALSE,"구조1"}</definedName>
    <definedName name="ghgfh" hidden="1">{#N/A,#N/A,FALSE,"포장2"}</definedName>
    <definedName name="GJHGLI" hidden="1">{#N/A,#N/A,FALSE,"포장1";#N/A,#N/A,FALSE,"포장1"}</definedName>
    <definedName name="hgd" hidden="1">{#N/A,#N/A,FALSE,"배수2"}</definedName>
    <definedName name="IOIOIOIO" hidden="1">{#N/A,#N/A,FALSE,"표지목차"}</definedName>
    <definedName name="JKJKJKJK" hidden="1">{#N/A,#N/A,FALSE,"포장1";#N/A,#N/A,FALSE,"포장1"}</definedName>
    <definedName name="khl" hidden="1">{#N/A,#N/A,FALSE,"2~8번"}</definedName>
    <definedName name="KLLKLKLK" hidden="1">{#N/A,#N/A,FALSE,"포장2"}</definedName>
    <definedName name="ktf" localSheetId="3" hidden="1">#REF!</definedName>
    <definedName name="ktf" hidden="1">#REF!</definedName>
    <definedName name="kty" localSheetId="3" hidden="1">#REF!</definedName>
    <definedName name="kty" hidden="1">#REF!</definedName>
    <definedName name="mm" hidden="1">{#N/A,#N/A,TRUE,"토적및재료집계";#N/A,#N/A,TRUE,"토적및재료집계";#N/A,#N/A,TRUE,"단위량"}</definedName>
    <definedName name="_xlnm.Print_Area" localSheetId="2">가축도집계!$A$1:$H$9</definedName>
    <definedName name="_xlnm.Print_Titles" localSheetId="3">갈전7교!$2:$2</definedName>
    <definedName name="Q3WEE" localSheetId="2" hidden="1">{#N/A,#N/A,FALSE,"조골재"}</definedName>
    <definedName name="Q3WEE" hidden="1">{#N/A,#N/A,FALSE,"조골재"}</definedName>
    <definedName name="QQ" localSheetId="2" hidden="1">{#N/A,#N/A,FALSE,"2~8번"}</definedName>
    <definedName name="QQ" hidden="1">{#N/A,#N/A,FALSE,"2~8번"}</definedName>
    <definedName name="QW" hidden="1">{#N/A,#N/A,FALSE,"배수2"}</definedName>
    <definedName name="RRR" hidden="1">{#N/A,#N/A,FALSE,"포장2"}</definedName>
    <definedName name="rrrrr" hidden="1">{#N/A,#N/A,FALSE,"조골재"}</definedName>
    <definedName name="sasasa" hidden="1">{#N/A,#N/A,FALSE,"속도"}</definedName>
    <definedName name="SDCFG\" hidden="1">{#N/A,#N/A,FALSE,"운반시간"}</definedName>
    <definedName name="SDDFD" hidden="1">{#N/A,#N/A,FALSE,"배수1"}</definedName>
    <definedName name="SDF" hidden="1">{#N/A,#N/A,FALSE,"혼합골재"}</definedName>
    <definedName name="SDFDFD" hidden="1">{#N/A,#N/A,FALSE,"운반시간"}</definedName>
    <definedName name="SDS" localSheetId="2" hidden="1">{#N/A,#N/A,FALSE,"2~8번"}</definedName>
    <definedName name="SDS" hidden="1">{#N/A,#N/A,FALSE,"2~8번"}</definedName>
    <definedName name="sdsdddd" hidden="1">{#N/A,#N/A,FALSE,"토공2"}</definedName>
    <definedName name="sfggf" hidden="1">{#N/A,#N/A,FALSE,"배수1"}</definedName>
    <definedName name="SSS" localSheetId="2" hidden="1">{#N/A,#N/A,FALSE,"2~8번"}</definedName>
    <definedName name="SSS" hidden="1">{#N/A,#N/A,FALSE,"2~8번"}</definedName>
    <definedName name="sssss" hidden="1">{#N/A,#N/A,FALSE,"운반시간"}</definedName>
    <definedName name="TYHFDGFD" hidden="1">{#N/A,#N/A,FALSE,"배수2"}</definedName>
    <definedName name="wer" localSheetId="2" hidden="1">{#N/A,#N/A,FALSE,"골재소요량";#N/A,#N/A,FALSE,"골재소요량"}</definedName>
    <definedName name="wer" hidden="1">{#N/A,#N/A,FALSE,"골재소요량";#N/A,#N/A,FALSE,"골재소요량"}</definedName>
    <definedName name="wrn.2번." localSheetId="2" hidden="1">{#N/A,#N/A,FALSE,"2~8번"}</definedName>
    <definedName name="wrn.2번." hidden="1">{#N/A,#N/A,FALSE,"2~8번"}</definedName>
    <definedName name="wrn.골재소요량." localSheetId="2" hidden="1">{#N/A,#N/A,FALSE,"골재소요량";#N/A,#N/A,FALSE,"골재소요량"}</definedName>
    <definedName name="wrn.골재소요량." hidden="1">{#N/A,#N/A,FALSE,"골재소요량";#N/A,#N/A,FALSE,"골재소요량"}</definedName>
    <definedName name="wrn.구조2." hidden="1">{#N/A,#N/A,FALSE,"구조2"}</definedName>
    <definedName name="wrn.단가표지." localSheetId="2" hidden="1">{#N/A,#N/A,FALSE,"단가표지"}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신용찬." hidden="1">{#N/A,#N/A,TRUE,"토적및재료집계";#N/A,#N/A,TRUE,"토적및재료집계";#N/A,#N/A,TRUE,"단위량"}</definedName>
    <definedName name="wrn.운반시간." localSheetId="2" hidden="1">{#N/A,#N/A,FALSE,"운반시간"}</definedName>
    <definedName name="wrn.운반시간." hidden="1">{#N/A,#N/A,FALSE,"운반시간"}</definedName>
    <definedName name="wrn.이정표." hidden="1">{#N/A,#N/A,FALSE,"이정표"}</definedName>
    <definedName name="wrn.조골재." localSheetId="2" hidden="1">{#N/A,#N/A,FALSE,"조골재"}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localSheetId="2" hidden="1">{#N/A,#N/A,FALSE,"표지목차"}</definedName>
    <definedName name="wrn.표지목차." hidden="1">{#N/A,#N/A,FALSE,"표지목차"}</definedName>
    <definedName name="wrn.혼합골재." localSheetId="2" hidden="1">{#N/A,#N/A,FALSE,"혼합골재"}</definedName>
    <definedName name="wrn.혼합골재." hidden="1">{#N/A,#N/A,FALSE,"혼합골재"}</definedName>
    <definedName name="x" hidden="1">{#N/A,#N/A,FALSE,"운반시간"}</definedName>
    <definedName name="YUYUY" hidden="1">{#N/A,#N/A,FALSE,"혼합골재"}</definedName>
    <definedName name="ㄱㄱ" hidden="1">{#N/A,#N/A,FALSE,"구조2"}</definedName>
    <definedName name="ㄱㄱㄱㄱ" hidden="1">{#N/A,#N/A,FALSE,"구조1"}</definedName>
    <definedName name="ㄱㄳㅅ" hidden="1">{#N/A,#N/A,FALSE,"배수1"}</definedName>
    <definedName name="가도" localSheetId="3" hidden="1">#REF!</definedName>
    <definedName name="가도" hidden="1">#REF!</definedName>
    <definedName name="강재" hidden="1">{#N/A,#N/A,FALSE,"배수1"}</definedName>
    <definedName name="건축" hidden="1">{#N/A,#N/A,TRUE,"토적및재료집계";#N/A,#N/A,TRUE,"토적및재료집계";#N/A,#N/A,TRUE,"단위량"}</definedName>
    <definedName name="경계블럭연장" localSheetId="3" hidden="1">[4]조명시설!#REF!</definedName>
    <definedName name="경계블럭연장" hidden="1">[4]조명시설!#REF!</definedName>
    <definedName name="공사원가계산서" hidden="1">{#N/A,#N/A,TRUE,"토적및재료집계";#N/A,#N/A,TRUE,"토적및재료집계";#N/A,#N/A,TRUE,"단위량"}</definedName>
    <definedName name="공제" localSheetId="3" hidden="1">[5]조명시설!#REF!</definedName>
    <definedName name="공제" hidden="1">[5]조명시설!#REF!</definedName>
    <definedName name="교대펄근집계" hidden="1">{#N/A,#N/A,FALSE,"배수1"}</definedName>
    <definedName name="교량용임시환기시설" hidden="1">{#N/A,#N/A,FALSE,"배수2"}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ㄴㄴ" hidden="1">{#N/A,#N/A,FALSE,"2~8번"}</definedName>
    <definedName name="ㄴㄴㄴ" localSheetId="2" hidden="1">{#N/A,#N/A,FALSE,"골재소요량";#N/A,#N/A,FALSE,"골재소요량"}</definedName>
    <definedName name="ㄴㄴㄴ" hidden="1">{#N/A,#N/A,FALSE,"골재소요량";#N/A,#N/A,FALSE,"골재소요량"}</definedName>
    <definedName name="ㄴㄴㄴㄴ" hidden="1">{#N/A,#N/A,FALSE,"포장2"}</definedName>
    <definedName name="ㄴㄹ" hidden="1">{#N/A,#N/A,FALSE,"2~8번"}</definedName>
    <definedName name="ㄴㅁ" hidden="1">{#N/A,#N/A,TRUE,"토적및재료집계";#N/A,#N/A,TRUE,"토적및재료집계";#N/A,#N/A,TRUE,"단위량"}</definedName>
    <definedName name="ㄴㅇㄹ" hidden="1">{#N/A,#N/A,FALSE,"속도"}</definedName>
    <definedName name="ㄴㅇ로ㅠㅎ" hidden="1">{#N/A,#N/A,FALSE,"구조2"}</definedName>
    <definedName name="ㄴㅇㅀ" hidden="1">{#N/A,#N/A,FALSE,"토공2"}</definedName>
    <definedName name="ㄴㅇㅁㄴㅇ" hidden="1">{#N/A,#N/A,TRUE,"토적및재료집계";#N/A,#N/A,TRUE,"토적및재료집계";#N/A,#N/A,TRUE,"단위량"}</definedName>
    <definedName name="ㄴ흂" hidden="1">{#N/A,#N/A,FALSE,"단가표지"}</definedName>
    <definedName name="나" hidden="1">{#N/A,#N/A,FALSE,"2~8번"}</definedName>
    <definedName name="낙차공" hidden="1">{#N/A,#N/A,FALSE,"2~8번"}</definedName>
    <definedName name="ㄷ" localSheetId="2" hidden="1">{#N/A,#N/A,FALSE,"2~8번"}</definedName>
    <definedName name="ㄷ" hidden="1">{#N/A,#N/A,FALSE,"2~8번"}</definedName>
    <definedName name="ㄷㅎㄹㅇ" localSheetId="3" hidden="1">#REF!</definedName>
    <definedName name="ㄷㅎㄹㅇ" hidden="1">#REF!</definedName>
    <definedName name="ㄹ" hidden="1">{#N/A,#N/A,TRUE,"토적및재료집계";#N/A,#N/A,TRUE,"토적및재료집계";#N/A,#N/A,TRUE,"단위량"}</definedName>
    <definedName name="ㄹㄹ" localSheetId="3" hidden="1">#REF!</definedName>
    <definedName name="ㄹㄹ" hidden="1">#REF!</definedName>
    <definedName name="ㄹㅇ퓨ㅓㅜㅏㅗㅜㅠㅅ퐇휴ㅗㅎ" localSheetId="2" hidden="1">{#N/A,#N/A,FALSE,"조골재"}</definedName>
    <definedName name="ㄹㅇ퓨ㅓㅜㅏㅗㅜㅠㅅ퐇휴ㅗㅎ" hidden="1">{#N/A,#N/A,FALSE,"조골재"}</definedName>
    <definedName name="ㅀ" hidden="1">{#N/A,#N/A,TRUE,"토적및재료집계";#N/A,#N/A,TRUE,"토적및재료집계";#N/A,#N/A,TRUE,"단위량"}</definedName>
    <definedName name="ㅁ" localSheetId="2" hidden="1">{#N/A,#N/A,FALSE,"조골재"}</definedName>
    <definedName name="ㅁ" hidden="1">{#N/A,#N/A,FALSE,"조골재"}</definedName>
    <definedName name="ㅁㄴ" localSheetId="2" hidden="1">{#N/A,#N/A,FALSE,"2~8번"}</definedName>
    <definedName name="ㅁㄴ" hidden="1">{#N/A,#N/A,FALSE,"2~8번"}</definedName>
    <definedName name="ㅁㄴㅁㅇㄴㅁㄴㅇ" hidden="1">{#N/A,#N/A,FALSE,"조골재"}</definedName>
    <definedName name="ㅁㄴㅇ" localSheetId="2" hidden="1">{#N/A,#N/A,FALSE,"운반시간"}</definedName>
    <definedName name="ㅁㄴㅇ" hidden="1">{#N/A,#N/A,FALSE,"운반시간"}</definedName>
    <definedName name="ㅁㄴㅇㄴ" hidden="1">{#N/A,#N/A,TRUE,"토적및재료집계";#N/A,#N/A,TRUE,"토적및재료집계";#N/A,#N/A,TRUE,"단위량"}</definedName>
    <definedName name="ㅁㄴㅇㄹ" hidden="1">{#N/A,#N/A,FALSE,"속도"}</definedName>
    <definedName name="ㅁㄹ" hidden="1">{#N/A,#N/A,FALSE,"2~8번"}</definedName>
    <definedName name="ㅁㄹㄹ" hidden="1">{#N/A,#N/A,FALSE,"2~8번"}</definedName>
    <definedName name="ㅁㅀㅎ" hidden="1">{#N/A,#N/A,FALSE,"골재소요량";#N/A,#N/A,FALSE,"골재소요량"}</definedName>
    <definedName name="ㅁㅁ" localSheetId="2" hidden="1">{#N/A,#N/A,FALSE,"조골재"}</definedName>
    <definedName name="ㅁㅁ" hidden="1">{#N/A,#N/A,FALSE,"조골재"}</definedName>
    <definedName name="ㅁㅁㅁ" hidden="1">{#N/A,#N/A,FALSE,"운반시간"}</definedName>
    <definedName name="ㅁㅁㅁㅁ" hidden="1">{#N/A,#N/A,FALSE,"표지목차"}</definedName>
    <definedName name="ㅁㅁㅁㅁㅁㅁㅁㅁ" hidden="1">{#N/A,#N/A,FALSE,"배수1"}</definedName>
    <definedName name="ㅁㅍㅊ" hidden="1">{#N/A,#N/A,FALSE,"속도"}</definedName>
    <definedName name="미정" hidden="1">{#N/A,#N/A,FALSE,"2~8번"}</definedName>
    <definedName name="ㅂ" hidden="1">{#N/A,#N/A,TRUE,"토적및재료집계";#N/A,#N/A,TRUE,"토적및재료집계";#N/A,#N/A,TRUE,"단위량"}</definedName>
    <definedName name="ㅂㅂ" hidden="1">{#N/A,#N/A,FALSE,"단가표지"}</definedName>
    <definedName name="ㅂㅂㅂㅂ" hidden="1">{#N/A,#N/A,FALSE,"포장1";#N/A,#N/A,FALSE,"포장1"}</definedName>
    <definedName name="ㅂㅈ" localSheetId="2" hidden="1">{#N/A,#N/A,FALSE,"2~8번"}</definedName>
    <definedName name="ㅂㅈ" hidden="1">{#N/A,#N/A,FALSE,"2~8번"}</definedName>
    <definedName name="ㅂㅈㄷ" localSheetId="2" hidden="1">{#N/A,#N/A,FALSE,"골재소요량";#N/A,#N/A,FALSE,"골재소요량"}</definedName>
    <definedName name="ㅂㅈㄷ" hidden="1">{#N/A,#N/A,FALSE,"골재소요량";#N/A,#N/A,FALSE,"골재소요량"}</definedName>
    <definedName name="방음벽" hidden="1">{#N/A,#N/A,FALSE,"2~8번"}</definedName>
    <definedName name="방음벽1" hidden="1">{#N/A,#N/A,FALSE,"운반시간"}</definedName>
    <definedName name="ㅅㅅ" hidden="1">{#N/A,#N/A,TRUE,"토적및재료집계";#N/A,#N/A,TRUE,"토적및재료집계";#N/A,#N/A,TRUE,"단위량"}</definedName>
    <definedName name="ㅅㅅㅅㅅㅅ" hidden="1">{#N/A,#N/A,FALSE,"토공2"}</definedName>
    <definedName name="손영주" localSheetId="2" hidden="1">{#N/A,#N/A,FALSE,"조골재"}</definedName>
    <definedName name="손영주" hidden="1">{#N/A,#N/A,FALSE,"조골재"}</definedName>
    <definedName name="ㅇㄹㄹㅇ" hidden="1">{#N/A,#N/A,FALSE,"2~8번"}</definedName>
    <definedName name="ㅇㄹㅇ" hidden="1">{#N/A,#N/A,FALSE,"운반시간"}</definedName>
    <definedName name="ㅇㅇ" localSheetId="3" hidden="1">#REF!</definedName>
    <definedName name="ㅇㅇ" hidden="1">#REF!</definedName>
    <definedName name="ㅇㅇㅇㅇ" localSheetId="3" hidden="1">[5]조명시설!#REF!</definedName>
    <definedName name="ㅇㅇㅇㅇ" hidden="1">[5]조명시설!#REF!</definedName>
    <definedName name="아스콘2" localSheetId="3" hidden="1">[5]조명시설!#REF!</definedName>
    <definedName name="아스콘2" hidden="1">[5]조명시설!#REF!</definedName>
    <definedName name="아스콘깨기" hidden="1">{#N/A,#N/A,FALSE,"골재소요량";#N/A,#N/A,FALSE,"골재소요량"}</definedName>
    <definedName name="이동" localSheetId="2" hidden="1">{#N/A,#N/A,FALSE,"조골재"}</definedName>
    <definedName name="이동" hidden="1">{#N/A,#N/A,FALSE,"조골재"}</definedName>
    <definedName name="이정" hidden="1">{#N/A,#N/A,FALSE,"2~8번"}</definedName>
    <definedName name="일반부" localSheetId="2" hidden="1">{#N/A,#N/A,FALSE,"조골재"}</definedName>
    <definedName name="일반부" hidden="1">{#N/A,#N/A,FALSE,"조골재"}</definedName>
    <definedName name="ㅈ" hidden="1">{#N/A,#N/A,FALSE,"혼합골재"}</definedName>
    <definedName name="ㅈㄱ" localSheetId="2" hidden="1">{#N/A,#N/A,FALSE,"조골재"}</definedName>
    <definedName name="ㅈㄱ" hidden="1">{#N/A,#N/A,FALSE,"조골재"}</definedName>
    <definedName name="ㅈㅈ" localSheetId="3" hidden="1">#REF!</definedName>
    <definedName name="ㅈㅈ" hidden="1">#REF!</definedName>
    <definedName name="ㅈㅈㅈㅈ" hidden="1">{#N/A,#N/A,FALSE,"조골재"}</definedName>
    <definedName name="제" localSheetId="3" hidden="1">[6]조명시설!#REF!</definedName>
    <definedName name="제" hidden="1">[6]조명시설!#REF!</definedName>
    <definedName name="중추2교대거푸집집계" hidden="1">{#N/A,#N/A,FALSE,"배수1"}</definedName>
    <definedName name="직매54P" hidden="1">{#N/A,#N/A,TRUE,"토적및재료집계";#N/A,#N/A,TRUE,"토적및재료집계";#N/A,#N/A,TRUE,"단위량"}</definedName>
    <definedName name="진" hidden="1">{#N/A,#N/A,FALSE,"2~8번"}</definedName>
    <definedName name="차차" localSheetId="3" hidden="1">[7]조명시설!#REF!</definedName>
    <definedName name="차차" hidden="1">[7]조명시설!#REF!</definedName>
    <definedName name="천안역방향간지" hidden="1">{#N/A,#N/A,FALSE,"배수2"}</definedName>
    <definedName name="초다" hidden="1">{#N/A,#N/A,FALSE,"2~8번"}</definedName>
    <definedName name="ㅋ" localSheetId="2" hidden="1">{#N/A,#N/A,FALSE,"조골재"}</definedName>
    <definedName name="ㅋ" hidden="1">{#N/A,#N/A,FALSE,"조골재"}</definedName>
    <definedName name="ㅋㅋ" hidden="1">{#N/A,#N/A,FALSE,"조골재"}</definedName>
    <definedName name="케이블간지" hidden="1">{#N/A,#N/A,TRUE,"토적및재료집계";#N/A,#N/A,TRUE,"토적및재료집계";#N/A,#N/A,TRUE,"단위량"}</definedName>
    <definedName name="ㅌ" localSheetId="2" hidden="1">{#N/A,#N/A,FALSE,"2~8번"}</definedName>
    <definedName name="ㅌ" hidden="1">{#N/A,#N/A,FALSE,"2~8번"}</definedName>
    <definedName name="ㅍ" localSheetId="2" hidden="1">{#N/A,#N/A,FALSE,"2~8번"}</definedName>
    <definedName name="ㅍ" hidden="1">{#N/A,#N/A,FALSE,"2~8번"}</definedName>
    <definedName name="ㅍㅍ" hidden="1">{#N/A,#N/A,TRUE,"토적및재료집계";#N/A,#N/A,TRUE,"토적및재료집계";#N/A,#N/A,TRUE,"단위량"}</definedName>
    <definedName name="파일" localSheetId="3" hidden="1">#REF!</definedName>
    <definedName name="파일" hidden="1">#REF!</definedName>
    <definedName name="ㅎ5" localSheetId="2" hidden="1">{#N/A,#N/A,FALSE,"골재소요량";#N/A,#N/A,FALSE,"골재소요량"}</definedName>
    <definedName name="ㅎ5" hidden="1">{#N/A,#N/A,FALSE,"골재소요량";#N/A,#N/A,FALSE,"골재소요량"}</definedName>
    <definedName name="ㅎ노ㅠ" hidden="1">{#N/A,#N/A,FALSE,"배수1"}</definedName>
    <definedName name="ㅎㄶ" hidden="1">{#N/A,#N/A,FALSE,"속도"}</definedName>
    <definedName name="ㅎㅎ" hidden="1">{#N/A,#N/A,FALSE,"골재소요량";#N/A,#N/A,FALSE,"골재소요량"}</definedName>
    <definedName name="ㅎㅎㅎ" hidden="1">{#N/A,#N/A,FALSE,"이정표"}</definedName>
    <definedName name="ㅎㅎㅎㅎ" hidden="1">{#N/A,#N/A,TRUE,"토적및재료집계";#N/A,#N/A,TRUE,"토적및재료집계";#N/A,#N/A,TRUE,"단위량"}</definedName>
    <definedName name="호" hidden="1">{#N/A,#N/A,TRUE,"토적및재료집계";#N/A,#N/A,TRUE,"토적및재료집계";#N/A,#N/A,TRUE,"단위량"}</definedName>
    <definedName name="ㅏ" localSheetId="2" hidden="1">{#N/A,#N/A,FALSE,"운반시간"}</definedName>
    <definedName name="ㅏ" hidden="1">{#N/A,#N/A,FALSE,"운반시간"}</definedName>
    <definedName name="ㅑ" localSheetId="2" hidden="1">{#N/A,#N/A,FALSE,"조골재"}</definedName>
    <definedName name="ㅑ" hidden="1">{#N/A,#N/A,FALSE,"조골재"}</definedName>
    <definedName name="ㅓ7" localSheetId="2" hidden="1">{#N/A,#N/A,FALSE,"단가표지"}</definedName>
    <definedName name="ㅓ7" hidden="1">{#N/A,#N/A,FALSE,"단가표지"}</definedName>
    <definedName name="ㅓㄴㅇ러" localSheetId="2" hidden="1">{#N/A,#N/A,FALSE,"골재소요량";#N/A,#N/A,FALSE,"골재소요량"}</definedName>
    <definedName name="ㅓㄴㅇ러" hidden="1">{#N/A,#N/A,FALSE,"골재소요량";#N/A,#N/A,FALSE,"골재소요량"}</definedName>
    <definedName name="ㅔ" hidden="1">{#N/A,#N/A,FALSE,"배수2"}</definedName>
    <definedName name="ㅔ3" hidden="1">{#N/A,#N/A,FALSE,"배수1"}</definedName>
    <definedName name="ㅔㅔㅔㅔㅔㅔ" hidden="1">{#N/A,#N/A,FALSE,"부대2"}</definedName>
    <definedName name="ㅗ" hidden="1">{#N/A,#N/A,TRUE,"토적및재료집계";#N/A,#N/A,TRUE,"토적및재료집계";#N/A,#N/A,TRUE,"단위량"}</definedName>
    <definedName name="ㅗㅅㄱ" hidden="1">{#N/A,#N/A,TRUE,"토적및재료집계";#N/A,#N/A,TRUE,"토적및재료집계";#N/A,#N/A,TRUE,"단위량"}</definedName>
    <definedName name="ㅗㅗㅗ" hidden="1">{#N/A,#N/A,TRUE,"토적및재료집계";#N/A,#N/A,TRUE,"토적및재료집계";#N/A,#N/A,TRUE,"단위량"}</definedName>
    <definedName name="ㅛ" hidden="1">{#N/A,#N/A,TRUE,"토적및재료집계";#N/A,#N/A,TRUE,"토적및재료집계";#N/A,#N/A,TRUE,"단위량"}</definedName>
    <definedName name="ㅜ" localSheetId="2" hidden="1">{#N/A,#N/A,FALSE,"조골재"}</definedName>
    <definedName name="ㅜ" hidden="1">{#N/A,#N/A,FALSE,"조골재"}</definedName>
    <definedName name="ㅠ뮤ㅐ" localSheetId="3" hidden="1">#REF!</definedName>
    <definedName name="ㅠ뮤ㅐ" hidden="1">#REF!</definedName>
    <definedName name="ㅡ" localSheetId="2" hidden="1">{#N/A,#N/A,FALSE,"2~8번"}</definedName>
    <definedName name="ㅡ" hidden="1">{#N/A,#N/A,FALSE,"2~8번"}</definedName>
    <definedName name="ㅣ" hidden="1">{#N/A,#N/A,FALSE,"부대1"}</definedName>
    <definedName name="ㅣㅏㅓ" localSheetId="2" hidden="1">{#N/A,#N/A,FALSE,"운반시간"}</definedName>
    <definedName name="ㅣㅏㅓ" hidden="1">{#N/A,#N/A,FALSE,"운반시간"}</definedName>
    <definedName name="ㅣㅣ" hidden="1">{#N/A,#N/A,FALSE,"표지목차"}</definedName>
    <definedName name="ㅣㅣㅣ" localSheetId="3" hidden="1">[5]조명시설!#REF!</definedName>
    <definedName name="ㅣㅣㅣ" hidden="1">[5]조명시설!#REF!</definedName>
    <definedName name="ㅣㅣㅣㅣ" localSheetId="3" hidden="1">[5]조명시설!#REF!</definedName>
    <definedName name="ㅣㅣㅣㅣ" hidden="1">[5]조명시설!#REF!</definedName>
    <definedName name="ㅣㅣㅣㅣㅣ" localSheetId="3" hidden="1">[5]조명시설!#REF!</definedName>
    <definedName name="ㅣㅣㅣㅣㅣ" hidden="1">[5]조명시설!#REF!</definedName>
    <definedName name="ㅣㅣㅣㅣㅣㅣ" localSheetId="3" hidden="1">[5]조명시설!#REF!</definedName>
    <definedName name="ㅣㅣㅣㅣㅣㅣ" hidden="1">[5]조명시설!#REF!</definedName>
  </definedNames>
  <calcPr calcId="191029" iterate="1"/>
</workbook>
</file>

<file path=xl/calcChain.xml><?xml version="1.0" encoding="utf-8"?>
<calcChain xmlns="http://schemas.openxmlformats.org/spreadsheetml/2006/main">
  <c r="K26" i="42" l="1"/>
  <c r="K28" i="42" s="1"/>
  <c r="F26" i="42"/>
  <c r="C26" i="42"/>
  <c r="C28" i="42" s="1"/>
  <c r="V26" i="42" l="1"/>
  <c r="F8" i="25"/>
  <c r="F7" i="25"/>
  <c r="F6" i="25"/>
  <c r="F4" i="25"/>
  <c r="F9" i="25" s="1"/>
  <c r="D28" i="42" l="1"/>
  <c r="V28" i="42" s="1"/>
  <c r="Y28" i="42" s="1"/>
  <c r="F5" i="25" s="1"/>
  <c r="Y26" i="42"/>
  <c r="V51" i="42"/>
  <c r="Y50" i="42" s="1"/>
  <c r="Y52" i="42" s="1"/>
  <c r="P21" i="42"/>
  <c r="P32" i="42" s="1"/>
  <c r="M21" i="42"/>
  <c r="P9" i="42"/>
  <c r="M7" i="42"/>
  <c r="D21" i="42" s="1"/>
  <c r="R5" i="42"/>
  <c r="D32" i="42" l="1"/>
  <c r="G32" i="42"/>
  <c r="M16" i="42"/>
  <c r="G21" i="42" s="1"/>
  <c r="V21" i="42" s="1"/>
  <c r="Y21" i="42" s="1"/>
  <c r="V32" i="42" l="1"/>
  <c r="Y32" i="42" s="1"/>
  <c r="G6" i="25" l="1"/>
  <c r="G4" i="25"/>
  <c r="G7" i="25" l="1"/>
  <c r="G8" i="25"/>
  <c r="G5" i="25"/>
  <c r="G9" i="25" l="1"/>
</calcChain>
</file>

<file path=xl/sharedStrings.xml><?xml version="1.0" encoding="utf-8"?>
<sst xmlns="http://schemas.openxmlformats.org/spreadsheetml/2006/main" count="81" uniqueCount="58">
  <si>
    <t>단위</t>
    <phoneticPr fontId="22" type="noConversion"/>
  </si>
  <si>
    <t>비  고</t>
    <phoneticPr fontId="22" type="noConversion"/>
  </si>
  <si>
    <t>가도공</t>
    <phoneticPr fontId="27" type="noConversion"/>
  </si>
  <si>
    <r>
      <t>m</t>
    </r>
    <r>
      <rPr>
        <vertAlign val="superscript"/>
        <sz val="9"/>
        <rFont val="돋움체"/>
        <family val="3"/>
        <charset val="129"/>
      </rPr>
      <t>3</t>
    </r>
    <phoneticPr fontId="22" type="noConversion"/>
  </si>
  <si>
    <t>m</t>
    <phoneticPr fontId="27" type="noConversion"/>
  </si>
  <si>
    <t>본</t>
    <phoneticPr fontId="22" type="noConversion"/>
  </si>
  <si>
    <t>(2.5m/본)</t>
    <phoneticPr fontId="27" type="noConversion"/>
  </si>
  <si>
    <t>공    종</t>
    <phoneticPr fontId="32" type="noConversion"/>
  </si>
  <si>
    <t>산       출         근       거</t>
    <phoneticPr fontId="32" type="noConversion"/>
  </si>
  <si>
    <t>수  량</t>
    <phoneticPr fontId="32" type="noConversion"/>
  </si>
  <si>
    <t>가도 단면제원</t>
    <phoneticPr fontId="32" type="noConversion"/>
  </si>
  <si>
    <t>○ 가도토공 단면도</t>
    <phoneticPr fontId="32" type="noConversion"/>
  </si>
  <si>
    <t>가도 평균높이 =</t>
    <phoneticPr fontId="32" type="noConversion"/>
  </si>
  <si>
    <t>(</t>
    <phoneticPr fontId="32" type="noConversion"/>
  </si>
  <si>
    <t>~</t>
    <phoneticPr fontId="32" type="noConversion"/>
  </si>
  <si>
    <t>) =</t>
    <phoneticPr fontId="32" type="noConversion"/>
  </si>
  <si>
    <t xml:space="preserve"> 가도 연장  =</t>
    <phoneticPr fontId="32" type="noConversion"/>
  </si>
  <si>
    <t>m</t>
    <phoneticPr fontId="32" type="noConversion"/>
  </si>
  <si>
    <t>○ 성토 토사</t>
    <phoneticPr fontId="32" type="noConversion"/>
  </si>
  <si>
    <r>
      <t>m</t>
    </r>
    <r>
      <rPr>
        <vertAlign val="superscript"/>
        <sz val="9"/>
        <rFont val="돋움체"/>
        <family val="3"/>
        <charset val="129"/>
      </rPr>
      <t>3</t>
    </r>
    <phoneticPr fontId="32" type="noConversion"/>
  </si>
  <si>
    <t xml:space="preserve"> (가도)</t>
    <phoneticPr fontId="32" type="noConversion"/>
  </si>
  <si>
    <t>＋</t>
    <phoneticPr fontId="32" type="noConversion"/>
  </si>
  <si>
    <t>)</t>
    <phoneticPr fontId="32" type="noConversion"/>
  </si>
  <si>
    <t>×</t>
    <phoneticPr fontId="32" type="noConversion"/>
  </si>
  <si>
    <t>=</t>
    <phoneticPr fontId="32" type="noConversion"/>
  </si>
  <si>
    <t>마대쌓기 및 헐기</t>
    <phoneticPr fontId="32" type="noConversion"/>
  </si>
  <si>
    <r>
      <t>2</t>
    </r>
    <r>
      <rPr>
        <sz val="9"/>
        <rFont val="돋움체"/>
        <family val="3"/>
        <charset val="129"/>
      </rPr>
      <t>＋</t>
    </r>
    <phoneticPr fontId="32" type="noConversion"/>
  </si>
  <si>
    <r>
      <t>2</t>
    </r>
    <r>
      <rPr>
        <sz val="9"/>
        <rFont val="돋움체"/>
        <family val="3"/>
        <charset val="129"/>
      </rPr>
      <t>×</t>
    </r>
    <phoneticPr fontId="32" type="noConversion"/>
  </si>
  <si>
    <r>
      <t>m</t>
    </r>
    <r>
      <rPr>
        <vertAlign val="superscript"/>
        <sz val="9"/>
        <rFont val="돋움체"/>
        <family val="3"/>
        <charset val="129"/>
      </rPr>
      <t>2</t>
    </r>
    <phoneticPr fontId="32" type="noConversion"/>
  </si>
  <si>
    <t>m/ea</t>
    <phoneticPr fontId="32" type="noConversion"/>
  </si>
  <si>
    <t>본</t>
    <phoneticPr fontId="32" type="noConversion"/>
  </si>
  <si>
    <t>(2.5m/본)</t>
    <phoneticPr fontId="32" type="noConversion"/>
  </si>
  <si>
    <t>유용토</t>
    <phoneticPr fontId="32" type="noConversion"/>
  </si>
  <si>
    <t>(본선유용 80%)</t>
    <phoneticPr fontId="32" type="noConversion"/>
  </si>
  <si>
    <t>○ M.W.L이상 토량 본선유용 80%</t>
    <phoneticPr fontId="32" type="noConversion"/>
  </si>
  <si>
    <t>유용토</t>
    <phoneticPr fontId="27" type="noConversion"/>
  </si>
  <si>
    <t>본선 유용 (80%)</t>
    <phoneticPr fontId="27" type="noConversion"/>
  </si>
  <si>
    <t>복구 및 유지보수비</t>
    <phoneticPr fontId="27" type="noConversion"/>
  </si>
  <si>
    <t>합  계</t>
    <phoneticPr fontId="27" type="noConversion"/>
  </si>
  <si>
    <t>공        종</t>
    <phoneticPr fontId="22" type="noConversion"/>
  </si>
  <si>
    <t>규        격</t>
    <phoneticPr fontId="27" type="noConversion"/>
  </si>
  <si>
    <t>흙쌓기 및 철거</t>
    <phoneticPr fontId="32" type="noConversion"/>
  </si>
  <si>
    <t>- 하천방향에 따라 사방향길이로 계산함.</t>
    <phoneticPr fontId="32" type="noConversion"/>
  </si>
  <si>
    <t>가배수관</t>
    <phoneticPr fontId="32" type="noConversion"/>
  </si>
  <si>
    <t>설치 및 철거</t>
    <phoneticPr fontId="32" type="noConversion"/>
  </si>
  <si>
    <t>○ Φ1000mm</t>
    <phoneticPr fontId="32" type="noConversion"/>
  </si>
  <si>
    <t>가배수관
설치 및 철거</t>
    <phoneticPr fontId="27" type="noConversion"/>
  </si>
  <si>
    <t>Φ1000mm</t>
    <phoneticPr fontId="27" type="noConversion"/>
  </si>
  <si>
    <t>가 축 도 공</t>
    <phoneticPr fontId="86" type="noConversion"/>
  </si>
  <si>
    <t>가 축 도</t>
    <phoneticPr fontId="66" type="noConversion"/>
  </si>
  <si>
    <t>EA</t>
    <phoneticPr fontId="22" type="noConversion"/>
  </si>
  <si>
    <t>(흄관)</t>
    <phoneticPr fontId="32" type="noConversion"/>
  </si>
  <si>
    <t xml:space="preserve"> 흙쌓기 및 헐기</t>
    <phoneticPr fontId="27" type="noConversion"/>
  </si>
  <si>
    <t>가축도수량 집계표</t>
    <phoneticPr fontId="27" type="noConversion"/>
  </si>
  <si>
    <t>수  량</t>
    <phoneticPr fontId="27" type="noConversion"/>
  </si>
  <si>
    <t>EA</t>
    <phoneticPr fontId="32" type="noConversion"/>
  </si>
  <si>
    <t>/</t>
    <phoneticPr fontId="32" type="noConversion"/>
  </si>
  <si>
    <t xml:space="preserve"> P.P마대
쌓기 및 헐기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</si>
</sst>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00"/>
    <numFmt numFmtId="177" formatCode="0.000_ "/>
    <numFmt numFmtId="178" formatCode="#,##0.0"/>
    <numFmt numFmtId="179" formatCode="#,##0.0000_);\(#,##0.0000\)"/>
    <numFmt numFmtId="180" formatCode="&quot;$&quot;#,##0.00_);\(&quot;$&quot;#,##0.00\)"/>
    <numFmt numFmtId="181" formatCode="#,##0.000"/>
    <numFmt numFmtId="182" formatCode="#,##0&quot; ea&quot;"/>
    <numFmt numFmtId="183" formatCode="_-* #,##0.000_-;\-* #,##0.000_-;_-* &quot;-&quot;_-;_-@_-"/>
    <numFmt numFmtId="184" formatCode="&quot;× 1&quot;&quot;/ &quot;0"/>
    <numFmt numFmtId="185" formatCode="0&quot; ea&quot;"/>
    <numFmt numFmtId="186" formatCode="&quot;1:&quot;0.0"/>
    <numFmt numFmtId="187" formatCode="\ &quot; &quot;#,##0.000"/>
    <numFmt numFmtId="188" formatCode="_ * #,##0_ ;_ * \-#,##0_ ;_ * &quot;-&quot;_ ;_ @_ "/>
    <numFmt numFmtId="189" formatCode="_ * #,##0.00_ ;_ * \-#,##0.00_ ;_ * &quot;-&quot;??_ ;_ @_ "/>
    <numFmt numFmtId="190" formatCode="0_ "/>
    <numFmt numFmtId="191" formatCode="0.000\ "/>
    <numFmt numFmtId="192" formatCode="&quot;₩&quot;#\!\,##0;&quot;₩&quot;\!\-&quot;₩&quot;#\!\,##0"/>
    <numFmt numFmtId="193" formatCode="_ * #,##0_ ;_ * &quot;₩&quot;\!\-#,##0_ ;_ * &quot;-&quot;_ ;_ @_ "/>
    <numFmt numFmtId="194" formatCode="#."/>
    <numFmt numFmtId="195" formatCode="0.00\ &quot;)&quot;"/>
    <numFmt numFmtId="196" formatCode="0.00\ &quot;)]&quot;"/>
    <numFmt numFmtId="197" formatCode="0.000\ &quot;²&quot;"/>
    <numFmt numFmtId="198" formatCode="&quot;(&quot;\ 0.00"/>
    <numFmt numFmtId="199" formatCode="&quot;[(&quot;\ 0.00"/>
    <numFmt numFmtId="200" formatCode="_ * #,##0_ ;_ * &quot;₩&quot;&quot;₩&quot;&quot;₩&quot;&quot;₩&quot;\-#,##0_ ;_ * &quot;-&quot;_ ;_ @_ "/>
    <numFmt numFmtId="201" formatCode="#,##0\ ;[Red]&quot;-&quot;#,##0\ "/>
    <numFmt numFmtId="202" formatCode="* #,##0\ ;[Red]* &quot;-&quot;#,##0\ "/>
    <numFmt numFmtId="203" formatCode="#,##0.####;[Red]&quot;-&quot;#,##0.####"/>
    <numFmt numFmtId="204" formatCode="#,##0.0###\ ;[Red]&quot;-&quot;#,##0.0###\ "/>
    <numFmt numFmtId="205" formatCode="0\ &quot;EA&quot;"/>
    <numFmt numFmtId="206" formatCode="General_)"/>
    <numFmt numFmtId="207" formatCode="&quot;Fr.&quot;\ #,##0;[Red]&quot;Fr.&quot;\ \-#,##0"/>
    <numFmt numFmtId="208" formatCode="&quot;Fr.&quot;\ #,##0.00;[Red]&quot;Fr.&quot;\ \-#,##0.00"/>
    <numFmt numFmtId="209" formatCode="&quot;₩&quot;#,##0;&quot;₩&quot;&quot;₩&quot;\-#,##0"/>
    <numFmt numFmtId="210" formatCode="0.0_)"/>
    <numFmt numFmtId="211" formatCode="0\ &quot;t&quot;"/>
    <numFmt numFmtId="212" formatCode="#,##0_ "/>
  </numFmts>
  <fonts count="95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2"/>
      <color indexed="8"/>
      <name val="돋움체"/>
      <family val="3"/>
      <charset val="129"/>
    </font>
    <font>
      <sz val="9"/>
      <color indexed="8"/>
      <name val="돋움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1"/>
      <name val="굴림체"/>
      <family val="3"/>
      <charset val="129"/>
    </font>
    <font>
      <sz val="12"/>
      <name val="뼻뮝"/>
      <family val="1"/>
      <charset val="129"/>
    </font>
    <font>
      <sz val="9"/>
      <name val="굴림체"/>
      <family val="3"/>
      <charset val="129"/>
    </font>
    <font>
      <b/>
      <sz val="12"/>
      <color indexed="16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12"/>
      <name val="Osaka"/>
      <family val="3"/>
    </font>
    <font>
      <sz val="10"/>
      <name val="굴림체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0"/>
      <name val="μ¸¿oA¼"/>
      <family val="3"/>
      <charset val="129"/>
    </font>
    <font>
      <b/>
      <sz val="11"/>
      <name val="돋움"/>
      <family val="3"/>
      <charset val="129"/>
    </font>
    <font>
      <sz val="12"/>
      <name val="System"/>
      <family val="2"/>
      <charset val="129"/>
    </font>
    <font>
      <sz val="10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바탕체"/>
      <family val="1"/>
      <charset val="129"/>
    </font>
    <font>
      <sz val="11"/>
      <name val="바탕체"/>
      <family val="1"/>
      <charset val="129"/>
    </font>
    <font>
      <sz val="9"/>
      <name val="돋움"/>
      <family val="3"/>
      <charset val="129"/>
    </font>
    <font>
      <b/>
      <sz val="10"/>
      <name val="돋움체"/>
      <family val="3"/>
      <charset val="129"/>
    </font>
    <font>
      <sz val="9"/>
      <name val="돋움체"/>
      <family val="3"/>
      <charset val="129"/>
    </font>
    <font>
      <vertAlign val="superscript"/>
      <sz val="9"/>
      <name val="돋움체"/>
      <family val="3"/>
      <charset val="129"/>
    </font>
    <font>
      <sz val="8"/>
      <name val="바탕"/>
      <family val="1"/>
      <charset val="129"/>
    </font>
    <font>
      <b/>
      <sz val="12"/>
      <name val="돋움체"/>
      <family val="3"/>
      <charset val="129"/>
    </font>
    <font>
      <sz val="9"/>
      <color indexed="10"/>
      <name val="돋움체"/>
      <family val="3"/>
      <charset val="129"/>
    </font>
    <font>
      <sz val="8"/>
      <name val="돋움체"/>
      <family val="3"/>
      <charset val="129"/>
    </font>
    <font>
      <sz val="7"/>
      <name val="돋움체"/>
      <family val="3"/>
      <charset val="129"/>
    </font>
    <font>
      <sz val="7"/>
      <color indexed="10"/>
      <name val="돋움체"/>
      <family val="3"/>
      <charset val="129"/>
    </font>
    <font>
      <sz val="8"/>
      <color indexed="10"/>
      <name val="돋움체"/>
      <family val="3"/>
      <charset val="129"/>
    </font>
    <font>
      <sz val="9"/>
      <color indexed="12"/>
      <name val="돋움체"/>
      <family val="3"/>
      <charset val="129"/>
    </font>
    <font>
      <sz val="9"/>
      <color indexed="9"/>
      <name val="돋움체"/>
      <family val="3"/>
      <charset val="129"/>
    </font>
    <font>
      <sz val="10"/>
      <name val="MS Sans Serif"/>
      <family val="2"/>
    </font>
    <font>
      <sz val="10"/>
      <name val="Courier New"/>
      <family val="3"/>
    </font>
    <font>
      <sz val="9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4"/>
      <name val="뼥?ⓒ"/>
      <family val="3"/>
      <charset val="129"/>
    </font>
    <font>
      <sz val="1"/>
      <color indexed="0"/>
      <name val="Courier"/>
      <family val="3"/>
    </font>
    <font>
      <sz val="11"/>
      <color indexed="60"/>
      <name val="맑은 고딕"/>
      <family val="3"/>
      <charset val="129"/>
    </font>
    <font>
      <sz val="9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돋움"/>
      <family val="3"/>
      <charset val="129"/>
    </font>
    <font>
      <sz val="9"/>
      <color indexed="10"/>
      <name val="바탕체"/>
      <family val="1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color indexed="12"/>
      <name val="굴림체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8"/>
      <name val="돋움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돋움체"/>
      <family val="3"/>
      <charset val="129"/>
    </font>
    <font>
      <b/>
      <u/>
      <sz val="14"/>
      <name val="굴림체"/>
      <family val="3"/>
      <charset val="129"/>
    </font>
    <font>
      <sz val="9.5"/>
      <name val="굴림"/>
      <family val="3"/>
      <charset val="129"/>
    </font>
    <font>
      <b/>
      <sz val="10"/>
      <name val="Helv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10"/>
      <name val="바탕체"/>
      <family val="1"/>
      <charset val="129"/>
    </font>
    <font>
      <b/>
      <sz val="12"/>
      <name val="Helv"/>
      <family val="2"/>
    </font>
    <font>
      <b/>
      <sz val="18"/>
      <name val="Arial"/>
      <family val="2"/>
    </font>
    <font>
      <u/>
      <sz val="10"/>
      <color indexed="12"/>
      <name val="MS Sans Serif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8"/>
      <name val="바탕체"/>
      <family val="1"/>
      <charset val="129"/>
    </font>
    <font>
      <sz val="10"/>
      <name val="±¼¸²Ã¼"/>
      <family val="3"/>
      <charset val="129"/>
    </font>
    <font>
      <sz val="9"/>
      <color rgb="FFFF0000"/>
      <name val="돋움체"/>
      <family val="3"/>
      <charset val="129"/>
    </font>
    <font>
      <sz val="25"/>
      <name val="HY헤드라인M"/>
      <family val="1"/>
      <charset val="129"/>
    </font>
    <font>
      <sz val="24"/>
      <name val="맑은 고딕"/>
      <family val="3"/>
      <charset val="129"/>
      <scheme val="major"/>
    </font>
    <font>
      <sz val="9"/>
      <color indexed="8"/>
      <name val="굴림체"/>
      <family val="3"/>
      <charset val="129"/>
    </font>
    <font>
      <sz val="11"/>
      <color theme="1"/>
      <name val="돋움"/>
      <family val="3"/>
      <charset val="129"/>
    </font>
    <font>
      <b/>
      <sz val="28"/>
      <color indexed="8"/>
      <name val="굴림체"/>
      <family val="3"/>
      <charset val="129"/>
    </font>
    <font>
      <sz val="28"/>
      <color indexed="8"/>
      <name val="굴림체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4"/>
        <bgColor indexed="64"/>
      </patternFill>
    </fill>
  </fills>
  <borders count="51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3190">
    <xf numFmtId="0" fontId="0" fillId="0" borderId="0">
      <alignment vertical="center"/>
    </xf>
    <xf numFmtId="189" fontId="21" fillId="0" borderId="0" applyFont="0" applyFill="0" applyBorder="0" applyAlignment="0" applyProtection="0"/>
    <xf numFmtId="40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9" fontId="43" fillId="0" borderId="0" applyFont="0" applyFill="0" applyBorder="0" applyAlignment="0" applyProtection="0"/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3" fontId="42" fillId="0" borderId="1">
      <alignment horizontal="right" vertical="center"/>
    </xf>
    <xf numFmtId="189" fontId="43" fillId="0" borderId="0" applyFont="0" applyFill="0" applyBorder="0" applyAlignment="0" applyProtection="0"/>
    <xf numFmtId="0" fontId="4" fillId="0" borderId="2">
      <alignment horizont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2" fontId="42" fillId="0" borderId="1">
      <alignment horizontal="right" vertical="center"/>
    </xf>
    <xf numFmtId="0" fontId="44" fillId="2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189" fontId="43" fillId="0" borderId="0" applyFont="0" applyFill="0" applyBorder="0" applyAlignment="0" applyProtection="0"/>
    <xf numFmtId="0" fontId="44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40" fontId="41" fillId="0" borderId="0" applyFont="0" applyFill="0" applyBorder="0" applyAlignment="0" applyProtection="0"/>
    <xf numFmtId="0" fontId="45" fillId="12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9" fontId="21" fillId="0" borderId="0" applyFont="0" applyFill="0" applyBorder="0" applyAlignment="0" applyProtection="0"/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0" borderId="3" applyNumberFormat="0" applyAlignment="0" applyProtection="0">
      <alignment vertical="center"/>
    </xf>
    <xf numFmtId="0" fontId="1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48" fillId="3" borderId="0" applyNumberFormat="0" applyBorder="0" applyAlignment="0" applyProtection="0">
      <alignment vertical="center"/>
    </xf>
    <xf numFmtId="0" fontId="7" fillId="0" borderId="0">
      <protection locked="0"/>
    </xf>
    <xf numFmtId="3" fontId="41" fillId="0" borderId="4">
      <alignment horizontal="center"/>
    </xf>
    <xf numFmtId="0" fontId="7" fillId="0" borderId="0">
      <protection locked="0"/>
    </xf>
    <xf numFmtId="40" fontId="49" fillId="0" borderId="0" applyFont="0" applyFill="0" applyBorder="0" applyAlignment="0" applyProtection="0"/>
    <xf numFmtId="38" fontId="49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0" fontId="1" fillId="21" borderId="5" applyNumberFormat="0" applyFont="0" applyAlignment="0" applyProtection="0">
      <alignment vertical="center"/>
    </xf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4" fontId="50" fillId="0" borderId="0">
      <protection locked="0"/>
    </xf>
    <xf numFmtId="9" fontId="9" fillId="22" borderId="0" applyFill="0" applyBorder="0" applyProtection="0">
      <alignment horizontal="right"/>
    </xf>
    <xf numFmtId="10" fontId="9" fillId="0" borderId="0" applyFill="0" applyBorder="0" applyProtection="0">
      <alignment horizontal="right"/>
    </xf>
    <xf numFmtId="0" fontId="51" fillId="23" borderId="0" applyNumberFormat="0" applyBorder="0" applyAlignment="0" applyProtection="0">
      <alignment vertical="center"/>
    </xf>
    <xf numFmtId="0" fontId="10" fillId="0" borderId="0"/>
    <xf numFmtId="0" fontId="11" fillId="0" borderId="0" applyNumberFormat="0" applyFont="0" applyFill="0" applyBorder="0" applyProtection="0">
      <alignment horizontal="centerContinuous" vertical="center"/>
    </xf>
    <xf numFmtId="0" fontId="52" fillId="0" borderId="0" applyNumberFormat="0" applyFont="0" applyFill="0" applyBorder="0" applyProtection="0">
      <alignment horizontal="centerContinuous" vertical="center"/>
    </xf>
    <xf numFmtId="190" fontId="52" fillId="0" borderId="0" applyNumberFormat="0" applyFont="0" applyFill="0" applyBorder="0" applyProtection="0">
      <alignment horizontal="centerContinuous"/>
    </xf>
    <xf numFmtId="0" fontId="52" fillId="0" borderId="0" applyNumberFormat="0" applyFont="0" applyFill="0" applyBorder="0" applyProtection="0">
      <alignment horizontal="centerContinuous" vertical="center"/>
    </xf>
    <xf numFmtId="190" fontId="52" fillId="0" borderId="0" applyNumberFormat="0" applyFont="0" applyFill="0" applyBorder="0" applyProtection="0">
      <alignment horizontal="centerContinuous" vertical="center"/>
    </xf>
    <xf numFmtId="0" fontId="53" fillId="0" borderId="0" applyNumberFormat="0" applyFill="0" applyBorder="0" applyAlignment="0" applyProtection="0">
      <alignment vertical="center"/>
    </xf>
    <xf numFmtId="0" fontId="54" fillId="24" borderId="6" applyNumberFormat="0" applyAlignment="0" applyProtection="0">
      <alignment vertical="center"/>
    </xf>
    <xf numFmtId="190" fontId="11" fillId="0" borderId="7" applyFont="0" applyFill="0" applyBorder="0" applyAlignment="0" applyProtection="0">
      <alignment vertical="center"/>
    </xf>
    <xf numFmtId="177" fontId="11" fillId="0" borderId="7" applyFont="0" applyFill="0" applyBorder="0" applyAlignment="0" applyProtection="0">
      <alignment vertical="center"/>
    </xf>
    <xf numFmtId="0" fontId="55" fillId="0" borderId="0"/>
    <xf numFmtId="1" fontId="52" fillId="0" borderId="0" applyFont="0" applyFill="0" applyBorder="0" applyProtection="0">
      <alignment horizontal="centerContinuous" vertical="center"/>
    </xf>
    <xf numFmtId="0" fontId="12" fillId="0" borderId="0">
      <alignment vertical="center"/>
    </xf>
    <xf numFmtId="0" fontId="52" fillId="0" borderId="0" applyFont="0" applyFill="0" applyBorder="0" applyProtection="0">
      <alignment horizontal="centerContinuous" vertical="center"/>
    </xf>
    <xf numFmtId="176" fontId="56" fillId="0" borderId="0" applyFont="0" applyFill="0" applyBorder="0" applyProtection="0">
      <alignment horizontal="centerContinuous" vertical="center"/>
    </xf>
    <xf numFmtId="191" fontId="15" fillId="0" borderId="0" applyFont="0" applyFill="0" applyBorder="0" applyAlignment="0" applyProtection="0">
      <alignment vertical="center"/>
    </xf>
    <xf numFmtId="191" fontId="52" fillId="0" borderId="8" applyFont="0" applyFill="0" applyBorder="0" applyProtection="0">
      <alignment horizontal="right" vertical="center"/>
      <protection locked="0"/>
    </xf>
    <xf numFmtId="41" fontId="1" fillId="0" borderId="0" applyFont="0" applyFill="0" applyBorder="0" applyAlignment="0" applyProtection="0">
      <alignment vertical="center"/>
    </xf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9"/>
    <xf numFmtId="0" fontId="58" fillId="0" borderId="10" applyNumberFormat="0" applyFill="0" applyAlignment="0" applyProtection="0">
      <alignment vertical="center"/>
    </xf>
    <xf numFmtId="0" fontId="59" fillId="0" borderId="11" applyNumberFormat="0" applyFill="0" applyAlignment="0" applyProtection="0">
      <alignment vertical="center"/>
    </xf>
    <xf numFmtId="195" fontId="28" fillId="0" borderId="0" applyFill="0" applyBorder="0">
      <alignment horizontal="centerContinuous"/>
    </xf>
    <xf numFmtId="196" fontId="28" fillId="0" borderId="0" applyFill="0" applyBorder="0">
      <alignment horizontal="centerContinuous"/>
    </xf>
    <xf numFmtId="0" fontId="60" fillId="0" borderId="0">
      <alignment vertical="center"/>
    </xf>
    <xf numFmtId="0" fontId="11" fillId="0" borderId="0" applyNumberFormat="0" applyFont="0" applyFill="0" applyBorder="0" applyProtection="0">
      <alignment vertical="center"/>
    </xf>
    <xf numFmtId="0" fontId="61" fillId="7" borderId="3" applyNumberFormat="0" applyAlignment="0" applyProtection="0">
      <alignment vertical="center"/>
    </xf>
    <xf numFmtId="4" fontId="7" fillId="0" borderId="0">
      <protection locked="0"/>
    </xf>
    <xf numFmtId="0" fontId="1" fillId="0" borderId="0">
      <protection locked="0"/>
    </xf>
    <xf numFmtId="197" fontId="43" fillId="0" borderId="0" applyFill="0" applyBorder="0">
      <alignment horizontal="centerContinuous"/>
    </xf>
    <xf numFmtId="0" fontId="62" fillId="0" borderId="0" applyNumberFormat="0" applyFill="0" applyBorder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64" fillId="0" borderId="13" applyNumberFormat="0" applyFill="0" applyAlignment="0" applyProtection="0">
      <alignment vertical="center"/>
    </xf>
    <xf numFmtId="0" fontId="65" fillId="0" borderId="14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9" fontId="66" fillId="0" borderId="15">
      <alignment horizontal="center" vertical="center"/>
    </xf>
    <xf numFmtId="0" fontId="67" fillId="4" borderId="0" applyNumberFormat="0" applyBorder="0" applyAlignment="0" applyProtection="0">
      <alignment vertical="center"/>
    </xf>
    <xf numFmtId="198" fontId="28" fillId="0" borderId="0" applyFill="0" applyBorder="0">
      <alignment horizontal="centerContinuous"/>
    </xf>
    <xf numFmtId="199" fontId="28" fillId="0" borderId="0" applyFill="0" applyBorder="0">
      <alignment horizontal="centerContinuous"/>
    </xf>
    <xf numFmtId="0" fontId="4" fillId="0" borderId="0"/>
    <xf numFmtId="0" fontId="68" fillId="20" borderId="16" applyNumberFormat="0" applyAlignment="0" applyProtection="0">
      <alignment vertical="center"/>
    </xf>
    <xf numFmtId="194" fontId="50" fillId="0" borderId="0">
      <protection locked="0"/>
    </xf>
    <xf numFmtId="194" fontId="50" fillId="0" borderId="0">
      <protection locked="0"/>
    </xf>
    <xf numFmtId="0" fontId="4" fillId="0" borderId="0" applyFont="0" applyFill="0" applyBorder="0" applyAlignment="0" applyProtection="0"/>
    <xf numFmtId="193" fontId="4" fillId="0" borderId="0" applyNumberFormat="0" applyFont="0" applyFill="0" applyBorder="0" applyProtection="0">
      <alignment vertical="center"/>
    </xf>
    <xf numFmtId="188" fontId="15" fillId="0" borderId="17">
      <alignment vertical="center"/>
    </xf>
    <xf numFmtId="200" fontId="5" fillId="0" borderId="18"/>
    <xf numFmtId="178" fontId="4" fillId="22" borderId="0" applyFill="0" applyBorder="0" applyProtection="0">
      <alignment horizontal="right"/>
    </xf>
    <xf numFmtId="201" fontId="15" fillId="0" borderId="0" applyFont="0" applyFill="0" applyBorder="0" applyAlignment="0" applyProtection="0"/>
    <xf numFmtId="202" fontId="15" fillId="0" borderId="0" applyFont="0" applyFill="0" applyBorder="0" applyAlignment="0" applyProtection="0"/>
    <xf numFmtId="183" fontId="69" fillId="0" borderId="18">
      <alignment vertical="center"/>
    </xf>
    <xf numFmtId="203" fontId="15" fillId="0" borderId="0" applyFont="0" applyFill="0" applyBorder="0" applyAlignment="0" applyProtection="0"/>
    <xf numFmtId="204" fontId="1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0" fillId="0" borderId="0">
      <alignment horizontal="centerContinuous" vertical="center"/>
    </xf>
    <xf numFmtId="2" fontId="71" fillId="0" borderId="8" applyNumberFormat="0" applyFont="0" applyFill="0" applyAlignment="0" applyProtection="0">
      <alignment vertical="center"/>
    </xf>
    <xf numFmtId="194" fontId="50" fillId="0" borderId="0">
      <protection locked="0"/>
    </xf>
    <xf numFmtId="194" fontId="50" fillId="0" borderId="0">
      <protection locked="0"/>
    </xf>
    <xf numFmtId="0" fontId="4" fillId="0" borderId="0" applyFont="0" applyFill="0" applyBorder="0" applyAlignment="0" applyProtection="0"/>
    <xf numFmtId="0" fontId="1" fillId="0" borderId="0">
      <protection locked="0"/>
    </xf>
    <xf numFmtId="0" fontId="1" fillId="0" borderId="0"/>
    <xf numFmtId="194" fontId="50" fillId="0" borderId="0">
      <protection locked="0"/>
    </xf>
    <xf numFmtId="194" fontId="50" fillId="0" borderId="0">
      <protection locked="0"/>
    </xf>
    <xf numFmtId="194" fontId="50" fillId="0" borderId="0">
      <protection locked="0"/>
    </xf>
    <xf numFmtId="194" fontId="50" fillId="0" borderId="0">
      <protection locked="0"/>
    </xf>
    <xf numFmtId="0" fontId="1" fillId="0" borderId="0"/>
    <xf numFmtId="0" fontId="14" fillId="0" borderId="0"/>
    <xf numFmtId="0" fontId="1" fillId="0" borderId="0"/>
    <xf numFmtId="0" fontId="4" fillId="0" borderId="0"/>
    <xf numFmtId="0" fontId="15" fillId="0" borderId="0"/>
    <xf numFmtId="0" fontId="15" fillId="0" borderId="0" applyProtection="0"/>
    <xf numFmtId="0" fontId="7" fillId="0" borderId="19">
      <protection locked="0"/>
    </xf>
    <xf numFmtId="0" fontId="1" fillId="0" borderId="0">
      <protection locked="0"/>
    </xf>
    <xf numFmtId="0" fontId="1" fillId="0" borderId="0">
      <protection locked="0"/>
    </xf>
    <xf numFmtId="0" fontId="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41" fillId="0" borderId="0"/>
    <xf numFmtId="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6" fillId="0" borderId="0" applyFont="0" applyFill="0" applyBorder="0" applyAlignment="0" applyProtection="0"/>
    <xf numFmtId="189" fontId="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6" fillId="0" borderId="0"/>
    <xf numFmtId="0" fontId="17" fillId="0" borderId="0"/>
    <xf numFmtId="0" fontId="20" fillId="0" borderId="0"/>
    <xf numFmtId="0" fontId="1" fillId="0" borderId="0" applyFill="0" applyBorder="0" applyAlignment="0"/>
    <xf numFmtId="0" fontId="72" fillId="0" borderId="0"/>
    <xf numFmtId="0" fontId="4" fillId="0" borderId="0">
      <protection locked="0"/>
    </xf>
    <xf numFmtId="38" fontId="5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73" fillId="0" borderId="0" applyNumberFormat="0" applyAlignment="0">
      <alignment horizontal="left"/>
    </xf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>
      <protection locked="0"/>
    </xf>
    <xf numFmtId="0" fontId="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92" fontId="5" fillId="0" borderId="0" applyFont="0" applyFill="0" applyBorder="0" applyAlignment="0" applyProtection="0"/>
    <xf numFmtId="0" fontId="21" fillId="0" borderId="0"/>
    <xf numFmtId="179" fontId="4" fillId="0" borderId="0">
      <protection locked="0"/>
    </xf>
    <xf numFmtId="0" fontId="41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1" fillId="0" borderId="0"/>
    <xf numFmtId="205" fontId="43" fillId="0" borderId="0" applyFill="0" applyBorder="0">
      <alignment horizontal="centerContinuous"/>
    </xf>
    <xf numFmtId="0" fontId="74" fillId="0" borderId="0" applyNumberFormat="0" applyAlignment="0">
      <alignment horizontal="left"/>
    </xf>
    <xf numFmtId="0" fontId="1" fillId="0" borderId="0" applyFont="0" applyFill="0" applyBorder="0" applyAlignment="0" applyProtection="0"/>
    <xf numFmtId="0" fontId="7" fillId="0" borderId="0">
      <protection locked="0"/>
    </xf>
    <xf numFmtId="0" fontId="7" fillId="0" borderId="0">
      <protection locked="0"/>
    </xf>
    <xf numFmtId="0" fontId="75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5" fillId="0" borderId="0">
      <protection locked="0"/>
    </xf>
    <xf numFmtId="179" fontId="4" fillId="0" borderId="0">
      <protection locked="0"/>
    </xf>
    <xf numFmtId="0" fontId="41" fillId="0" borderId="0" applyFont="0" applyFill="0" applyBorder="0" applyAlignment="0" applyProtection="0"/>
    <xf numFmtId="38" fontId="22" fillId="25" borderId="0" applyNumberFormat="0" applyBorder="0" applyAlignment="0" applyProtection="0"/>
    <xf numFmtId="3" fontId="76" fillId="0" borderId="20">
      <alignment horizontal="right" vertical="center"/>
    </xf>
    <xf numFmtId="4" fontId="76" fillId="0" borderId="20">
      <alignment horizontal="right" vertical="center"/>
    </xf>
    <xf numFmtId="0" fontId="77" fillId="0" borderId="0">
      <alignment horizontal="left"/>
    </xf>
    <xf numFmtId="0" fontId="23" fillId="0" borderId="21" applyNumberFormat="0" applyAlignment="0" applyProtection="0">
      <alignment horizontal="left" vertical="center"/>
    </xf>
    <xf numFmtId="0" fontId="23" fillId="0" borderId="15">
      <alignment horizontal="left" vertical="center"/>
    </xf>
    <xf numFmtId="0" fontId="7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9" fontId="4" fillId="0" borderId="0">
      <protection locked="0"/>
    </xf>
    <xf numFmtId="179" fontId="4" fillId="0" borderId="0">
      <protection locked="0"/>
    </xf>
    <xf numFmtId="0" fontId="79" fillId="0" borderId="0" applyNumberFormat="0" applyFill="0" applyBorder="0" applyAlignment="0" applyProtection="0"/>
    <xf numFmtId="10" fontId="22" fillId="26" borderId="18" applyNumberFormat="0" applyBorder="0" applyAlignment="0" applyProtection="0"/>
    <xf numFmtId="206" fontId="80" fillId="0" borderId="0">
      <alignment horizontal="left"/>
    </xf>
    <xf numFmtId="38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0" fontId="81" fillId="0" borderId="22"/>
    <xf numFmtId="207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189" fontId="5" fillId="0" borderId="0" applyFont="0" applyFill="0" applyBorder="0" applyAlignment="0" applyProtection="0"/>
    <xf numFmtId="37" fontId="82" fillId="0" borderId="0"/>
    <xf numFmtId="0" fontId="5" fillId="0" borderId="0" applyNumberFormat="0" applyFill="0" applyBorder="0" applyAlignment="0" applyProtection="0"/>
    <xf numFmtId="0" fontId="4" fillId="0" borderId="0"/>
    <xf numFmtId="180" fontId="1" fillId="0" borderId="0"/>
    <xf numFmtId="0" fontId="5" fillId="0" borderId="0"/>
    <xf numFmtId="0" fontId="5" fillId="0" borderId="0" applyFont="0" applyFill="0" applyBorder="0" applyAlignment="0" applyProtection="0"/>
    <xf numFmtId="40" fontId="4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>
      <protection locked="0"/>
    </xf>
    <xf numFmtId="10" fontId="5" fillId="0" borderId="0" applyFont="0" applyFill="0" applyBorder="0" applyAlignment="0" applyProtection="0"/>
    <xf numFmtId="179" fontId="4" fillId="0" borderId="0">
      <protection locked="0"/>
    </xf>
    <xf numFmtId="189" fontId="43" fillId="0" borderId="0" applyFont="0" applyFill="0" applyBorder="0" applyAlignment="0" applyProtection="0"/>
    <xf numFmtId="189" fontId="43" fillId="0" borderId="0" applyFont="0" applyFill="0" applyBorder="0" applyAlignment="0" applyProtection="0"/>
    <xf numFmtId="30" fontId="83" fillId="0" borderId="0" applyNumberFormat="0" applyFill="0" applyBorder="0" applyAlignment="0" applyProtection="0">
      <alignment horizontal="left"/>
    </xf>
    <xf numFmtId="209" fontId="1" fillId="0" borderId="0" applyFont="0" applyFill="0" applyBorder="0" applyAlignment="0" applyProtection="0"/>
    <xf numFmtId="189" fontId="5" fillId="0" borderId="0" applyFont="0" applyFill="0" applyBorder="0" applyAlignment="0" applyProtection="0"/>
    <xf numFmtId="0" fontId="5" fillId="27" borderId="0"/>
    <xf numFmtId="0" fontId="81" fillId="0" borderId="0"/>
    <xf numFmtId="40" fontId="84" fillId="0" borderId="0" applyBorder="0">
      <alignment horizontal="right"/>
    </xf>
    <xf numFmtId="40" fontId="41" fillId="0" borderId="0" applyFont="0" applyFill="0" applyBorder="0" applyAlignment="0" applyProtection="0"/>
    <xf numFmtId="210" fontId="85" fillId="0" borderId="0">
      <alignment horizontal="center"/>
    </xf>
    <xf numFmtId="0" fontId="24" fillId="0" borderId="0" applyFill="0" applyBorder="0" applyProtection="0">
      <alignment horizontal="centerContinuous" vertical="center"/>
    </xf>
    <xf numFmtId="0" fontId="25" fillId="22" borderId="0" applyFill="0" applyBorder="0" applyProtection="0">
      <alignment horizontal="center" vertical="center"/>
    </xf>
    <xf numFmtId="211" fontId="43" fillId="0" borderId="0" applyFill="0" applyBorder="0">
      <alignment horizontal="centerContinuous"/>
    </xf>
    <xf numFmtId="179" fontId="4" fillId="0" borderId="23">
      <protection locked="0"/>
    </xf>
    <xf numFmtId="0" fontId="86" fillId="0" borderId="2">
      <alignment horizontal="left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13" fillId="0" borderId="0" applyNumberFormat="0" applyFill="0" applyBorder="0" applyAlignment="0" applyProtection="0">
      <alignment vertical="top"/>
      <protection locked="0"/>
    </xf>
    <xf numFmtId="1" fontId="52" fillId="0" borderId="0" applyFont="0" applyFill="0" applyBorder="0" applyProtection="0">
      <alignment horizontal="centerContinuous" vertical="center"/>
    </xf>
    <xf numFmtId="41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4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92" fillId="0" borderId="0">
      <alignment vertical="center"/>
    </xf>
  </cellStyleXfs>
  <cellXfs count="196">
    <xf numFmtId="0" fontId="0" fillId="0" borderId="0" xfId="0">
      <alignment vertical="center"/>
    </xf>
    <xf numFmtId="0" fontId="28" fillId="0" borderId="0" xfId="2102" applyFont="1" applyAlignment="1">
      <alignment vertical="center"/>
    </xf>
    <xf numFmtId="0" fontId="28" fillId="0" borderId="0" xfId="2102" applyFont="1" applyBorder="1" applyAlignment="1">
      <alignment vertical="center"/>
    </xf>
    <xf numFmtId="0" fontId="28" fillId="0" borderId="0" xfId="2102" applyFont="1" applyBorder="1" applyAlignment="1">
      <alignment vertical="center" shrinkToFit="1"/>
    </xf>
    <xf numFmtId="0" fontId="28" fillId="0" borderId="0" xfId="2102" applyFont="1" applyAlignment="1">
      <alignment vertical="center" shrinkToFit="1"/>
    </xf>
    <xf numFmtId="0" fontId="30" fillId="0" borderId="8" xfId="2102" applyFont="1" applyFill="1" applyBorder="1" applyAlignment="1">
      <alignment horizontal="centerContinuous" vertical="center"/>
    </xf>
    <xf numFmtId="0" fontId="30" fillId="0" borderId="8" xfId="2102" applyFont="1" applyFill="1" applyBorder="1" applyAlignment="1">
      <alignment horizontal="center" vertical="center"/>
    </xf>
    <xf numFmtId="183" fontId="30" fillId="0" borderId="8" xfId="1505" applyNumberFormat="1" applyFont="1" applyBorder="1" applyAlignment="1">
      <alignment vertical="center" shrinkToFit="1"/>
    </xf>
    <xf numFmtId="0" fontId="30" fillId="0" borderId="8" xfId="2102" quotePrefix="1" applyFont="1" applyBorder="1" applyAlignment="1">
      <alignment horizontal="center" vertical="center"/>
    </xf>
    <xf numFmtId="0" fontId="28" fillId="0" borderId="0" xfId="2102" applyFont="1" applyAlignment="1">
      <alignment horizontal="center" vertical="center"/>
    </xf>
    <xf numFmtId="181" fontId="28" fillId="0" borderId="0" xfId="2102" applyNumberFormat="1" applyFont="1" applyFill="1" applyAlignment="1">
      <alignment vertical="center"/>
    </xf>
    <xf numFmtId="0" fontId="28" fillId="0" borderId="0" xfId="2102" applyFont="1" applyFill="1" applyAlignment="1">
      <alignment horizontal="center" vertical="center"/>
    </xf>
    <xf numFmtId="181" fontId="28" fillId="0" borderId="0" xfId="2102" applyNumberFormat="1" applyFont="1" applyAlignment="1">
      <alignment vertical="center"/>
    </xf>
    <xf numFmtId="0" fontId="33" fillId="28" borderId="18" xfId="2102" applyNumberFormat="1" applyFont="1" applyFill="1" applyBorder="1" applyAlignment="1">
      <alignment horizontal="center" vertical="center" shrinkToFit="1"/>
    </xf>
    <xf numFmtId="0" fontId="33" fillId="28" borderId="25" xfId="2102" applyFont="1" applyFill="1" applyBorder="1" applyAlignment="1">
      <alignment horizontal="centerContinuous" vertical="center"/>
    </xf>
    <xf numFmtId="0" fontId="33" fillId="28" borderId="15" xfId="2102" applyFont="1" applyFill="1" applyBorder="1" applyAlignment="1">
      <alignment horizontal="centerContinuous" vertical="center"/>
    </xf>
    <xf numFmtId="0" fontId="33" fillId="28" borderId="26" xfId="2102" applyFont="1" applyFill="1" applyBorder="1" applyAlignment="1">
      <alignment horizontal="centerContinuous" vertical="center"/>
    </xf>
    <xf numFmtId="0" fontId="30" fillId="0" borderId="0" xfId="2102" applyFont="1" applyAlignment="1">
      <alignment horizontal="center" vertical="center"/>
    </xf>
    <xf numFmtId="0" fontId="30" fillId="0" borderId="0" xfId="2102" applyFont="1" applyAlignment="1">
      <alignment vertical="center"/>
    </xf>
    <xf numFmtId="0" fontId="30" fillId="0" borderId="27" xfId="2099" applyNumberFormat="1" applyFont="1" applyBorder="1" applyAlignment="1">
      <alignment horizontal="center" vertical="center" shrinkToFit="1"/>
    </xf>
    <xf numFmtId="4" fontId="30" fillId="0" borderId="28" xfId="2099" applyNumberFormat="1" applyFont="1" applyBorder="1" applyAlignment="1">
      <alignment vertical="center"/>
    </xf>
    <xf numFmtId="4" fontId="30" fillId="0" borderId="0" xfId="2099" applyNumberFormat="1" applyFont="1" applyBorder="1" applyAlignment="1">
      <alignment vertical="center"/>
    </xf>
    <xf numFmtId="181" fontId="30" fillId="0" borderId="0" xfId="2099" applyNumberFormat="1" applyFont="1" applyBorder="1" applyAlignment="1">
      <alignment vertical="center"/>
    </xf>
    <xf numFmtId="0" fontId="30" fillId="0" borderId="0" xfId="2099" applyFont="1" applyBorder="1" applyAlignment="1">
      <alignment vertical="center"/>
    </xf>
    <xf numFmtId="0" fontId="30" fillId="0" borderId="0" xfId="2099" applyFont="1" applyBorder="1" applyAlignment="1">
      <alignment horizontal="center"/>
    </xf>
    <xf numFmtId="181" fontId="30" fillId="0" borderId="29" xfId="2099" applyNumberFormat="1" applyFont="1" applyBorder="1" applyAlignment="1">
      <alignment horizontal="right" vertical="center"/>
    </xf>
    <xf numFmtId="181" fontId="30" fillId="0" borderId="30" xfId="2099" applyNumberFormat="1" applyFont="1" applyBorder="1" applyAlignment="1">
      <alignment horizontal="left" vertical="center"/>
    </xf>
    <xf numFmtId="0" fontId="30" fillId="0" borderId="0" xfId="2102" applyFont="1" applyFill="1" applyAlignment="1">
      <alignment horizontal="center" vertical="center" shrinkToFit="1"/>
    </xf>
    <xf numFmtId="0" fontId="30" fillId="0" borderId="0" xfId="2102" applyFont="1" applyFill="1" applyAlignment="1">
      <alignment vertical="center" shrinkToFit="1"/>
    </xf>
    <xf numFmtId="0" fontId="30" fillId="0" borderId="28" xfId="2099" applyNumberFormat="1" applyFont="1" applyBorder="1" applyAlignment="1">
      <alignment horizontal="center" vertical="center" shrinkToFit="1"/>
    </xf>
    <xf numFmtId="0" fontId="30" fillId="0" borderId="0" xfId="2102" applyFont="1" applyFill="1" applyBorder="1" applyAlignment="1">
      <alignment vertical="center" shrinkToFit="1"/>
    </xf>
    <xf numFmtId="181" fontId="30" fillId="0" borderId="28" xfId="2099" applyNumberFormat="1" applyFont="1" applyBorder="1" applyAlignment="1">
      <alignment horizontal="right" vertical="center"/>
    </xf>
    <xf numFmtId="181" fontId="30" fillId="0" borderId="31" xfId="2099" applyNumberFormat="1" applyFont="1" applyBorder="1" applyAlignment="1">
      <alignment horizontal="left" vertical="center"/>
    </xf>
    <xf numFmtId="0" fontId="30" fillId="0" borderId="0" xfId="2102" quotePrefix="1" applyFont="1" applyFill="1" applyBorder="1" applyAlignment="1">
      <alignment vertical="center" shrinkToFit="1"/>
    </xf>
    <xf numFmtId="4" fontId="30" fillId="0" borderId="0" xfId="2099" quotePrefix="1" applyNumberFormat="1" applyFont="1" applyBorder="1" applyAlignment="1">
      <alignment vertical="center"/>
    </xf>
    <xf numFmtId="181" fontId="30" fillId="0" borderId="0" xfId="2099" applyNumberFormat="1" applyFont="1" applyFill="1" applyBorder="1" applyAlignment="1">
      <alignment vertical="center"/>
    </xf>
    <xf numFmtId="4" fontId="30" fillId="0" borderId="0" xfId="2099" applyNumberFormat="1" applyFont="1" applyFill="1" applyBorder="1" applyAlignment="1">
      <alignment vertical="center"/>
    </xf>
    <xf numFmtId="181" fontId="34" fillId="0" borderId="0" xfId="2102" applyNumberFormat="1" applyFont="1" applyFill="1" applyBorder="1" applyAlignment="1">
      <alignment horizontal="centerContinuous" vertical="center" shrinkToFit="1"/>
    </xf>
    <xf numFmtId="2" fontId="30" fillId="0" borderId="0" xfId="2102" applyNumberFormat="1" applyFont="1" applyFill="1" applyBorder="1" applyAlignment="1">
      <alignment horizontal="centerContinuous" vertical="center" shrinkToFit="1"/>
    </xf>
    <xf numFmtId="3" fontId="34" fillId="0" borderId="0" xfId="2102" applyNumberFormat="1" applyFont="1" applyFill="1" applyBorder="1" applyAlignment="1">
      <alignment horizontal="centerContinuous" vertical="center" shrinkToFit="1"/>
    </xf>
    <xf numFmtId="4" fontId="36" fillId="0" borderId="28" xfId="2099" applyNumberFormat="1" applyFont="1" applyBorder="1" applyAlignment="1">
      <alignment vertical="center"/>
    </xf>
    <xf numFmtId="181" fontId="37" fillId="0" borderId="0" xfId="2102" applyNumberFormat="1" applyFont="1" applyFill="1" applyBorder="1" applyAlignment="1">
      <alignment horizontal="right" vertical="center" shrinkToFit="1"/>
    </xf>
    <xf numFmtId="181" fontId="38" fillId="0" borderId="0" xfId="2102" applyNumberFormat="1" applyFont="1" applyFill="1" applyBorder="1" applyAlignment="1">
      <alignment horizontal="right" vertical="center" shrinkToFit="1"/>
    </xf>
    <xf numFmtId="181" fontId="35" fillId="0" borderId="0" xfId="2099" applyNumberFormat="1" applyFont="1" applyBorder="1" applyAlignment="1">
      <alignment vertical="center"/>
    </xf>
    <xf numFmtId="4" fontId="35" fillId="0" borderId="0" xfId="2099" applyNumberFormat="1" applyFont="1" applyBorder="1" applyAlignment="1">
      <alignment vertical="center"/>
    </xf>
    <xf numFmtId="181" fontId="35" fillId="0" borderId="0" xfId="2102" applyNumberFormat="1" applyFont="1" applyFill="1" applyBorder="1" applyAlignment="1">
      <alignment horizontal="left" vertical="center" shrinkToFit="1"/>
    </xf>
    <xf numFmtId="0" fontId="38" fillId="0" borderId="0" xfId="2099" applyFont="1" applyBorder="1" applyAlignment="1">
      <alignment vertical="center"/>
    </xf>
    <xf numFmtId="181" fontId="38" fillId="0" borderId="0" xfId="2102" applyNumberFormat="1" applyFont="1" applyFill="1" applyBorder="1" applyAlignment="1">
      <alignment horizontal="centerContinuous" vertical="center" shrinkToFit="1"/>
    </xf>
    <xf numFmtId="2" fontId="38" fillId="0" borderId="0" xfId="2102" applyNumberFormat="1" applyFont="1" applyFill="1" applyBorder="1" applyAlignment="1">
      <alignment horizontal="centerContinuous" vertical="center" shrinkToFit="1"/>
    </xf>
    <xf numFmtId="2" fontId="38" fillId="0" borderId="0" xfId="2102" applyNumberFormat="1" applyFont="1" applyFill="1" applyBorder="1" applyAlignment="1">
      <alignment horizontal="center" vertical="center" shrinkToFit="1"/>
    </xf>
    <xf numFmtId="0" fontId="35" fillId="0" borderId="0" xfId="2102" applyFont="1" applyFill="1" applyBorder="1" applyAlignment="1">
      <alignment vertical="center" shrinkToFit="1"/>
    </xf>
    <xf numFmtId="4" fontId="30" fillId="0" borderId="28" xfId="2102" applyNumberFormat="1" applyFont="1" applyFill="1" applyBorder="1" applyAlignment="1">
      <alignment horizontal="right" vertical="center" shrinkToFit="1"/>
    </xf>
    <xf numFmtId="0" fontId="30" fillId="0" borderId="32" xfId="2099" applyNumberFormat="1" applyFont="1" applyFill="1" applyBorder="1" applyAlignment="1">
      <alignment horizontal="center" vertical="center" shrinkToFit="1"/>
    </xf>
    <xf numFmtId="4" fontId="30" fillId="0" borderId="32" xfId="2099" applyNumberFormat="1" applyFont="1" applyFill="1" applyBorder="1" applyAlignment="1">
      <alignment vertical="center"/>
    </xf>
    <xf numFmtId="4" fontId="30" fillId="0" borderId="33" xfId="2099" applyNumberFormat="1" applyFont="1" applyFill="1" applyBorder="1" applyAlignment="1">
      <alignment vertical="center"/>
    </xf>
    <xf numFmtId="181" fontId="30" fillId="0" borderId="33" xfId="2099" applyNumberFormat="1" applyFont="1" applyFill="1" applyBorder="1" applyAlignment="1">
      <alignment vertical="center"/>
    </xf>
    <xf numFmtId="0" fontId="30" fillId="0" borderId="33" xfId="2099" applyFont="1" applyFill="1" applyBorder="1" applyAlignment="1">
      <alignment vertical="center"/>
    </xf>
    <xf numFmtId="0" fontId="30" fillId="0" borderId="33" xfId="2099" applyFont="1" applyFill="1" applyBorder="1" applyAlignment="1">
      <alignment horizontal="center"/>
    </xf>
    <xf numFmtId="181" fontId="30" fillId="0" borderId="32" xfId="2099" applyNumberFormat="1" applyFont="1" applyFill="1" applyBorder="1" applyAlignment="1">
      <alignment horizontal="right" vertical="center"/>
    </xf>
    <xf numFmtId="181" fontId="30" fillId="0" borderId="34" xfId="2099" applyNumberFormat="1" applyFont="1" applyFill="1" applyBorder="1" applyAlignment="1">
      <alignment horizontal="left" vertical="center"/>
    </xf>
    <xf numFmtId="0" fontId="30" fillId="0" borderId="28" xfId="2099" applyNumberFormat="1" applyFont="1" applyFill="1" applyBorder="1" applyAlignment="1">
      <alignment horizontal="center" vertical="center" shrinkToFit="1"/>
    </xf>
    <xf numFmtId="4" fontId="30" fillId="0" borderId="28" xfId="2099" applyNumberFormat="1" applyFont="1" applyFill="1" applyBorder="1" applyAlignment="1">
      <alignment vertical="center"/>
    </xf>
    <xf numFmtId="0" fontId="30" fillId="0" borderId="0" xfId="2099" applyFont="1" applyFill="1" applyBorder="1" applyAlignment="1">
      <alignment vertical="center"/>
    </xf>
    <xf numFmtId="0" fontId="30" fillId="0" borderId="0" xfId="2099" applyFont="1" applyFill="1" applyBorder="1" applyAlignment="1">
      <alignment horizontal="center"/>
    </xf>
    <xf numFmtId="181" fontId="30" fillId="0" borderId="29" xfId="2099" applyNumberFormat="1" applyFont="1" applyFill="1" applyBorder="1" applyAlignment="1">
      <alignment horizontal="right" vertical="center"/>
    </xf>
    <xf numFmtId="181" fontId="30" fillId="0" borderId="30" xfId="2099" applyNumberFormat="1" applyFont="1" applyFill="1" applyBorder="1" applyAlignment="1">
      <alignment horizontal="left" vertical="center"/>
    </xf>
    <xf numFmtId="4" fontId="30" fillId="0" borderId="0" xfId="2099" applyNumberFormat="1" applyFont="1" applyBorder="1" applyAlignment="1">
      <alignment horizontal="centerContinuous" vertical="center" shrinkToFit="1"/>
    </xf>
    <xf numFmtId="4" fontId="30" fillId="0" borderId="0" xfId="2102" applyNumberFormat="1" applyFont="1" applyFill="1" applyBorder="1" applyAlignment="1">
      <alignment horizontal="centerContinuous" vertical="center" shrinkToFit="1"/>
    </xf>
    <xf numFmtId="4" fontId="30" fillId="0" borderId="0" xfId="2099" applyNumberFormat="1" applyFont="1" applyBorder="1" applyAlignment="1">
      <alignment horizontal="center" vertical="center"/>
    </xf>
    <xf numFmtId="0" fontId="30" fillId="0" borderId="28" xfId="2102" applyFont="1" applyFill="1" applyBorder="1" applyAlignment="1">
      <alignment vertical="center" shrinkToFit="1"/>
    </xf>
    <xf numFmtId="181" fontId="30" fillId="0" borderId="31" xfId="2099" applyNumberFormat="1" applyFont="1" applyBorder="1" applyAlignment="1">
      <alignment horizontal="right" vertical="center" shrinkToFit="1"/>
    </xf>
    <xf numFmtId="0" fontId="30" fillId="0" borderId="27" xfId="2099" quotePrefix="1" applyNumberFormat="1" applyFont="1" applyBorder="1" applyAlignment="1">
      <alignment horizontal="center" vertical="center" shrinkToFit="1"/>
    </xf>
    <xf numFmtId="181" fontId="30" fillId="0" borderId="0" xfId="2102" applyNumberFormat="1" applyFont="1" applyFill="1" applyBorder="1" applyAlignment="1">
      <alignment horizontal="centerContinuous" vertical="center" shrinkToFit="1"/>
    </xf>
    <xf numFmtId="2" fontId="30" fillId="0" borderId="0" xfId="2102" applyNumberFormat="1" applyFont="1" applyFill="1" applyBorder="1" applyAlignment="1">
      <alignment horizontal="center" vertical="center" shrinkToFit="1"/>
    </xf>
    <xf numFmtId="184" fontId="3" fillId="0" borderId="0" xfId="2102" quotePrefix="1" applyNumberFormat="1" applyFont="1" applyFill="1" applyBorder="1" applyAlignment="1">
      <alignment horizontal="centerContinuous" vertical="center" shrinkToFit="1"/>
    </xf>
    <xf numFmtId="185" fontId="30" fillId="0" borderId="0" xfId="2102" applyNumberFormat="1" applyFont="1" applyFill="1" applyBorder="1" applyAlignment="1">
      <alignment horizontal="centerContinuous" vertical="center" shrinkToFit="1"/>
    </xf>
    <xf numFmtId="183" fontId="30" fillId="0" borderId="0" xfId="1505" applyNumberFormat="1" applyFont="1" applyFill="1" applyBorder="1" applyAlignment="1">
      <alignment horizontal="centerContinuous" vertical="center" shrinkToFit="1"/>
    </xf>
    <xf numFmtId="181" fontId="30" fillId="0" borderId="28" xfId="2099" applyNumberFormat="1" applyFont="1" applyFill="1" applyBorder="1" applyAlignment="1">
      <alignment horizontal="right" vertical="center"/>
    </xf>
    <xf numFmtId="181" fontId="30" fillId="0" borderId="31" xfId="2099" applyNumberFormat="1" applyFont="1" applyFill="1" applyBorder="1" applyAlignment="1">
      <alignment horizontal="left" vertical="center"/>
    </xf>
    <xf numFmtId="0" fontId="30" fillId="0" borderId="29" xfId="2099" applyNumberFormat="1" applyFont="1" applyFill="1" applyBorder="1" applyAlignment="1">
      <alignment horizontal="center" vertical="center" shrinkToFit="1"/>
    </xf>
    <xf numFmtId="4" fontId="30" fillId="0" borderId="29" xfId="2099" applyNumberFormat="1" applyFont="1" applyFill="1" applyBorder="1" applyAlignment="1">
      <alignment vertical="center"/>
    </xf>
    <xf numFmtId="4" fontId="30" fillId="0" borderId="35" xfId="2099" applyNumberFormat="1" applyFont="1" applyFill="1" applyBorder="1" applyAlignment="1">
      <alignment vertical="center"/>
    </xf>
    <xf numFmtId="181" fontId="30" fillId="0" borderId="35" xfId="2099" applyNumberFormat="1" applyFont="1" applyFill="1" applyBorder="1" applyAlignment="1">
      <alignment vertical="center"/>
    </xf>
    <xf numFmtId="0" fontId="30" fillId="0" borderId="35" xfId="2099" applyFont="1" applyFill="1" applyBorder="1" applyAlignment="1">
      <alignment vertical="center"/>
    </xf>
    <xf numFmtId="0" fontId="30" fillId="0" borderId="35" xfId="2099" applyFont="1" applyFill="1" applyBorder="1" applyAlignment="1">
      <alignment horizontal="center"/>
    </xf>
    <xf numFmtId="3" fontId="31" fillId="0" borderId="0" xfId="2102" applyNumberFormat="1" applyFont="1" applyFill="1" applyBorder="1" applyAlignment="1">
      <alignment horizontal="left" vertical="center" shrinkToFit="1"/>
    </xf>
    <xf numFmtId="3" fontId="30" fillId="0" borderId="0" xfId="2102" applyNumberFormat="1" applyFont="1" applyFill="1" applyBorder="1" applyAlignment="1">
      <alignment horizontal="centerContinuous" vertical="center" shrinkToFit="1"/>
    </xf>
    <xf numFmtId="0" fontId="30" fillId="0" borderId="33" xfId="2102" applyFont="1" applyFill="1" applyBorder="1" applyAlignment="1">
      <alignment vertical="center" shrinkToFit="1"/>
    </xf>
    <xf numFmtId="181" fontId="39" fillId="0" borderId="0" xfId="2102" applyNumberFormat="1" applyFont="1" applyFill="1" applyBorder="1" applyAlignment="1">
      <alignment horizontal="centerContinuous" vertical="center" shrinkToFit="1"/>
    </xf>
    <xf numFmtId="2" fontId="3" fillId="0" borderId="0" xfId="2102" applyNumberFormat="1" applyFont="1" applyFill="1" applyBorder="1" applyAlignment="1">
      <alignment horizontal="centerContinuous" vertical="center" shrinkToFit="1"/>
    </xf>
    <xf numFmtId="2" fontId="3" fillId="0" borderId="0" xfId="2102" applyNumberFormat="1" applyFont="1" applyFill="1" applyBorder="1" applyAlignment="1">
      <alignment horizontal="center" vertical="center" shrinkToFit="1"/>
    </xf>
    <xf numFmtId="185" fontId="39" fillId="0" borderId="0" xfId="2102" applyNumberFormat="1" applyFont="1" applyFill="1" applyBorder="1" applyAlignment="1">
      <alignment horizontal="centerContinuous" vertical="center" shrinkToFit="1"/>
    </xf>
    <xf numFmtId="182" fontId="3" fillId="0" borderId="0" xfId="2102" applyNumberFormat="1" applyFont="1" applyFill="1" applyBorder="1" applyAlignment="1">
      <alignment horizontal="centerContinuous" vertical="center" shrinkToFit="1"/>
    </xf>
    <xf numFmtId="181" fontId="3" fillId="0" borderId="0" xfId="2102" applyNumberFormat="1" applyFont="1" applyFill="1" applyBorder="1" applyAlignment="1">
      <alignment vertical="center" shrinkToFit="1"/>
    </xf>
    <xf numFmtId="2" fontId="3" fillId="0" borderId="0" xfId="2102" applyNumberFormat="1" applyFont="1" applyFill="1" applyBorder="1" applyAlignment="1">
      <alignment vertical="center" shrinkToFit="1"/>
    </xf>
    <xf numFmtId="2" fontId="30" fillId="0" borderId="0" xfId="2102" applyNumberFormat="1" applyFont="1" applyFill="1" applyBorder="1" applyAlignment="1">
      <alignment vertical="center" shrinkToFit="1"/>
    </xf>
    <xf numFmtId="181" fontId="30" fillId="0" borderId="0" xfId="2102" applyNumberFormat="1" applyFont="1" applyFill="1" applyBorder="1" applyAlignment="1">
      <alignment vertical="center" shrinkToFit="1"/>
    </xf>
    <xf numFmtId="181" fontId="30" fillId="0" borderId="31" xfId="2099" quotePrefix="1" applyNumberFormat="1" applyFont="1" applyBorder="1" applyAlignment="1">
      <alignment horizontal="right" vertical="center" shrinkToFit="1"/>
    </xf>
    <xf numFmtId="0" fontId="30" fillId="0" borderId="32" xfId="2099" applyNumberFormat="1" applyFont="1" applyBorder="1" applyAlignment="1">
      <alignment horizontal="center" vertical="center" shrinkToFit="1"/>
    </xf>
    <xf numFmtId="4" fontId="30" fillId="0" borderId="32" xfId="2099" applyNumberFormat="1" applyFont="1" applyBorder="1" applyAlignment="1">
      <alignment vertical="center"/>
    </xf>
    <xf numFmtId="181" fontId="30" fillId="0" borderId="33" xfId="2102" applyNumberFormat="1" applyFont="1" applyFill="1" applyBorder="1" applyAlignment="1">
      <alignment horizontal="centerContinuous" vertical="center" shrinkToFit="1"/>
    </xf>
    <xf numFmtId="4" fontId="30" fillId="0" borderId="33" xfId="2099" applyNumberFormat="1" applyFont="1" applyBorder="1" applyAlignment="1">
      <alignment vertical="center"/>
    </xf>
    <xf numFmtId="0" fontId="30" fillId="0" borderId="33" xfId="2099" applyFont="1" applyBorder="1" applyAlignment="1">
      <alignment vertical="center"/>
    </xf>
    <xf numFmtId="4" fontId="30" fillId="0" borderId="33" xfId="2099" applyNumberFormat="1" applyFont="1" applyBorder="1" applyAlignment="1">
      <alignment horizontal="center" vertical="center"/>
    </xf>
    <xf numFmtId="183" fontId="30" fillId="0" borderId="33" xfId="1505" applyNumberFormat="1" applyFont="1" applyFill="1" applyBorder="1" applyAlignment="1">
      <alignment horizontal="centerContinuous" vertical="center" shrinkToFit="1"/>
    </xf>
    <xf numFmtId="0" fontId="28" fillId="0" borderId="0" xfId="2102" applyNumberFormat="1" applyFont="1" applyBorder="1" applyAlignment="1">
      <alignment horizontal="center" vertical="center" shrinkToFit="1"/>
    </xf>
    <xf numFmtId="0" fontId="28" fillId="0" borderId="0" xfId="2102" applyFont="1" applyAlignment="1">
      <alignment horizontal="right" vertical="center"/>
    </xf>
    <xf numFmtId="0" fontId="28" fillId="0" borderId="0" xfId="2102" applyFont="1" applyBorder="1" applyAlignment="1">
      <alignment horizontal="left" vertical="center"/>
    </xf>
    <xf numFmtId="0" fontId="40" fillId="0" borderId="28" xfId="2099" applyNumberFormat="1" applyFont="1" applyFill="1" applyBorder="1" applyAlignment="1">
      <alignment horizontal="center" vertical="center" shrinkToFit="1"/>
    </xf>
    <xf numFmtId="4" fontId="40" fillId="0" borderId="28" xfId="2099" applyNumberFormat="1" applyFont="1" applyBorder="1" applyAlignment="1">
      <alignment vertical="center"/>
    </xf>
    <xf numFmtId="181" fontId="40" fillId="0" borderId="0" xfId="2102" applyNumberFormat="1" applyFont="1" applyFill="1" applyBorder="1" applyAlignment="1">
      <alignment horizontal="centerContinuous" vertical="center" shrinkToFit="1"/>
    </xf>
    <xf numFmtId="0" fontId="40" fillId="0" borderId="32" xfId="2099" applyNumberFormat="1" applyFont="1" applyFill="1" applyBorder="1" applyAlignment="1">
      <alignment horizontal="center" vertical="center" shrinkToFit="1"/>
    </xf>
    <xf numFmtId="4" fontId="40" fillId="0" borderId="32" xfId="2099" applyNumberFormat="1" applyFont="1" applyFill="1" applyBorder="1" applyAlignment="1">
      <alignment vertical="center"/>
    </xf>
    <xf numFmtId="4" fontId="40" fillId="0" borderId="33" xfId="2099" applyNumberFormat="1" applyFont="1" applyFill="1" applyBorder="1" applyAlignment="1">
      <alignment vertical="center"/>
    </xf>
    <xf numFmtId="181" fontId="40" fillId="0" borderId="33" xfId="2099" applyNumberFormat="1" applyFont="1" applyFill="1" applyBorder="1" applyAlignment="1">
      <alignment vertical="center"/>
    </xf>
    <xf numFmtId="0" fontId="40" fillId="0" borderId="33" xfId="2102" applyFont="1" applyFill="1" applyBorder="1" applyAlignment="1">
      <alignment vertical="center" shrinkToFit="1"/>
    </xf>
    <xf numFmtId="0" fontId="40" fillId="0" borderId="33" xfId="2099" applyFont="1" applyFill="1" applyBorder="1" applyAlignment="1">
      <alignment vertical="center"/>
    </xf>
    <xf numFmtId="0" fontId="40" fillId="0" borderId="33" xfId="2099" applyFont="1" applyFill="1" applyBorder="1" applyAlignment="1">
      <alignment horizontal="center"/>
    </xf>
    <xf numFmtId="0" fontId="3" fillId="0" borderId="8" xfId="2099" applyNumberFormat="1" applyFont="1" applyFill="1" applyBorder="1" applyAlignment="1">
      <alignment horizontal="centerContinuous" vertical="center"/>
    </xf>
    <xf numFmtId="0" fontId="30" fillId="0" borderId="0" xfId="2102" applyNumberFormat="1" applyFont="1" applyFill="1" applyBorder="1" applyAlignment="1">
      <alignment horizontal="centerContinuous" vertical="center" shrinkToFit="1"/>
    </xf>
    <xf numFmtId="181" fontId="30" fillId="0" borderId="17" xfId="2102" applyNumberFormat="1" applyFont="1" applyFill="1" applyBorder="1" applyAlignment="1">
      <alignment horizontal="center" vertical="center" shrinkToFit="1"/>
    </xf>
    <xf numFmtId="181" fontId="30" fillId="0" borderId="17" xfId="2102" applyNumberFormat="1" applyFont="1" applyBorder="1" applyAlignment="1">
      <alignment horizontal="center" vertical="center" shrinkToFit="1"/>
    </xf>
    <xf numFmtId="183" fontId="30" fillId="0" borderId="7" xfId="1505" applyNumberFormat="1" applyFont="1" applyBorder="1" applyAlignment="1">
      <alignment vertical="center" shrinkToFit="1"/>
    </xf>
    <xf numFmtId="0" fontId="3" fillId="0" borderId="38" xfId="2099" applyFont="1" applyBorder="1" applyAlignment="1">
      <alignment horizontal="center" vertical="center" shrinkToFit="1"/>
    </xf>
    <xf numFmtId="0" fontId="30" fillId="0" borderId="4" xfId="2102" applyFont="1" applyFill="1" applyBorder="1" applyAlignment="1">
      <alignment horizontal="center" vertical="center"/>
    </xf>
    <xf numFmtId="183" fontId="30" fillId="0" borderId="4" xfId="1505" applyNumberFormat="1" applyFont="1" applyBorder="1" applyAlignment="1">
      <alignment vertical="center" shrinkToFit="1"/>
    </xf>
    <xf numFmtId="181" fontId="30" fillId="0" borderId="42" xfId="2102" applyNumberFormat="1" applyFont="1" applyBorder="1" applyAlignment="1">
      <alignment horizontal="center" vertical="center" shrinkToFit="1"/>
    </xf>
    <xf numFmtId="0" fontId="3" fillId="0" borderId="24" xfId="2099" applyFont="1" applyBorder="1" applyAlignment="1">
      <alignment horizontal="center" vertical="center" shrinkToFit="1"/>
    </xf>
    <xf numFmtId="181" fontId="88" fillId="0" borderId="0" xfId="2102" applyNumberFormat="1" applyFont="1" applyFill="1" applyBorder="1" applyAlignment="1">
      <alignment horizontal="centerContinuous" vertical="center" shrinkToFit="1"/>
    </xf>
    <xf numFmtId="0" fontId="30" fillId="0" borderId="0" xfId="2102" applyFont="1" applyFill="1" applyBorder="1" applyAlignment="1">
      <alignment vertical="center"/>
    </xf>
    <xf numFmtId="0" fontId="0" fillId="0" borderId="0" xfId="0" applyAlignment="1"/>
    <xf numFmtId="0" fontId="91" fillId="0" borderId="0" xfId="3188" applyFont="1" applyAlignment="1">
      <alignment horizontal="left" vertical="center"/>
    </xf>
    <xf numFmtId="0" fontId="92" fillId="0" borderId="0" xfId="3189">
      <alignment vertical="center"/>
    </xf>
    <xf numFmtId="0" fontId="30" fillId="0" borderId="44" xfId="2102" applyFont="1" applyFill="1" applyBorder="1" applyAlignment="1">
      <alignment horizontal="centerContinuous" vertical="center"/>
    </xf>
    <xf numFmtId="0" fontId="30" fillId="0" borderId="44" xfId="2102" applyFont="1" applyFill="1" applyBorder="1" applyAlignment="1">
      <alignment horizontal="center" vertical="center"/>
    </xf>
    <xf numFmtId="183" fontId="30" fillId="0" borderId="47" xfId="1505" applyNumberFormat="1" applyFont="1" applyBorder="1" applyAlignment="1">
      <alignment vertical="center" shrinkToFit="1"/>
    </xf>
    <xf numFmtId="181" fontId="30" fillId="0" borderId="43" xfId="2102" applyNumberFormat="1" applyFont="1" applyBorder="1" applyAlignment="1">
      <alignment horizontal="center" vertical="center" shrinkToFit="1"/>
    </xf>
    <xf numFmtId="0" fontId="30" fillId="0" borderId="36" xfId="2102" applyFont="1" applyFill="1" applyBorder="1" applyAlignment="1">
      <alignment horizontal="center" vertical="center"/>
    </xf>
    <xf numFmtId="0" fontId="3" fillId="0" borderId="37" xfId="2099" applyFont="1" applyBorder="1" applyAlignment="1">
      <alignment horizontal="center" vertical="center" wrapText="1" shrinkToFit="1"/>
    </xf>
    <xf numFmtId="183" fontId="30" fillId="0" borderId="48" xfId="1505" applyNumberFormat="1" applyFont="1" applyFill="1" applyBorder="1" applyAlignment="1">
      <alignment vertical="center" shrinkToFit="1"/>
    </xf>
    <xf numFmtId="212" fontId="30" fillId="0" borderId="7" xfId="1505" applyNumberFormat="1" applyFont="1" applyFill="1" applyBorder="1" applyAlignment="1">
      <alignment vertical="center" shrinkToFit="1"/>
    </xf>
    <xf numFmtId="212" fontId="30" fillId="0" borderId="7" xfId="1505" applyNumberFormat="1" applyFont="1" applyBorder="1" applyAlignment="1">
      <alignment vertical="center" shrinkToFit="1"/>
    </xf>
    <xf numFmtId="183" fontId="30" fillId="0" borderId="1" xfId="1505" applyNumberFormat="1" applyFont="1" applyBorder="1" applyAlignment="1">
      <alignment vertical="center" shrinkToFit="1"/>
    </xf>
    <xf numFmtId="183" fontId="30" fillId="0" borderId="49" xfId="1505" applyNumberFormat="1" applyFont="1" applyBorder="1" applyAlignment="1">
      <alignment vertical="center" shrinkToFit="1"/>
    </xf>
    <xf numFmtId="183" fontId="30" fillId="0" borderId="50" xfId="1505" applyNumberFormat="1" applyFont="1" applyBorder="1" applyAlignment="1">
      <alignment vertical="center" shrinkToFit="1"/>
    </xf>
    <xf numFmtId="181" fontId="28" fillId="0" borderId="35" xfId="2102" applyNumberFormat="1" applyFont="1" applyFill="1" applyBorder="1" applyAlignment="1">
      <alignment vertical="center"/>
    </xf>
    <xf numFmtId="181" fontId="30" fillId="0" borderId="0" xfId="2099" applyNumberFormat="1" applyFont="1" applyAlignment="1">
      <alignment vertical="center"/>
    </xf>
    <xf numFmtId="4" fontId="30" fillId="0" borderId="0" xfId="2099" applyNumberFormat="1" applyFont="1" applyAlignment="1">
      <alignment vertical="center"/>
    </xf>
    <xf numFmtId="0" fontId="30" fillId="0" borderId="0" xfId="2102" applyFont="1" applyAlignment="1">
      <alignment vertical="center" shrinkToFit="1"/>
    </xf>
    <xf numFmtId="0" fontId="30" fillId="0" borderId="0" xfId="2099" applyFont="1" applyAlignment="1">
      <alignment vertical="center"/>
    </xf>
    <xf numFmtId="0" fontId="30" fillId="0" borderId="31" xfId="2099" applyFont="1" applyBorder="1" applyAlignment="1">
      <alignment horizontal="center"/>
    </xf>
    <xf numFmtId="0" fontId="30" fillId="0" borderId="31" xfId="2102" applyFont="1" applyBorder="1" applyAlignment="1">
      <alignment horizontal="right" vertical="center" shrinkToFit="1"/>
    </xf>
    <xf numFmtId="2" fontId="30" fillId="0" borderId="0" xfId="2102" quotePrefix="1" applyNumberFormat="1" applyFont="1" applyAlignment="1">
      <alignment horizontal="centerContinuous" vertical="center" shrinkToFit="1"/>
    </xf>
    <xf numFmtId="2" fontId="40" fillId="0" borderId="0" xfId="2102" applyNumberFormat="1" applyFont="1" applyAlignment="1">
      <alignment horizontal="center" vertical="center" shrinkToFit="1"/>
    </xf>
    <xf numFmtId="181" fontId="40" fillId="0" borderId="0" xfId="2102" applyNumberFormat="1" applyFont="1" applyAlignment="1">
      <alignment horizontal="centerContinuous" vertical="center" shrinkToFit="1"/>
    </xf>
    <xf numFmtId="2" fontId="40" fillId="0" borderId="0" xfId="2102" applyNumberFormat="1" applyFont="1" applyAlignment="1">
      <alignment horizontal="centerContinuous" vertical="center" shrinkToFit="1"/>
    </xf>
    <xf numFmtId="185" fontId="40" fillId="0" borderId="0" xfId="2102" applyNumberFormat="1" applyFont="1" applyAlignment="1">
      <alignment horizontal="centerContinuous" vertical="center" shrinkToFit="1"/>
    </xf>
    <xf numFmtId="0" fontId="40" fillId="0" borderId="0" xfId="2102" applyFont="1" applyAlignment="1">
      <alignment vertical="center" shrinkToFit="1"/>
    </xf>
    <xf numFmtId="4" fontId="30" fillId="0" borderId="0" xfId="2099" applyNumberFormat="1" applyFont="1" applyAlignment="1">
      <alignment horizontal="center" vertical="center"/>
    </xf>
    <xf numFmtId="41" fontId="30" fillId="0" borderId="0" xfId="1505" applyFont="1" applyFill="1" applyBorder="1" applyAlignment="1">
      <alignment horizontal="centerContinuous" vertical="center" shrinkToFit="1"/>
    </xf>
    <xf numFmtId="183" fontId="30" fillId="0" borderId="31" xfId="1505" applyNumberFormat="1" applyFont="1" applyFill="1" applyBorder="1" applyAlignment="1">
      <alignment horizontal="centerContinuous" vertical="center" shrinkToFit="1"/>
    </xf>
    <xf numFmtId="0" fontId="90" fillId="0" borderId="0" xfId="0" applyFont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93" fillId="0" borderId="0" xfId="3188" applyFont="1" applyAlignment="1">
      <alignment horizontal="center" vertical="center"/>
    </xf>
    <xf numFmtId="0" fontId="94" fillId="0" borderId="0" xfId="3188" applyFont="1" applyAlignment="1">
      <alignment horizontal="center" vertical="center"/>
    </xf>
    <xf numFmtId="0" fontId="3" fillId="0" borderId="39" xfId="2099" applyNumberFormat="1" applyFont="1" applyBorder="1" applyAlignment="1">
      <alignment horizontal="center" vertical="center"/>
    </xf>
    <xf numFmtId="0" fontId="3" fillId="0" borderId="40" xfId="2099" applyNumberFormat="1" applyFont="1" applyBorder="1" applyAlignment="1">
      <alignment horizontal="center" vertical="center"/>
    </xf>
    <xf numFmtId="0" fontId="3" fillId="0" borderId="41" xfId="2099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" fillId="0" borderId="2" xfId="2099" applyFont="1" applyBorder="1" applyAlignment="1">
      <alignment horizontal="center" vertical="center" wrapText="1" shrinkToFit="1"/>
    </xf>
    <xf numFmtId="0" fontId="3" fillId="0" borderId="2" xfId="2099" applyFont="1" applyBorder="1" applyAlignment="1">
      <alignment horizontal="center" vertical="center" shrinkToFit="1"/>
    </xf>
    <xf numFmtId="0" fontId="3" fillId="0" borderId="8" xfId="2099" applyNumberFormat="1" applyFont="1" applyBorder="1" applyAlignment="1">
      <alignment horizontal="center" vertical="center"/>
    </xf>
    <xf numFmtId="0" fontId="29" fillId="0" borderId="45" xfId="2102" applyFont="1" applyFill="1" applyBorder="1" applyAlignment="1">
      <alignment horizontal="center" vertical="center"/>
    </xf>
    <xf numFmtId="0" fontId="29" fillId="0" borderId="46" xfId="2102" applyFont="1" applyFill="1" applyBorder="1" applyAlignment="1">
      <alignment horizontal="center" vertical="center"/>
    </xf>
    <xf numFmtId="0" fontId="29" fillId="0" borderId="35" xfId="2102" applyFont="1" applyFill="1" applyBorder="1" applyAlignment="1">
      <alignment horizontal="center" vertical="center"/>
    </xf>
    <xf numFmtId="0" fontId="29" fillId="0" borderId="0" xfId="2102" applyFont="1" applyFill="1" applyBorder="1" applyAlignment="1">
      <alignment horizontal="center" vertical="center"/>
    </xf>
    <xf numFmtId="0" fontId="29" fillId="0" borderId="29" xfId="2102" applyFont="1" applyFill="1" applyBorder="1" applyAlignment="1">
      <alignment horizontal="center" vertical="center"/>
    </xf>
    <xf numFmtId="0" fontId="29" fillId="0" borderId="32" xfId="2102" applyFont="1" applyFill="1" applyBorder="1" applyAlignment="1">
      <alignment horizontal="center" vertical="center"/>
    </xf>
    <xf numFmtId="181" fontId="29" fillId="0" borderId="29" xfId="2102" applyNumberFormat="1" applyFont="1" applyFill="1" applyBorder="1" applyAlignment="1">
      <alignment horizontal="center" vertical="center"/>
    </xf>
    <xf numFmtId="181" fontId="29" fillId="0" borderId="32" xfId="2102" applyNumberFormat="1" applyFont="1" applyFill="1" applyBorder="1" applyAlignment="1">
      <alignment horizontal="center" vertical="center"/>
    </xf>
    <xf numFmtId="181" fontId="29" fillId="0" borderId="45" xfId="2102" applyNumberFormat="1" applyFont="1" applyFill="1" applyBorder="1" applyAlignment="1">
      <alignment horizontal="center" vertical="center"/>
    </xf>
    <xf numFmtId="181" fontId="29" fillId="0" borderId="46" xfId="2102" applyNumberFormat="1" applyFont="1" applyFill="1" applyBorder="1" applyAlignment="1">
      <alignment horizontal="center" vertical="center"/>
    </xf>
    <xf numFmtId="178" fontId="30" fillId="0" borderId="28" xfId="2102" applyNumberFormat="1" applyFont="1" applyFill="1" applyBorder="1" applyAlignment="1">
      <alignment horizontal="center" vertical="center" shrinkToFit="1"/>
    </xf>
    <xf numFmtId="178" fontId="30" fillId="0" borderId="31" xfId="2102" applyNumberFormat="1" applyFont="1" applyFill="1" applyBorder="1" applyAlignment="1">
      <alignment horizontal="center" vertical="center" shrinkToFit="1"/>
    </xf>
    <xf numFmtId="181" fontId="30" fillId="0" borderId="28" xfId="2102" applyNumberFormat="1" applyFont="1" applyFill="1" applyBorder="1" applyAlignment="1">
      <alignment horizontal="center" vertical="center" shrinkToFit="1"/>
    </xf>
    <xf numFmtId="181" fontId="30" fillId="0" borderId="31" xfId="2102" applyNumberFormat="1" applyFont="1" applyFill="1" applyBorder="1" applyAlignment="1">
      <alignment horizontal="center" vertical="center" shrinkToFit="1"/>
    </xf>
    <xf numFmtId="181" fontId="38" fillId="0" borderId="0" xfId="2102" applyNumberFormat="1" applyFont="1" applyFill="1" applyBorder="1" applyAlignment="1">
      <alignment horizontal="center" vertical="center" textRotation="90" shrinkToFit="1"/>
    </xf>
    <xf numFmtId="186" fontId="35" fillId="0" borderId="0" xfId="2102" applyNumberFormat="1" applyFont="1" applyFill="1" applyBorder="1" applyAlignment="1">
      <alignment horizontal="right" vertical="center" textRotation="120" shrinkToFit="1"/>
    </xf>
    <xf numFmtId="187" fontId="35" fillId="0" borderId="0" xfId="2102" applyNumberFormat="1" applyFont="1" applyFill="1" applyBorder="1" applyAlignment="1">
      <alignment horizontal="center" vertical="center" shrinkToFit="1"/>
    </xf>
    <xf numFmtId="3" fontId="30" fillId="0" borderId="28" xfId="2102" applyNumberFormat="1" applyFont="1" applyBorder="1" applyAlignment="1">
      <alignment horizontal="center" vertical="center" shrinkToFit="1"/>
    </xf>
    <xf numFmtId="3" fontId="30" fillId="0" borderId="31" xfId="2102" applyNumberFormat="1" applyFont="1" applyBorder="1" applyAlignment="1">
      <alignment horizontal="center" vertical="center" shrinkToFit="1"/>
    </xf>
    <xf numFmtId="2" fontId="30" fillId="0" borderId="0" xfId="2102" applyNumberFormat="1" applyFont="1" applyAlignment="1">
      <alignment horizontal="center" vertical="center" shrinkToFit="1"/>
    </xf>
    <xf numFmtId="178" fontId="30" fillId="0" borderId="0" xfId="2102" applyNumberFormat="1" applyFont="1" applyAlignment="1">
      <alignment horizontal="center" vertical="center" shrinkToFit="1"/>
    </xf>
    <xf numFmtId="177" fontId="34" fillId="0" borderId="0" xfId="2102" applyNumberFormat="1" applyFont="1" applyFill="1" applyBorder="1" applyAlignment="1">
      <alignment horizontal="center" vertical="center" shrinkToFit="1"/>
    </xf>
    <xf numFmtId="177" fontId="30" fillId="0" borderId="0" xfId="2102" applyNumberFormat="1" applyFont="1" applyFill="1" applyBorder="1" applyAlignment="1">
      <alignment horizontal="center" vertical="center" shrinkToFit="1"/>
    </xf>
    <xf numFmtId="187" fontId="38" fillId="0" borderId="0" xfId="2102" applyNumberFormat="1" applyFont="1" applyFill="1" applyBorder="1" applyAlignment="1">
      <alignment horizontal="center" vertical="center" shrinkToFit="1"/>
    </xf>
  </cellXfs>
  <cellStyles count="3190">
    <cellStyle name=" " xfId="1" xr:uid="{00000000-0005-0000-0000-000000000000}"/>
    <cellStyle name="&amp;A" xfId="2" xr:uid="{00000000-0005-0000-0000-000001000000}"/>
    <cellStyle name=")" xfId="3" xr:uid="{00000000-0005-0000-0000-000002000000}"/>
    <cellStyle name="??&amp;O?&amp;H?_x0008__x000f__x0007_?_x0007__x0001__x0001_" xfId="4" xr:uid="{00000000-0005-0000-0000-000003000000}"/>
    <cellStyle name="??&amp;O?&amp;H?_x0008_??_x0007__x0001__x0001_" xfId="5" xr:uid="{00000000-0005-0000-0000-000004000000}"/>
    <cellStyle name="?W?_laroux" xfId="6" xr:uid="{00000000-0005-0000-0000-000005000000}"/>
    <cellStyle name="_00교각수량집계" xfId="7" xr:uid="{00000000-0005-0000-0000-000006000000}"/>
    <cellStyle name="_00교대수량집계" xfId="8" xr:uid="{00000000-0005-0000-0000-000007000000}"/>
    <cellStyle name="_00옹벽수량집계" xfId="9" xr:uid="{00000000-0005-0000-0000-000008000000}"/>
    <cellStyle name="_01_광암1교총괄수량집계표" xfId="2210" xr:uid="{00000000-0005-0000-0000-000009000000}"/>
    <cellStyle name="_01U" xfId="2211" xr:uid="{00000000-0005-0000-0000-00000A000000}"/>
    <cellStyle name="_01U_U-12" xfId="2212" xr:uid="{00000000-0005-0000-0000-00000B000000}"/>
    <cellStyle name="_01U_U-12_역t옹벽" xfId="2213" xr:uid="{00000000-0005-0000-0000-00000C000000}"/>
    <cellStyle name="_01U_U-12_역t옹벽_옹벽" xfId="2214" xr:uid="{00000000-0005-0000-0000-00000D000000}"/>
    <cellStyle name="_01U_U-12_역t옹벽_옹벽_옹벽" xfId="2215" xr:uid="{00000000-0005-0000-0000-00000E000000}"/>
    <cellStyle name="_01U_U-12_옹벽" xfId="2216" xr:uid="{00000000-0005-0000-0000-00000F000000}"/>
    <cellStyle name="_01U_U-12_옹벽 (version 4)" xfId="2217" xr:uid="{00000000-0005-0000-0000-000010000000}"/>
    <cellStyle name="_01U_U-12_옹벽 (version 4)_옹벽" xfId="2218" xr:uid="{00000000-0005-0000-0000-000011000000}"/>
    <cellStyle name="_01U_U-12_옹벽 (version 4)_옹벽_옹벽" xfId="2219" xr:uid="{00000000-0005-0000-0000-000012000000}"/>
    <cellStyle name="_01U_U-13" xfId="2220" xr:uid="{00000000-0005-0000-0000-000013000000}"/>
    <cellStyle name="_01U_U-13_역t옹벽" xfId="2221" xr:uid="{00000000-0005-0000-0000-000014000000}"/>
    <cellStyle name="_01U_U-13_역t옹벽_옹벽" xfId="2222" xr:uid="{00000000-0005-0000-0000-000015000000}"/>
    <cellStyle name="_01U_U-13_역t옹벽_옹벽_옹벽" xfId="2223" xr:uid="{00000000-0005-0000-0000-000016000000}"/>
    <cellStyle name="_01U_U-13_옹벽" xfId="2224" xr:uid="{00000000-0005-0000-0000-000017000000}"/>
    <cellStyle name="_01U_U-13_옹벽 (version 4)" xfId="2225" xr:uid="{00000000-0005-0000-0000-000018000000}"/>
    <cellStyle name="_01U_U-13_옹벽 (version 4)_옹벽" xfId="2226" xr:uid="{00000000-0005-0000-0000-000019000000}"/>
    <cellStyle name="_01U_U-13_옹벽 (version 4)_옹벽_옹벽" xfId="2227" xr:uid="{00000000-0005-0000-0000-00001A000000}"/>
    <cellStyle name="_01U_U-14" xfId="2228" xr:uid="{00000000-0005-0000-0000-00001B000000}"/>
    <cellStyle name="_01U_U-14_역t옹벽" xfId="2229" xr:uid="{00000000-0005-0000-0000-00001C000000}"/>
    <cellStyle name="_01U_U-14_역t옹벽_옹벽" xfId="2230" xr:uid="{00000000-0005-0000-0000-00001D000000}"/>
    <cellStyle name="_01U_U-14_역t옹벽_옹벽_옹벽" xfId="2231" xr:uid="{00000000-0005-0000-0000-00001E000000}"/>
    <cellStyle name="_01U_U-14_옹벽" xfId="2232" xr:uid="{00000000-0005-0000-0000-00001F000000}"/>
    <cellStyle name="_01U_U-14_옹벽 (version 4)" xfId="2233" xr:uid="{00000000-0005-0000-0000-000020000000}"/>
    <cellStyle name="_01U_U-14_옹벽 (version 4)_옹벽" xfId="2234" xr:uid="{00000000-0005-0000-0000-000021000000}"/>
    <cellStyle name="_01U_U-14_옹벽 (version 4)_옹벽_옹벽" xfId="2235" xr:uid="{00000000-0005-0000-0000-000022000000}"/>
    <cellStyle name="_01U_U-14-1" xfId="2236" xr:uid="{00000000-0005-0000-0000-000023000000}"/>
    <cellStyle name="_01U_U-14-1_역t옹벽" xfId="2237" xr:uid="{00000000-0005-0000-0000-000024000000}"/>
    <cellStyle name="_01U_U-14-1_역t옹벽_옹벽" xfId="2238" xr:uid="{00000000-0005-0000-0000-000025000000}"/>
    <cellStyle name="_01U_U-14-1_역t옹벽_옹벽_옹벽" xfId="2239" xr:uid="{00000000-0005-0000-0000-000026000000}"/>
    <cellStyle name="_01U_U-14-1_옹벽" xfId="2240" xr:uid="{00000000-0005-0000-0000-000027000000}"/>
    <cellStyle name="_01U_U-14-1_옹벽 (version 4)" xfId="2241" xr:uid="{00000000-0005-0000-0000-000028000000}"/>
    <cellStyle name="_01U_U-14-1_옹벽 (version 4)_옹벽" xfId="2242" xr:uid="{00000000-0005-0000-0000-000029000000}"/>
    <cellStyle name="_01U_U-14-1_옹벽 (version 4)_옹벽_옹벽" xfId="2243" xr:uid="{00000000-0005-0000-0000-00002A000000}"/>
    <cellStyle name="_01U_역t옹벽" xfId="2244" xr:uid="{00000000-0005-0000-0000-00002B000000}"/>
    <cellStyle name="_01U_역t옹벽_옹벽" xfId="2245" xr:uid="{00000000-0005-0000-0000-00002C000000}"/>
    <cellStyle name="_01U_역t옹벽_옹벽_옹벽" xfId="2246" xr:uid="{00000000-0005-0000-0000-00002D000000}"/>
    <cellStyle name="_01U_옹벽" xfId="2247" xr:uid="{00000000-0005-0000-0000-00002E000000}"/>
    <cellStyle name="_01U_옹벽 (version 4)" xfId="2248" xr:uid="{00000000-0005-0000-0000-00002F000000}"/>
    <cellStyle name="_01U_옹벽 (version 4)_옹벽" xfId="2249" xr:uid="{00000000-0005-0000-0000-000030000000}"/>
    <cellStyle name="_01U_옹벽 (version 4)_옹벽_옹벽" xfId="2250" xr:uid="{00000000-0005-0000-0000-000031000000}"/>
    <cellStyle name="_01U-TypeL" xfId="2251" xr:uid="{00000000-0005-0000-0000-000032000000}"/>
    <cellStyle name="_01U-TypeL_05U(5823)" xfId="2252" xr:uid="{00000000-0005-0000-0000-000033000000}"/>
    <cellStyle name="_01U-TypeL_05U(5823)_역t옹벽" xfId="2253" xr:uid="{00000000-0005-0000-0000-000034000000}"/>
    <cellStyle name="_01U-TypeL_05U(5823)_역t옹벽_옹벽" xfId="2254" xr:uid="{00000000-0005-0000-0000-000035000000}"/>
    <cellStyle name="_01U-TypeL_05U(5823)_역t옹벽_옹벽_옹벽" xfId="2255" xr:uid="{00000000-0005-0000-0000-000036000000}"/>
    <cellStyle name="_01U-TypeL_05U(5823)_옹벽" xfId="2256" xr:uid="{00000000-0005-0000-0000-000037000000}"/>
    <cellStyle name="_01U-TypeL_05U(5823)_옹벽 (version 4)" xfId="2257" xr:uid="{00000000-0005-0000-0000-000038000000}"/>
    <cellStyle name="_01U-TypeL_05U(5823)_옹벽 (version 4)_옹벽" xfId="2258" xr:uid="{00000000-0005-0000-0000-000039000000}"/>
    <cellStyle name="_01U-TypeL_05U(5823)_옹벽 (version 4)_옹벽_옹벽" xfId="2259" xr:uid="{00000000-0005-0000-0000-00003A000000}"/>
    <cellStyle name="_01U-TypeL_U-12" xfId="2260" xr:uid="{00000000-0005-0000-0000-00003B000000}"/>
    <cellStyle name="_01U-TypeL_U-12_역t옹벽" xfId="2261" xr:uid="{00000000-0005-0000-0000-00003C000000}"/>
    <cellStyle name="_01U-TypeL_U-12_역t옹벽_옹벽" xfId="2262" xr:uid="{00000000-0005-0000-0000-00003D000000}"/>
    <cellStyle name="_01U-TypeL_U-12_역t옹벽_옹벽_옹벽" xfId="2263" xr:uid="{00000000-0005-0000-0000-00003E000000}"/>
    <cellStyle name="_01U-TypeL_U-12_옹벽" xfId="2264" xr:uid="{00000000-0005-0000-0000-00003F000000}"/>
    <cellStyle name="_01U-TypeL_U-12_옹벽 (version 4)" xfId="2265" xr:uid="{00000000-0005-0000-0000-000040000000}"/>
    <cellStyle name="_01U-TypeL_U-12_옹벽 (version 4)_옹벽" xfId="2266" xr:uid="{00000000-0005-0000-0000-000041000000}"/>
    <cellStyle name="_01U-TypeL_U-12_옹벽 (version 4)_옹벽_옹벽" xfId="2267" xr:uid="{00000000-0005-0000-0000-000042000000}"/>
    <cellStyle name="_01U-TypeL_U-13" xfId="2268" xr:uid="{00000000-0005-0000-0000-000043000000}"/>
    <cellStyle name="_01U-TypeL_U-13_역t옹벽" xfId="2269" xr:uid="{00000000-0005-0000-0000-000044000000}"/>
    <cellStyle name="_01U-TypeL_U-13_역t옹벽_옹벽" xfId="2270" xr:uid="{00000000-0005-0000-0000-000045000000}"/>
    <cellStyle name="_01U-TypeL_U-13_역t옹벽_옹벽_옹벽" xfId="2271" xr:uid="{00000000-0005-0000-0000-000046000000}"/>
    <cellStyle name="_01U-TypeL_U-13_옹벽" xfId="2272" xr:uid="{00000000-0005-0000-0000-000047000000}"/>
    <cellStyle name="_01U-TypeL_U-13_옹벽 (version 4)" xfId="2273" xr:uid="{00000000-0005-0000-0000-000048000000}"/>
    <cellStyle name="_01U-TypeL_U-13_옹벽 (version 4)_옹벽" xfId="2274" xr:uid="{00000000-0005-0000-0000-000049000000}"/>
    <cellStyle name="_01U-TypeL_U-13_옹벽 (version 4)_옹벽_옹벽" xfId="2275" xr:uid="{00000000-0005-0000-0000-00004A000000}"/>
    <cellStyle name="_01U-TypeL_U-14" xfId="2276" xr:uid="{00000000-0005-0000-0000-00004B000000}"/>
    <cellStyle name="_01U-TypeL_U-14_역t옹벽" xfId="2277" xr:uid="{00000000-0005-0000-0000-00004C000000}"/>
    <cellStyle name="_01U-TypeL_U-14_역t옹벽_옹벽" xfId="2278" xr:uid="{00000000-0005-0000-0000-00004D000000}"/>
    <cellStyle name="_01U-TypeL_U-14_역t옹벽_옹벽_옹벽" xfId="2279" xr:uid="{00000000-0005-0000-0000-00004E000000}"/>
    <cellStyle name="_01U-TypeL_U-14_옹벽" xfId="2280" xr:uid="{00000000-0005-0000-0000-00004F000000}"/>
    <cellStyle name="_01U-TypeL_U-14_옹벽 (version 4)" xfId="2281" xr:uid="{00000000-0005-0000-0000-000050000000}"/>
    <cellStyle name="_01U-TypeL_U-14_옹벽 (version 4)_옹벽" xfId="2282" xr:uid="{00000000-0005-0000-0000-000051000000}"/>
    <cellStyle name="_01U-TypeL_U-14_옹벽 (version 4)_옹벽_옹벽" xfId="2283" xr:uid="{00000000-0005-0000-0000-000052000000}"/>
    <cellStyle name="_01U-TypeL_U-14-1" xfId="2284" xr:uid="{00000000-0005-0000-0000-000053000000}"/>
    <cellStyle name="_01U-TypeL_U-14-1_역t옹벽" xfId="2285" xr:uid="{00000000-0005-0000-0000-000054000000}"/>
    <cellStyle name="_01U-TypeL_U-14-1_역t옹벽_옹벽" xfId="2286" xr:uid="{00000000-0005-0000-0000-000055000000}"/>
    <cellStyle name="_01U-TypeL_U-14-1_역t옹벽_옹벽_옹벽" xfId="2287" xr:uid="{00000000-0005-0000-0000-000056000000}"/>
    <cellStyle name="_01U-TypeL_U-14-1_옹벽" xfId="2288" xr:uid="{00000000-0005-0000-0000-000057000000}"/>
    <cellStyle name="_01U-TypeL_U-14-1_옹벽 (version 4)" xfId="2289" xr:uid="{00000000-0005-0000-0000-000058000000}"/>
    <cellStyle name="_01U-TypeL_U-14-1_옹벽 (version 4)_옹벽" xfId="2290" xr:uid="{00000000-0005-0000-0000-000059000000}"/>
    <cellStyle name="_01U-TypeL_U-14-1_옹벽 (version 4)_옹벽_옹벽" xfId="2291" xr:uid="{00000000-0005-0000-0000-00005A000000}"/>
    <cellStyle name="_01U-TypeL_역t옹벽" xfId="2292" xr:uid="{00000000-0005-0000-0000-00005B000000}"/>
    <cellStyle name="_01U-TypeL_역t옹벽_옹벽" xfId="2293" xr:uid="{00000000-0005-0000-0000-00005C000000}"/>
    <cellStyle name="_01U-TypeL_역t옹벽_옹벽_옹벽" xfId="2294" xr:uid="{00000000-0005-0000-0000-00005D000000}"/>
    <cellStyle name="_01U-TypeL_옹벽" xfId="2295" xr:uid="{00000000-0005-0000-0000-00005E000000}"/>
    <cellStyle name="_01U-TypeL_옹벽 (version 4)" xfId="2296" xr:uid="{00000000-0005-0000-0000-00005F000000}"/>
    <cellStyle name="_01U-TypeL_옹벽 (version 4)_옹벽" xfId="2297" xr:uid="{00000000-0005-0000-0000-000060000000}"/>
    <cellStyle name="_01U-TypeL_옹벽 (version 4)_옹벽_옹벽" xfId="2298" xr:uid="{00000000-0005-0000-0000-000061000000}"/>
    <cellStyle name="_01교량공(큰들)" xfId="2299" xr:uid="{00000000-0005-0000-0000-000062000000}"/>
    <cellStyle name="_02 농암교수량" xfId="10" xr:uid="{00000000-0005-0000-0000-000063000000}"/>
    <cellStyle name="_02 농암교수량_구만교-슬래브수량" xfId="11" xr:uid="{00000000-0005-0000-0000-000064000000}"/>
    <cellStyle name="_02 농암교수량_구만교-슬래브수량_구만교-슬래브수량" xfId="12" xr:uid="{00000000-0005-0000-0000-000065000000}"/>
    <cellStyle name="_02 농암교수량_구만교-슬래브수량_구만교-슬래브수량_천기3교-슬래브수량" xfId="13" xr:uid="{00000000-0005-0000-0000-000066000000}"/>
    <cellStyle name="_02 농암교수량_구만교-슬래브수량_구만교-슬래브수량_하수교-슬래브수량" xfId="14" xr:uid="{00000000-0005-0000-0000-000067000000}"/>
    <cellStyle name="_02 농암교수량_구만교-슬래브수량_하수교-슬래브수량" xfId="15" xr:uid="{00000000-0005-0000-0000-000068000000}"/>
    <cellStyle name="_02 농암교수량_제2연육교-슬래브수량" xfId="16" xr:uid="{00000000-0005-0000-0000-000069000000}"/>
    <cellStyle name="_02 농암교수량_천기3교-슬래브수량" xfId="17" xr:uid="{00000000-0005-0000-0000-00006A000000}"/>
    <cellStyle name="_02U(5407)" xfId="2300" xr:uid="{00000000-0005-0000-0000-00006B000000}"/>
    <cellStyle name="_02U(5407)_U-12" xfId="2301" xr:uid="{00000000-0005-0000-0000-00006C000000}"/>
    <cellStyle name="_02U(5407)_U-12_역t옹벽" xfId="2302" xr:uid="{00000000-0005-0000-0000-00006D000000}"/>
    <cellStyle name="_02U(5407)_U-12_역t옹벽_옹벽" xfId="2303" xr:uid="{00000000-0005-0000-0000-00006E000000}"/>
    <cellStyle name="_02U(5407)_U-12_역t옹벽_옹벽_옹벽" xfId="2304" xr:uid="{00000000-0005-0000-0000-00006F000000}"/>
    <cellStyle name="_02U(5407)_U-12_옹벽" xfId="2305" xr:uid="{00000000-0005-0000-0000-000070000000}"/>
    <cellStyle name="_02U(5407)_U-12_옹벽 (version 4)" xfId="2306" xr:uid="{00000000-0005-0000-0000-000071000000}"/>
    <cellStyle name="_02U(5407)_U-12_옹벽 (version 4)_옹벽" xfId="2307" xr:uid="{00000000-0005-0000-0000-000072000000}"/>
    <cellStyle name="_02U(5407)_U-12_옹벽 (version 4)_옹벽_옹벽" xfId="2308" xr:uid="{00000000-0005-0000-0000-000073000000}"/>
    <cellStyle name="_02U(5407)_U-13" xfId="2309" xr:uid="{00000000-0005-0000-0000-000074000000}"/>
    <cellStyle name="_02U(5407)_U-13_역t옹벽" xfId="2310" xr:uid="{00000000-0005-0000-0000-000075000000}"/>
    <cellStyle name="_02U(5407)_U-13_역t옹벽_옹벽" xfId="2311" xr:uid="{00000000-0005-0000-0000-000076000000}"/>
    <cellStyle name="_02U(5407)_U-13_역t옹벽_옹벽_옹벽" xfId="2312" xr:uid="{00000000-0005-0000-0000-000077000000}"/>
    <cellStyle name="_02U(5407)_U-13_옹벽" xfId="2313" xr:uid="{00000000-0005-0000-0000-000078000000}"/>
    <cellStyle name="_02U(5407)_U-13_옹벽 (version 4)" xfId="2314" xr:uid="{00000000-0005-0000-0000-000079000000}"/>
    <cellStyle name="_02U(5407)_U-13_옹벽 (version 4)_옹벽" xfId="2315" xr:uid="{00000000-0005-0000-0000-00007A000000}"/>
    <cellStyle name="_02U(5407)_U-13_옹벽 (version 4)_옹벽_옹벽" xfId="2316" xr:uid="{00000000-0005-0000-0000-00007B000000}"/>
    <cellStyle name="_02U(5407)_U-14" xfId="2317" xr:uid="{00000000-0005-0000-0000-00007C000000}"/>
    <cellStyle name="_02U(5407)_U-14_역t옹벽" xfId="2318" xr:uid="{00000000-0005-0000-0000-00007D000000}"/>
    <cellStyle name="_02U(5407)_U-14_역t옹벽_옹벽" xfId="2319" xr:uid="{00000000-0005-0000-0000-00007E000000}"/>
    <cellStyle name="_02U(5407)_U-14_역t옹벽_옹벽_옹벽" xfId="2320" xr:uid="{00000000-0005-0000-0000-00007F000000}"/>
    <cellStyle name="_02U(5407)_U-14_옹벽" xfId="2321" xr:uid="{00000000-0005-0000-0000-000080000000}"/>
    <cellStyle name="_02U(5407)_U-14_옹벽 (version 4)" xfId="2322" xr:uid="{00000000-0005-0000-0000-000081000000}"/>
    <cellStyle name="_02U(5407)_U-14_옹벽 (version 4)_옹벽" xfId="2323" xr:uid="{00000000-0005-0000-0000-000082000000}"/>
    <cellStyle name="_02U(5407)_U-14_옹벽 (version 4)_옹벽_옹벽" xfId="2324" xr:uid="{00000000-0005-0000-0000-000083000000}"/>
    <cellStyle name="_02U(5407)_U-14-1" xfId="2325" xr:uid="{00000000-0005-0000-0000-000084000000}"/>
    <cellStyle name="_02U(5407)_U-14-1_역t옹벽" xfId="2326" xr:uid="{00000000-0005-0000-0000-000085000000}"/>
    <cellStyle name="_02U(5407)_U-14-1_역t옹벽_옹벽" xfId="2327" xr:uid="{00000000-0005-0000-0000-000086000000}"/>
    <cellStyle name="_02U(5407)_U-14-1_역t옹벽_옹벽_옹벽" xfId="2328" xr:uid="{00000000-0005-0000-0000-000087000000}"/>
    <cellStyle name="_02U(5407)_U-14-1_옹벽" xfId="2329" xr:uid="{00000000-0005-0000-0000-000088000000}"/>
    <cellStyle name="_02U(5407)_U-14-1_옹벽 (version 4)" xfId="2330" xr:uid="{00000000-0005-0000-0000-000089000000}"/>
    <cellStyle name="_02U(5407)_U-14-1_옹벽 (version 4)_옹벽" xfId="2331" xr:uid="{00000000-0005-0000-0000-00008A000000}"/>
    <cellStyle name="_02U(5407)_U-14-1_옹벽 (version 4)_옹벽_옹벽" xfId="2332" xr:uid="{00000000-0005-0000-0000-00008B000000}"/>
    <cellStyle name="_02U(5407)_역t옹벽" xfId="2333" xr:uid="{00000000-0005-0000-0000-00008C000000}"/>
    <cellStyle name="_02U(5407)_역t옹벽_옹벽" xfId="2334" xr:uid="{00000000-0005-0000-0000-00008D000000}"/>
    <cellStyle name="_02U(5407)_역t옹벽_옹벽_옹벽" xfId="2335" xr:uid="{00000000-0005-0000-0000-00008E000000}"/>
    <cellStyle name="_02U(5407)_옹벽" xfId="2336" xr:uid="{00000000-0005-0000-0000-00008F000000}"/>
    <cellStyle name="_02U(5407)_옹벽 (version 4)" xfId="2337" xr:uid="{00000000-0005-0000-0000-000090000000}"/>
    <cellStyle name="_02U(5407)_옹벽 (version 4)_옹벽" xfId="2338" xr:uid="{00000000-0005-0000-0000-000091000000}"/>
    <cellStyle name="_02U(5407)_옹벽 (version 4)_옹벽_옹벽" xfId="2339" xr:uid="{00000000-0005-0000-0000-000092000000}"/>
    <cellStyle name="_02-감천1교상부(PSC-35)" xfId="18" xr:uid="{00000000-0005-0000-0000-000093000000}"/>
    <cellStyle name="_02-골담교상부(PSC-35)" xfId="19" xr:uid="{00000000-0005-0000-0000-000094000000}"/>
    <cellStyle name="_02-광석교-상부수량" xfId="2340" xr:uid="{00000000-0005-0000-0000-000095000000}"/>
    <cellStyle name="_02-금광1교상부(PSC-35)" xfId="20" xr:uid="{00000000-0005-0000-0000-000096000000}"/>
    <cellStyle name="_02-금광2교상부(PSC-35)" xfId="21" xr:uid="{00000000-0005-0000-0000-000097000000}"/>
    <cellStyle name="_02-문의1교상부(PSC-35)" xfId="22" xr:uid="{00000000-0005-0000-0000-000098000000}"/>
    <cellStyle name="_02-문의2교상부(PSC-35)" xfId="23" xr:uid="{00000000-0005-0000-0000-000099000000}"/>
    <cellStyle name="_02석굴암교-상부(강재)_04-강재및도장수량" xfId="2341" xr:uid="{00000000-0005-0000-0000-00009A000000}"/>
    <cellStyle name="_03교량공" xfId="2342" xr:uid="{00000000-0005-0000-0000-00009B000000}"/>
    <cellStyle name="_04U(7994)" xfId="2343" xr:uid="{00000000-0005-0000-0000-00009C000000}"/>
    <cellStyle name="_04U(7994)_U-12" xfId="2344" xr:uid="{00000000-0005-0000-0000-00009D000000}"/>
    <cellStyle name="_04U(7994)_U-12_역t옹벽" xfId="2345" xr:uid="{00000000-0005-0000-0000-00009E000000}"/>
    <cellStyle name="_04U(7994)_U-12_역t옹벽_옹벽" xfId="2346" xr:uid="{00000000-0005-0000-0000-00009F000000}"/>
    <cellStyle name="_04U(7994)_U-12_역t옹벽_옹벽_옹벽" xfId="2347" xr:uid="{00000000-0005-0000-0000-0000A0000000}"/>
    <cellStyle name="_04U(7994)_U-12_옹벽" xfId="2348" xr:uid="{00000000-0005-0000-0000-0000A1000000}"/>
    <cellStyle name="_04U(7994)_U-12_옹벽 (version 4)" xfId="2349" xr:uid="{00000000-0005-0000-0000-0000A2000000}"/>
    <cellStyle name="_04U(7994)_U-12_옹벽 (version 4)_옹벽" xfId="2350" xr:uid="{00000000-0005-0000-0000-0000A3000000}"/>
    <cellStyle name="_04U(7994)_U-12_옹벽 (version 4)_옹벽_옹벽" xfId="2351" xr:uid="{00000000-0005-0000-0000-0000A4000000}"/>
    <cellStyle name="_04U(7994)_U-13" xfId="2352" xr:uid="{00000000-0005-0000-0000-0000A5000000}"/>
    <cellStyle name="_04U(7994)_U-13_역t옹벽" xfId="2353" xr:uid="{00000000-0005-0000-0000-0000A6000000}"/>
    <cellStyle name="_04U(7994)_U-13_역t옹벽_옹벽" xfId="2354" xr:uid="{00000000-0005-0000-0000-0000A7000000}"/>
    <cellStyle name="_04U(7994)_U-13_역t옹벽_옹벽_옹벽" xfId="2355" xr:uid="{00000000-0005-0000-0000-0000A8000000}"/>
    <cellStyle name="_04U(7994)_U-13_옹벽" xfId="2356" xr:uid="{00000000-0005-0000-0000-0000A9000000}"/>
    <cellStyle name="_04U(7994)_U-13_옹벽 (version 4)" xfId="2357" xr:uid="{00000000-0005-0000-0000-0000AA000000}"/>
    <cellStyle name="_04U(7994)_U-13_옹벽 (version 4)_옹벽" xfId="2358" xr:uid="{00000000-0005-0000-0000-0000AB000000}"/>
    <cellStyle name="_04U(7994)_U-13_옹벽 (version 4)_옹벽_옹벽" xfId="2359" xr:uid="{00000000-0005-0000-0000-0000AC000000}"/>
    <cellStyle name="_04U(7994)_U-14" xfId="2360" xr:uid="{00000000-0005-0000-0000-0000AD000000}"/>
    <cellStyle name="_04U(7994)_U-14_역t옹벽" xfId="2361" xr:uid="{00000000-0005-0000-0000-0000AE000000}"/>
    <cellStyle name="_04U(7994)_U-14_역t옹벽_옹벽" xfId="2362" xr:uid="{00000000-0005-0000-0000-0000AF000000}"/>
    <cellStyle name="_04U(7994)_U-14_역t옹벽_옹벽_옹벽" xfId="2363" xr:uid="{00000000-0005-0000-0000-0000B0000000}"/>
    <cellStyle name="_04U(7994)_U-14_옹벽" xfId="2364" xr:uid="{00000000-0005-0000-0000-0000B1000000}"/>
    <cellStyle name="_04U(7994)_U-14_옹벽 (version 4)" xfId="2365" xr:uid="{00000000-0005-0000-0000-0000B2000000}"/>
    <cellStyle name="_04U(7994)_U-14_옹벽 (version 4)_옹벽" xfId="2366" xr:uid="{00000000-0005-0000-0000-0000B3000000}"/>
    <cellStyle name="_04U(7994)_U-14_옹벽 (version 4)_옹벽_옹벽" xfId="2367" xr:uid="{00000000-0005-0000-0000-0000B4000000}"/>
    <cellStyle name="_04U(7994)_U-14-1" xfId="2368" xr:uid="{00000000-0005-0000-0000-0000B5000000}"/>
    <cellStyle name="_04U(7994)_U-14-1_역t옹벽" xfId="2369" xr:uid="{00000000-0005-0000-0000-0000B6000000}"/>
    <cellStyle name="_04U(7994)_U-14-1_역t옹벽_옹벽" xfId="2370" xr:uid="{00000000-0005-0000-0000-0000B7000000}"/>
    <cellStyle name="_04U(7994)_U-14-1_역t옹벽_옹벽_옹벽" xfId="2371" xr:uid="{00000000-0005-0000-0000-0000B8000000}"/>
    <cellStyle name="_04U(7994)_U-14-1_옹벽" xfId="2372" xr:uid="{00000000-0005-0000-0000-0000B9000000}"/>
    <cellStyle name="_04U(7994)_U-14-1_옹벽 (version 4)" xfId="2373" xr:uid="{00000000-0005-0000-0000-0000BA000000}"/>
    <cellStyle name="_04U(7994)_U-14-1_옹벽 (version 4)_옹벽" xfId="2374" xr:uid="{00000000-0005-0000-0000-0000BB000000}"/>
    <cellStyle name="_04U(7994)_U-14-1_옹벽 (version 4)_옹벽_옹벽" xfId="2375" xr:uid="{00000000-0005-0000-0000-0000BC000000}"/>
    <cellStyle name="_04U(7994)_역t옹벽" xfId="2376" xr:uid="{00000000-0005-0000-0000-0000BD000000}"/>
    <cellStyle name="_04U(7994)_역t옹벽_옹벽" xfId="2377" xr:uid="{00000000-0005-0000-0000-0000BE000000}"/>
    <cellStyle name="_04U(7994)_역t옹벽_옹벽_옹벽" xfId="2378" xr:uid="{00000000-0005-0000-0000-0000BF000000}"/>
    <cellStyle name="_04U(7994)_옹벽" xfId="2379" xr:uid="{00000000-0005-0000-0000-0000C0000000}"/>
    <cellStyle name="_04U(7994)_옹벽 (version 4)" xfId="2380" xr:uid="{00000000-0005-0000-0000-0000C1000000}"/>
    <cellStyle name="_04U(7994)_옹벽 (version 4)_옹벽" xfId="2381" xr:uid="{00000000-0005-0000-0000-0000C2000000}"/>
    <cellStyle name="_04U(7994)_옹벽 (version 4)_옹벽_옹벽" xfId="2382" xr:uid="{00000000-0005-0000-0000-0000C3000000}"/>
    <cellStyle name="_05U(5823)" xfId="2383" xr:uid="{00000000-0005-0000-0000-0000C4000000}"/>
    <cellStyle name="_05U(5823)_역t옹벽" xfId="2384" xr:uid="{00000000-0005-0000-0000-0000C5000000}"/>
    <cellStyle name="_05U(5823)_역t옹벽_옹벽" xfId="2385" xr:uid="{00000000-0005-0000-0000-0000C6000000}"/>
    <cellStyle name="_05U(5823)_역t옹벽_옹벽_옹벽" xfId="2386" xr:uid="{00000000-0005-0000-0000-0000C7000000}"/>
    <cellStyle name="_05U(5823)_옹벽" xfId="2387" xr:uid="{00000000-0005-0000-0000-0000C8000000}"/>
    <cellStyle name="_05U(5823)_옹벽 (version 4)" xfId="2388" xr:uid="{00000000-0005-0000-0000-0000C9000000}"/>
    <cellStyle name="_05U(5823)_옹벽 (version 4)_옹벽" xfId="2389" xr:uid="{00000000-0005-0000-0000-0000CA000000}"/>
    <cellStyle name="_05U(5823)_옹벽 (version 4)_옹벽_옹벽" xfId="2390" xr:uid="{00000000-0005-0000-0000-0000CB000000}"/>
    <cellStyle name="_06-교각수량" xfId="2391" xr:uid="{00000000-0005-0000-0000-0000CC000000}"/>
    <cellStyle name="_07-옹벽수량" xfId="2392" xr:uid="{00000000-0005-0000-0000-0000CD000000}"/>
    <cellStyle name="_1.소탄교-주요자재집계표" xfId="24" xr:uid="{00000000-0005-0000-0000-0000CE000000}"/>
    <cellStyle name="_1-토공" xfId="25" xr:uid="{00000000-0005-0000-0000-0000CF000000}"/>
    <cellStyle name="_2.연평교-수량" xfId="2393" xr:uid="{00000000-0005-0000-0000-0000D0000000}"/>
    <cellStyle name="_2.재궁교-수량" xfId="2394" xr:uid="{00000000-0005-0000-0000-0000D1000000}"/>
    <cellStyle name="_3.문주2교(상부공)" xfId="2395" xr:uid="{00000000-0005-0000-0000-0000D2000000}"/>
    <cellStyle name="_4.소탄교-상부(PSC)수량" xfId="26" xr:uid="{00000000-0005-0000-0000-0000D3000000}"/>
    <cellStyle name="_4.소탄교-상부(PSC)수량_01-소탄교-총괄수량집계표" xfId="27" xr:uid="{00000000-0005-0000-0000-0000D4000000}"/>
    <cellStyle name="_4.소탄교-상부(PSC)수량_01-소탄교-총괄수량집계표1" xfId="28" xr:uid="{00000000-0005-0000-0000-0000D5000000}"/>
    <cellStyle name="_4.소탄교-상부(PSC)수량_01-여곡2교-총괄수량집계표" xfId="29" xr:uid="{00000000-0005-0000-0000-0000D6000000}"/>
    <cellStyle name="_4.소탄교-상부(PSC)수량_01-정선제3교-총괄수량집계표" xfId="2396" xr:uid="{00000000-0005-0000-0000-0000D7000000}"/>
    <cellStyle name="_AS" xfId="2397" xr:uid="{00000000-0005-0000-0000-0000D8000000}"/>
    <cellStyle name="_beam재료표" xfId="1344" xr:uid="{00000000-0005-0000-0000-0000D9000000}"/>
    <cellStyle name="_Book1" xfId="1345" xr:uid="{00000000-0005-0000-0000-0000DA000000}"/>
    <cellStyle name="_Book2" xfId="1346" xr:uid="{00000000-0005-0000-0000-0000DB000000}"/>
    <cellStyle name="_Book2_구만교-슬래브수량" xfId="1347" xr:uid="{00000000-0005-0000-0000-0000DC000000}"/>
    <cellStyle name="_Book2_구만교-슬래브수량_구만교-슬래브수량" xfId="1348" xr:uid="{00000000-0005-0000-0000-0000DD000000}"/>
    <cellStyle name="_Book2_구만교-슬래브수량_구만교-슬래브수량_천기3교-슬래브수량" xfId="1349" xr:uid="{00000000-0005-0000-0000-0000DE000000}"/>
    <cellStyle name="_Book2_구만교-슬래브수량_구만교-슬래브수량_하수교-슬래브수량" xfId="1350" xr:uid="{00000000-0005-0000-0000-0000DF000000}"/>
    <cellStyle name="_Book2_구만교-슬래브수량_하수교-슬래브수량" xfId="1351" xr:uid="{00000000-0005-0000-0000-0000E0000000}"/>
    <cellStyle name="_Book2_제2연육교-슬래브수량" xfId="1352" xr:uid="{00000000-0005-0000-0000-0000E1000000}"/>
    <cellStyle name="_Book2_천기3교-슬래브수량" xfId="1353" xr:uid="{00000000-0005-0000-0000-0000E2000000}"/>
    <cellStyle name="_BOX수량" xfId="2398" xr:uid="{00000000-0005-0000-0000-0000E3000000}"/>
    <cellStyle name="_HG2-상부수량_02석굴암교-상부(강재)_04-강재및도장수량" xfId="2399" xr:uid="{00000000-0005-0000-0000-0000E4000000}"/>
    <cellStyle name="_HG2-상부수량_상부수량_02석굴암교-상부(강재)_04-강재및도장수량" xfId="2400" xr:uid="{00000000-0005-0000-0000-0000E5000000}"/>
    <cellStyle name="_HG2-상부수량_황길1교-상부수량_02석굴암교-상부(강재)_04-강재및도장수량" xfId="2401" xr:uid="{00000000-0005-0000-0000-0000E6000000}"/>
    <cellStyle name="_HG2-상부수량_황길2교-상부수량_02석굴암교-상부(강재)_04-강재및도장수량" xfId="2402" xr:uid="{00000000-0005-0000-0000-0000E7000000}"/>
    <cellStyle name="_MBR1~3 (version 1)" xfId="1354" xr:uid="{00000000-0005-0000-0000-0000E8000000}"/>
    <cellStyle name="_PSCBEAM방호벽중분대수량" xfId="1355" xr:uid="{00000000-0005-0000-0000-0000E9000000}"/>
    <cellStyle name="_가시설" xfId="2403" xr:uid="{00000000-0005-0000-0000-0000EA000000}"/>
    <cellStyle name="_강남(구조물공)" xfId="2404" xr:uid="{00000000-0005-0000-0000-0000EB000000}"/>
    <cellStyle name="_강남(구조물공)_04-선릉(구조물공)" xfId="2405" xr:uid="{00000000-0005-0000-0000-0000EC000000}"/>
    <cellStyle name="_강남(구조물공)_온직교(구조물공)-1" xfId="2406" xr:uid="{00000000-0005-0000-0000-0000ED000000}"/>
    <cellStyle name="_강남(구조물공)_외부ES#8 " xfId="2407" xr:uid="{00000000-0005-0000-0000-0000EE000000}"/>
    <cellStyle name="_강남(구조물공)_용두교(구조물공)" xfId="2408" xr:uid="{00000000-0005-0000-0000-0000EF000000}"/>
    <cellStyle name="_공통공총괄" xfId="30" xr:uid="{00000000-0005-0000-0000-0000F0000000}"/>
    <cellStyle name="_공통공총괄_03반정1육교총괄집계표" xfId="31" xr:uid="{00000000-0005-0000-0000-0000F1000000}"/>
    <cellStyle name="_공통공총괄_03반정1육교총괄집계표_0923-지하차도총괄수량집계" xfId="32" xr:uid="{00000000-0005-0000-0000-0000F2000000}"/>
    <cellStyle name="_공통공총괄_03반정1육교총괄집계표_경사로1-상하부총괄수량" xfId="33" xr:uid="{00000000-0005-0000-0000-0000F3000000}"/>
    <cellStyle name="_공통공총괄_03반정1육교총괄집계표_보도육교2-경사로1-교각일반수량" xfId="34" xr:uid="{00000000-0005-0000-0000-0000F4000000}"/>
    <cellStyle name="_공통공총괄_03반정1육교총괄집계표_보도육교2-경사로-교각일반수량" xfId="35" xr:uid="{00000000-0005-0000-0000-0000F5000000}"/>
    <cellStyle name="_공통공총괄_03반정1육교총괄집계표_보도육교2-교각일반수량" xfId="36" xr:uid="{00000000-0005-0000-0000-0000F6000000}"/>
    <cellStyle name="_공통공총괄_03반정1육교총괄집계표_보도육교2-본체-교각일반수량" xfId="37" xr:uid="{00000000-0005-0000-0000-0000F7000000}"/>
    <cellStyle name="_공통공총괄_03반정1육교총괄집계표_보도육교2상부수량" xfId="38" xr:uid="{00000000-0005-0000-0000-0000F8000000}"/>
    <cellStyle name="_공통공총괄_03반정1육교총괄집계표_보도육교2-상하부총괄수량" xfId="39" xr:uid="{00000000-0005-0000-0000-0000F9000000}"/>
    <cellStyle name="_공통공총괄_03반정1육교총괄집계표_보도육교2-하부총괄수량" xfId="40" xr:uid="{00000000-0005-0000-0000-0000FA000000}"/>
    <cellStyle name="_공통공총괄_03반정1육교총괄집계표_장재1-교대-교각 총괄토공" xfId="41" xr:uid="{00000000-0005-0000-0000-0000FB000000}"/>
    <cellStyle name="_공통공총괄_07_01곡반정육교총괄집계표" xfId="42" xr:uid="{00000000-0005-0000-0000-0000FC000000}"/>
    <cellStyle name="_공통공총괄_07_01곡반정육교총괄집계표_0923-지하차도총괄수량집계" xfId="43" xr:uid="{00000000-0005-0000-0000-0000FD000000}"/>
    <cellStyle name="_공통공총괄_07_01곡반정육교총괄집계표_경사로1-상하부총괄수량" xfId="44" xr:uid="{00000000-0005-0000-0000-0000FE000000}"/>
    <cellStyle name="_공통공총괄_07_01곡반정육교총괄집계표_보도육교2-경사로1-교각일반수량" xfId="45" xr:uid="{00000000-0005-0000-0000-0000FF000000}"/>
    <cellStyle name="_공통공총괄_07_01곡반정육교총괄집계표_보도육교2-경사로-교각일반수량" xfId="46" xr:uid="{00000000-0005-0000-0000-000000010000}"/>
    <cellStyle name="_공통공총괄_07_01곡반정육교총괄집계표_보도육교2-교각일반수량" xfId="47" xr:uid="{00000000-0005-0000-0000-000001010000}"/>
    <cellStyle name="_공통공총괄_07_01곡반정육교총괄집계표_보도육교2-본체-교각일반수량" xfId="48" xr:uid="{00000000-0005-0000-0000-000002010000}"/>
    <cellStyle name="_공통공총괄_07_01곡반정육교총괄집계표_보도육교2상부수량" xfId="49" xr:uid="{00000000-0005-0000-0000-000003010000}"/>
    <cellStyle name="_공통공총괄_07_01곡반정육교총괄집계표_보도육교2-상하부총괄수량" xfId="50" xr:uid="{00000000-0005-0000-0000-000004010000}"/>
    <cellStyle name="_공통공총괄_07_01곡반정육교총괄집계표_보도육교2-하부총괄수량" xfId="51" xr:uid="{00000000-0005-0000-0000-000005010000}"/>
    <cellStyle name="_공통공총괄_07_01곡반정육교총괄집계표_장재1-교대-교각 총괄토공" xfId="52" xr:uid="{00000000-0005-0000-0000-000006010000}"/>
    <cellStyle name="_공통공총괄_0923-지하차도총괄수량집계" xfId="53" xr:uid="{00000000-0005-0000-0000-000007010000}"/>
    <cellStyle name="_공통공총괄_경사로1-상하부총괄수량" xfId="54" xr:uid="{00000000-0005-0000-0000-000008010000}"/>
    <cellStyle name="_공통공총괄_보도육교2-경사로1-교각일반수량" xfId="55" xr:uid="{00000000-0005-0000-0000-000009010000}"/>
    <cellStyle name="_공통공총괄_보도육교2-경사로-교각일반수량" xfId="56" xr:uid="{00000000-0005-0000-0000-00000A010000}"/>
    <cellStyle name="_공통공총괄_보도육교2-교각일반수량" xfId="57" xr:uid="{00000000-0005-0000-0000-00000B010000}"/>
    <cellStyle name="_공통공총괄_보도육교2-본체-교각일반수량" xfId="58" xr:uid="{00000000-0005-0000-0000-00000C010000}"/>
    <cellStyle name="_공통공총괄_보도육교2상부수량" xfId="59" xr:uid="{00000000-0005-0000-0000-00000D010000}"/>
    <cellStyle name="_공통공총괄_보도육교2-상하부총괄수량" xfId="60" xr:uid="{00000000-0005-0000-0000-00000E010000}"/>
    <cellStyle name="_공통공총괄_보도육교2-하부총괄수량" xfId="61" xr:uid="{00000000-0005-0000-0000-00000F010000}"/>
    <cellStyle name="_공통공총괄_장재1-교대-교각 총괄토공" xfId="62" xr:uid="{00000000-0005-0000-0000-000010010000}"/>
    <cellStyle name="_광암2교-상부(IPC)수량(0608)" xfId="2409" xr:uid="{00000000-0005-0000-0000-000011010000}"/>
    <cellStyle name="_교대보호블럭(문수1교)" xfId="2410" xr:uid="{00000000-0005-0000-0000-000012010000}"/>
    <cellStyle name="_교대보호블럭(문수2교)" xfId="2411" xr:uid="{00000000-0005-0000-0000-000013010000}"/>
    <cellStyle name="_교량공총괄" xfId="63" xr:uid="{00000000-0005-0000-0000-000014010000}"/>
    <cellStyle name="_교량공총괄_03반정1육교총괄집계표" xfId="64" xr:uid="{00000000-0005-0000-0000-000015010000}"/>
    <cellStyle name="_교량공총괄_03반정1육교총괄집계표_0923-지하차도총괄수량집계" xfId="65" xr:uid="{00000000-0005-0000-0000-000016010000}"/>
    <cellStyle name="_교량공총괄_03반정1육교총괄집계표_경사로1-상하부총괄수량" xfId="66" xr:uid="{00000000-0005-0000-0000-000017010000}"/>
    <cellStyle name="_교량공총괄_03반정1육교총괄집계표_보도육교2-경사로1-교각일반수량" xfId="67" xr:uid="{00000000-0005-0000-0000-000018010000}"/>
    <cellStyle name="_교량공총괄_03반정1육교총괄집계표_보도육교2-경사로-교각일반수량" xfId="68" xr:uid="{00000000-0005-0000-0000-000019010000}"/>
    <cellStyle name="_교량공총괄_03반정1육교총괄집계표_보도육교2-교각일반수량" xfId="69" xr:uid="{00000000-0005-0000-0000-00001A010000}"/>
    <cellStyle name="_교량공총괄_03반정1육교총괄집계표_보도육교2-본체-교각일반수량" xfId="70" xr:uid="{00000000-0005-0000-0000-00001B010000}"/>
    <cellStyle name="_교량공총괄_03반정1육교총괄집계표_보도육교2상부수량" xfId="71" xr:uid="{00000000-0005-0000-0000-00001C010000}"/>
    <cellStyle name="_교량공총괄_03반정1육교총괄집계표_보도육교2-상하부총괄수량" xfId="72" xr:uid="{00000000-0005-0000-0000-00001D010000}"/>
    <cellStyle name="_교량공총괄_03반정1육교총괄집계표_보도육교2-하부총괄수량" xfId="73" xr:uid="{00000000-0005-0000-0000-00001E010000}"/>
    <cellStyle name="_교량공총괄_03반정1육교총괄집계표_장재1-교대-교각 총괄토공" xfId="74" xr:uid="{00000000-0005-0000-0000-00001F010000}"/>
    <cellStyle name="_교량공총괄_07_01곡반정육교총괄집계표" xfId="75" xr:uid="{00000000-0005-0000-0000-000020010000}"/>
    <cellStyle name="_교량공총괄_07_01곡반정육교총괄집계표_0923-지하차도총괄수량집계" xfId="76" xr:uid="{00000000-0005-0000-0000-000021010000}"/>
    <cellStyle name="_교량공총괄_07_01곡반정육교총괄집계표_경사로1-상하부총괄수량" xfId="77" xr:uid="{00000000-0005-0000-0000-000022010000}"/>
    <cellStyle name="_교량공총괄_07_01곡반정육교총괄집계표_보도육교2-경사로1-교각일반수량" xfId="78" xr:uid="{00000000-0005-0000-0000-000023010000}"/>
    <cellStyle name="_교량공총괄_07_01곡반정육교총괄집계표_보도육교2-경사로-교각일반수량" xfId="79" xr:uid="{00000000-0005-0000-0000-000024010000}"/>
    <cellStyle name="_교량공총괄_07_01곡반정육교총괄집계표_보도육교2-교각일반수량" xfId="80" xr:uid="{00000000-0005-0000-0000-000025010000}"/>
    <cellStyle name="_교량공총괄_07_01곡반정육교총괄집계표_보도육교2-본체-교각일반수량" xfId="81" xr:uid="{00000000-0005-0000-0000-000026010000}"/>
    <cellStyle name="_교량공총괄_07_01곡반정육교총괄집계표_보도육교2상부수량" xfId="82" xr:uid="{00000000-0005-0000-0000-000027010000}"/>
    <cellStyle name="_교량공총괄_07_01곡반정육교총괄집계표_보도육교2-상하부총괄수량" xfId="83" xr:uid="{00000000-0005-0000-0000-000028010000}"/>
    <cellStyle name="_교량공총괄_07_01곡반정육교총괄집계표_보도육교2-하부총괄수량" xfId="84" xr:uid="{00000000-0005-0000-0000-000029010000}"/>
    <cellStyle name="_교량공총괄_07_01곡반정육교총괄집계표_장재1-교대-교각 총괄토공" xfId="85" xr:uid="{00000000-0005-0000-0000-00002A010000}"/>
    <cellStyle name="_교량공총괄_0923-지하차도총괄수량집계" xfId="86" xr:uid="{00000000-0005-0000-0000-00002B010000}"/>
    <cellStyle name="_교량공총괄_경사로1-상하부총괄수량" xfId="87" xr:uid="{00000000-0005-0000-0000-00002C010000}"/>
    <cellStyle name="_교량공총괄_보도육교2-경사로1-교각일반수량" xfId="88" xr:uid="{00000000-0005-0000-0000-00002D010000}"/>
    <cellStyle name="_교량공총괄_보도육교2-경사로-교각일반수량" xfId="89" xr:uid="{00000000-0005-0000-0000-00002E010000}"/>
    <cellStyle name="_교량공총괄_보도육교2-교각일반수량" xfId="90" xr:uid="{00000000-0005-0000-0000-00002F010000}"/>
    <cellStyle name="_교량공총괄_보도육교2-본체-교각일반수량" xfId="91" xr:uid="{00000000-0005-0000-0000-000030010000}"/>
    <cellStyle name="_교량공총괄_보도육교2상부수량" xfId="92" xr:uid="{00000000-0005-0000-0000-000031010000}"/>
    <cellStyle name="_교량공총괄_보도육교2-상하부총괄수량" xfId="93" xr:uid="{00000000-0005-0000-0000-000032010000}"/>
    <cellStyle name="_교량공총괄_보도육교2-하부총괄수량" xfId="94" xr:uid="{00000000-0005-0000-0000-000033010000}"/>
    <cellStyle name="_교량공총괄_장재1-교대-교각 총괄토공" xfId="95" xr:uid="{00000000-0005-0000-0000-000034010000}"/>
    <cellStyle name="_교량별-공종별집계" xfId="96" xr:uid="{00000000-0005-0000-0000-000035010000}"/>
    <cellStyle name="_교량별-공종별집계_01기산교총괄집계표" xfId="97" xr:uid="{00000000-0005-0000-0000-000036010000}"/>
    <cellStyle name="_교량별-공종별집계_01기산교총괄집계표_03반정1육교총괄집계표" xfId="98" xr:uid="{00000000-0005-0000-0000-000037010000}"/>
    <cellStyle name="_교량별-공종별집계_01기산교총괄집계표_03반정1육교총괄집계표_0923-지하차도총괄수량집계" xfId="99" xr:uid="{00000000-0005-0000-0000-000038010000}"/>
    <cellStyle name="_교량별-공종별집계_01기산교총괄집계표_03반정1육교총괄집계표_경사로1-상하부총괄수량" xfId="100" xr:uid="{00000000-0005-0000-0000-000039010000}"/>
    <cellStyle name="_교량별-공종별집계_01기산교총괄집계표_03반정1육교총괄집계표_보도육교2-경사로1-교각일반수량" xfId="101" xr:uid="{00000000-0005-0000-0000-00003A010000}"/>
    <cellStyle name="_교량별-공종별집계_01기산교총괄집계표_03반정1육교총괄집계표_보도육교2-경사로-교각일반수량" xfId="102" xr:uid="{00000000-0005-0000-0000-00003B010000}"/>
    <cellStyle name="_교량별-공종별집계_01기산교총괄집계표_03반정1육교총괄집계표_보도육교2-교각일반수량" xfId="103" xr:uid="{00000000-0005-0000-0000-00003C010000}"/>
    <cellStyle name="_교량별-공종별집계_01기산교총괄집계표_03반정1육교총괄집계표_보도육교2-본체-교각일반수량" xfId="104" xr:uid="{00000000-0005-0000-0000-00003D010000}"/>
    <cellStyle name="_교량별-공종별집계_01기산교총괄집계표_03반정1육교총괄집계표_보도육교2상부수량" xfId="105" xr:uid="{00000000-0005-0000-0000-00003E010000}"/>
    <cellStyle name="_교량별-공종별집계_01기산교총괄집계표_03반정1육교총괄집계표_보도육교2-상하부총괄수량" xfId="106" xr:uid="{00000000-0005-0000-0000-00003F010000}"/>
    <cellStyle name="_교량별-공종별집계_01기산교총괄집계표_03반정1육교총괄집계표_보도육교2-하부총괄수량" xfId="107" xr:uid="{00000000-0005-0000-0000-000040010000}"/>
    <cellStyle name="_교량별-공종별집계_01기산교총괄집계표_03반정1육교총괄집계표_장재1-교대-교각 총괄토공" xfId="108" xr:uid="{00000000-0005-0000-0000-000041010000}"/>
    <cellStyle name="_교량별-공종별집계_01기산교총괄집계표_07_01곡반정육교총괄집계표" xfId="109" xr:uid="{00000000-0005-0000-0000-000042010000}"/>
    <cellStyle name="_교량별-공종별집계_01기산교총괄집계표_07_01곡반정육교총괄집계표_0923-지하차도총괄수량집계" xfId="110" xr:uid="{00000000-0005-0000-0000-000043010000}"/>
    <cellStyle name="_교량별-공종별집계_01기산교총괄집계표_07_01곡반정육교총괄집계표_경사로1-상하부총괄수량" xfId="111" xr:uid="{00000000-0005-0000-0000-000044010000}"/>
    <cellStyle name="_교량별-공종별집계_01기산교총괄집계표_07_01곡반정육교총괄집계표_보도육교2-경사로1-교각일반수량" xfId="112" xr:uid="{00000000-0005-0000-0000-000045010000}"/>
    <cellStyle name="_교량별-공종별집계_01기산교총괄집계표_07_01곡반정육교총괄집계표_보도육교2-경사로-교각일반수량" xfId="113" xr:uid="{00000000-0005-0000-0000-000046010000}"/>
    <cellStyle name="_교량별-공종별집계_01기산교총괄집계표_07_01곡반정육교총괄집계표_보도육교2-교각일반수량" xfId="114" xr:uid="{00000000-0005-0000-0000-000047010000}"/>
    <cellStyle name="_교량별-공종별집계_01기산교총괄집계표_07_01곡반정육교총괄집계표_보도육교2-본체-교각일반수량" xfId="115" xr:uid="{00000000-0005-0000-0000-000048010000}"/>
    <cellStyle name="_교량별-공종별집계_01기산교총괄집계표_07_01곡반정육교총괄집계표_보도육교2상부수량" xfId="116" xr:uid="{00000000-0005-0000-0000-000049010000}"/>
    <cellStyle name="_교량별-공종별집계_01기산교총괄집계표_07_01곡반정육교총괄집계표_보도육교2-상하부총괄수량" xfId="117" xr:uid="{00000000-0005-0000-0000-00004A010000}"/>
    <cellStyle name="_교량별-공종별집계_01기산교총괄집계표_07_01곡반정육교총괄집계표_보도육교2-하부총괄수량" xfId="118" xr:uid="{00000000-0005-0000-0000-00004B010000}"/>
    <cellStyle name="_교량별-공종별집계_01기산교총괄집계표_07_01곡반정육교총괄집계표_장재1-교대-교각 총괄토공" xfId="119" xr:uid="{00000000-0005-0000-0000-00004C010000}"/>
    <cellStyle name="_교량별-공종별집계_01기산교총괄집계표_0923-지하차도총괄수량집계" xfId="120" xr:uid="{00000000-0005-0000-0000-00004D010000}"/>
    <cellStyle name="_교량별-공종별집계_01기산교총괄집계표_경사로1-상하부총괄수량" xfId="121" xr:uid="{00000000-0005-0000-0000-00004E010000}"/>
    <cellStyle name="_교량별-공종별집계_01기산교총괄집계표_보도육교2-경사로1-교각일반수량" xfId="122" xr:uid="{00000000-0005-0000-0000-00004F010000}"/>
    <cellStyle name="_교량별-공종별집계_01기산교총괄집계표_보도육교2-경사로-교각일반수량" xfId="123" xr:uid="{00000000-0005-0000-0000-000050010000}"/>
    <cellStyle name="_교량별-공종별집계_01기산교총괄집계표_보도육교2-교각일반수량" xfId="124" xr:uid="{00000000-0005-0000-0000-000051010000}"/>
    <cellStyle name="_교량별-공종별집계_01기산교총괄집계표_보도육교2-본체-교각일반수량" xfId="125" xr:uid="{00000000-0005-0000-0000-000052010000}"/>
    <cellStyle name="_교량별-공종별집계_01기산교총괄집계표_보도육교2상부수량" xfId="126" xr:uid="{00000000-0005-0000-0000-000053010000}"/>
    <cellStyle name="_교량별-공종별집계_01기산교총괄집계표_보도육교2-상하부총괄수량" xfId="127" xr:uid="{00000000-0005-0000-0000-000054010000}"/>
    <cellStyle name="_교량별-공종별집계_01기산교총괄집계표_보도육교2-하부총괄수량" xfId="128" xr:uid="{00000000-0005-0000-0000-000055010000}"/>
    <cellStyle name="_교량별-공종별집계_01기산교총괄집계표_장재1-교대-교각 총괄토공" xfId="129" xr:uid="{00000000-0005-0000-0000-000056010000}"/>
    <cellStyle name="_교량별-공종별집계_02한반천교총괄집계표" xfId="130" xr:uid="{00000000-0005-0000-0000-000057010000}"/>
    <cellStyle name="_교량별-공종별집계_02한반천교총괄집계표_03반정1육교총괄집계표" xfId="131" xr:uid="{00000000-0005-0000-0000-000058010000}"/>
    <cellStyle name="_교량별-공종별집계_02한반천교총괄집계표_03반정1육교총괄집계표_0923-지하차도총괄수량집계" xfId="132" xr:uid="{00000000-0005-0000-0000-000059010000}"/>
    <cellStyle name="_교량별-공종별집계_02한반천교총괄집계표_03반정1육교총괄집계표_경사로1-상하부총괄수량" xfId="133" xr:uid="{00000000-0005-0000-0000-00005A010000}"/>
    <cellStyle name="_교량별-공종별집계_02한반천교총괄집계표_03반정1육교총괄집계표_보도육교2-경사로1-교각일반수량" xfId="134" xr:uid="{00000000-0005-0000-0000-00005B010000}"/>
    <cellStyle name="_교량별-공종별집계_02한반천교총괄집계표_03반정1육교총괄집계표_보도육교2-경사로-교각일반수량" xfId="135" xr:uid="{00000000-0005-0000-0000-00005C010000}"/>
    <cellStyle name="_교량별-공종별집계_02한반천교총괄집계표_03반정1육교총괄집계표_보도육교2-교각일반수량" xfId="136" xr:uid="{00000000-0005-0000-0000-00005D010000}"/>
    <cellStyle name="_교량별-공종별집계_02한반천교총괄집계표_03반정1육교총괄집계표_보도육교2-본체-교각일반수량" xfId="137" xr:uid="{00000000-0005-0000-0000-00005E010000}"/>
    <cellStyle name="_교량별-공종별집계_02한반천교총괄집계표_03반정1육교총괄집계표_보도육교2상부수량" xfId="138" xr:uid="{00000000-0005-0000-0000-00005F010000}"/>
    <cellStyle name="_교량별-공종별집계_02한반천교총괄집계표_03반정1육교총괄집계표_보도육교2-상하부총괄수량" xfId="139" xr:uid="{00000000-0005-0000-0000-000060010000}"/>
    <cellStyle name="_교량별-공종별집계_02한반천교총괄집계표_03반정1육교총괄집계표_보도육교2-하부총괄수량" xfId="140" xr:uid="{00000000-0005-0000-0000-000061010000}"/>
    <cellStyle name="_교량별-공종별집계_02한반천교총괄집계표_03반정1육교총괄집계표_장재1-교대-교각 총괄토공" xfId="141" xr:uid="{00000000-0005-0000-0000-000062010000}"/>
    <cellStyle name="_교량별-공종별집계_02한반천교총괄집계표_07_01곡반정육교총괄집계표" xfId="142" xr:uid="{00000000-0005-0000-0000-000063010000}"/>
    <cellStyle name="_교량별-공종별집계_02한반천교총괄집계표_07_01곡반정육교총괄집계표_0923-지하차도총괄수량집계" xfId="143" xr:uid="{00000000-0005-0000-0000-000064010000}"/>
    <cellStyle name="_교량별-공종별집계_02한반천교총괄집계표_07_01곡반정육교총괄집계표_경사로1-상하부총괄수량" xfId="144" xr:uid="{00000000-0005-0000-0000-000065010000}"/>
    <cellStyle name="_교량별-공종별집계_02한반천교총괄집계표_07_01곡반정육교총괄집계표_보도육교2-경사로1-교각일반수량" xfId="145" xr:uid="{00000000-0005-0000-0000-000066010000}"/>
    <cellStyle name="_교량별-공종별집계_02한반천교총괄집계표_07_01곡반정육교총괄집계표_보도육교2-경사로-교각일반수량" xfId="146" xr:uid="{00000000-0005-0000-0000-000067010000}"/>
    <cellStyle name="_교량별-공종별집계_02한반천교총괄집계표_07_01곡반정육교총괄집계표_보도육교2-교각일반수량" xfId="147" xr:uid="{00000000-0005-0000-0000-000068010000}"/>
    <cellStyle name="_교량별-공종별집계_02한반천교총괄집계표_07_01곡반정육교총괄집계표_보도육교2-본체-교각일반수량" xfId="148" xr:uid="{00000000-0005-0000-0000-000069010000}"/>
    <cellStyle name="_교량별-공종별집계_02한반천교총괄집계표_07_01곡반정육교총괄집계표_보도육교2상부수량" xfId="149" xr:uid="{00000000-0005-0000-0000-00006A010000}"/>
    <cellStyle name="_교량별-공종별집계_02한반천교총괄집계표_07_01곡반정육교총괄집계표_보도육교2-상하부총괄수량" xfId="150" xr:uid="{00000000-0005-0000-0000-00006B010000}"/>
    <cellStyle name="_교량별-공종별집계_02한반천교총괄집계표_07_01곡반정육교총괄집계표_보도육교2-하부총괄수량" xfId="151" xr:uid="{00000000-0005-0000-0000-00006C010000}"/>
    <cellStyle name="_교량별-공종별집계_02한반천교총괄집계표_07_01곡반정육교총괄집계표_장재1-교대-교각 총괄토공" xfId="152" xr:uid="{00000000-0005-0000-0000-00006D010000}"/>
    <cellStyle name="_교량별-공종별집계_02한반천교총괄집계표_0923-지하차도총괄수량집계" xfId="153" xr:uid="{00000000-0005-0000-0000-00006E010000}"/>
    <cellStyle name="_교량별-공종별집계_02한반천교총괄집계표_경사로1-상하부총괄수량" xfId="154" xr:uid="{00000000-0005-0000-0000-00006F010000}"/>
    <cellStyle name="_교량별-공종별집계_02한반천교총괄집계표_보도육교2-경사로1-교각일반수량" xfId="155" xr:uid="{00000000-0005-0000-0000-000070010000}"/>
    <cellStyle name="_교량별-공종별집계_02한반천교총괄집계표_보도육교2-경사로-교각일반수량" xfId="156" xr:uid="{00000000-0005-0000-0000-000071010000}"/>
    <cellStyle name="_교량별-공종별집계_02한반천교총괄집계표_보도육교2-교각일반수량" xfId="157" xr:uid="{00000000-0005-0000-0000-000072010000}"/>
    <cellStyle name="_교량별-공종별집계_02한반천교총괄집계표_보도육교2-본체-교각일반수량" xfId="158" xr:uid="{00000000-0005-0000-0000-000073010000}"/>
    <cellStyle name="_교량별-공종별집계_02한반천교총괄집계표_보도육교2상부수량" xfId="159" xr:uid="{00000000-0005-0000-0000-000074010000}"/>
    <cellStyle name="_교량별-공종별집계_02한반천교총괄집계표_보도육교2-상하부총괄수량" xfId="160" xr:uid="{00000000-0005-0000-0000-000075010000}"/>
    <cellStyle name="_교량별-공종별집계_02한반천교총괄집계표_보도육교2-하부총괄수량" xfId="161" xr:uid="{00000000-0005-0000-0000-000076010000}"/>
    <cellStyle name="_교량별-공종별집계_02한반천교총괄집계표_장재1-교대-교각 총괄토공" xfId="162" xr:uid="{00000000-0005-0000-0000-000077010000}"/>
    <cellStyle name="_교량별-공종별집계_03반정1육교총괄집계표" xfId="163" xr:uid="{00000000-0005-0000-0000-000078010000}"/>
    <cellStyle name="_교량별-공종별집계_03반정1육교총괄집계표_07_01곡반정육교총괄집계표" xfId="164" xr:uid="{00000000-0005-0000-0000-000079010000}"/>
    <cellStyle name="_교량별-공종별집계_03반정1육교총괄집계표_07_01곡반정육교총괄집계표_0923-지하차도총괄수량집계" xfId="165" xr:uid="{00000000-0005-0000-0000-00007A010000}"/>
    <cellStyle name="_교량별-공종별집계_03반정1육교총괄집계표_07_01곡반정육교총괄집계표_경사로1-상하부총괄수량" xfId="166" xr:uid="{00000000-0005-0000-0000-00007B010000}"/>
    <cellStyle name="_교량별-공종별집계_03반정1육교총괄집계표_07_01곡반정육교총괄집계표_보도육교2-경사로1-교각일반수량" xfId="167" xr:uid="{00000000-0005-0000-0000-00007C010000}"/>
    <cellStyle name="_교량별-공종별집계_03반정1육교총괄집계표_07_01곡반정육교총괄집계표_보도육교2-경사로-교각일반수량" xfId="168" xr:uid="{00000000-0005-0000-0000-00007D010000}"/>
    <cellStyle name="_교량별-공종별집계_03반정1육교총괄집계표_07_01곡반정육교총괄집계표_보도육교2-교각일반수량" xfId="169" xr:uid="{00000000-0005-0000-0000-00007E010000}"/>
    <cellStyle name="_교량별-공종별집계_03반정1육교총괄집계표_07_01곡반정육교총괄집계표_보도육교2-본체-교각일반수량" xfId="170" xr:uid="{00000000-0005-0000-0000-00007F010000}"/>
    <cellStyle name="_교량별-공종별집계_03반정1육교총괄집계표_07_01곡반정육교총괄집계표_보도육교2상부수량" xfId="171" xr:uid="{00000000-0005-0000-0000-000080010000}"/>
    <cellStyle name="_교량별-공종별집계_03반정1육교총괄집계표_07_01곡반정육교총괄집계표_보도육교2-상하부총괄수량" xfId="172" xr:uid="{00000000-0005-0000-0000-000081010000}"/>
    <cellStyle name="_교량별-공종별집계_03반정1육교총괄집계표_07_01곡반정육교총괄집계표_보도육교2-하부총괄수량" xfId="173" xr:uid="{00000000-0005-0000-0000-000082010000}"/>
    <cellStyle name="_교량별-공종별집계_03반정1육교총괄집계표_07_01곡반정육교총괄집계표_장재1-교대-교각 총괄토공" xfId="174" xr:uid="{00000000-0005-0000-0000-000083010000}"/>
    <cellStyle name="_교량별-공종별집계_03반정1육교총괄집계표_0923-지하차도총괄수량집계" xfId="175" xr:uid="{00000000-0005-0000-0000-000084010000}"/>
    <cellStyle name="_교량별-공종별집계_03반정1육교총괄집계표_경사로1-상하부총괄수량" xfId="176" xr:uid="{00000000-0005-0000-0000-000085010000}"/>
    <cellStyle name="_교량별-공종별집계_03반정1육교총괄집계표_보도육교2-경사로1-교각일반수량" xfId="177" xr:uid="{00000000-0005-0000-0000-000086010000}"/>
    <cellStyle name="_교량별-공종별집계_03반정1육교총괄집계표_보도육교2-경사로-교각일반수량" xfId="178" xr:uid="{00000000-0005-0000-0000-000087010000}"/>
    <cellStyle name="_교량별-공종별집계_03반정1육교총괄집계표_보도육교2-교각일반수량" xfId="179" xr:uid="{00000000-0005-0000-0000-000088010000}"/>
    <cellStyle name="_교량별-공종별집계_03반정1육교총괄집계표_보도육교2-본체-교각일반수량" xfId="180" xr:uid="{00000000-0005-0000-0000-000089010000}"/>
    <cellStyle name="_교량별-공종별집계_03반정1육교총괄집계표_보도육교2상부수량" xfId="181" xr:uid="{00000000-0005-0000-0000-00008A010000}"/>
    <cellStyle name="_교량별-공종별집계_03반정1육교총괄집계표_보도육교2-상하부총괄수량" xfId="182" xr:uid="{00000000-0005-0000-0000-00008B010000}"/>
    <cellStyle name="_교량별-공종별집계_03반정1육교총괄집계표_보도육교2-하부총괄수량" xfId="183" xr:uid="{00000000-0005-0000-0000-00008C010000}"/>
    <cellStyle name="_교량별-공종별집계_03반정1육교총괄집계표_장재1-교대-교각 총괄토공" xfId="184" xr:uid="{00000000-0005-0000-0000-00008D010000}"/>
    <cellStyle name="_교량별-공종별집계_04반정2육교총괄집계표" xfId="185" xr:uid="{00000000-0005-0000-0000-00008E010000}"/>
    <cellStyle name="_교량별-공종별집계_04반정2육교총괄집계표_07_01곡반정육교총괄집계표" xfId="186" xr:uid="{00000000-0005-0000-0000-00008F010000}"/>
    <cellStyle name="_교량별-공종별집계_04반정2육교총괄집계표_07_01곡반정육교총괄집계표_0923-지하차도총괄수량집계" xfId="187" xr:uid="{00000000-0005-0000-0000-000090010000}"/>
    <cellStyle name="_교량별-공종별집계_04반정2육교총괄집계표_07_01곡반정육교총괄집계표_경사로1-상하부총괄수량" xfId="188" xr:uid="{00000000-0005-0000-0000-000091010000}"/>
    <cellStyle name="_교량별-공종별집계_04반정2육교총괄집계표_07_01곡반정육교총괄집계표_보도육교2-경사로1-교각일반수량" xfId="189" xr:uid="{00000000-0005-0000-0000-000092010000}"/>
    <cellStyle name="_교량별-공종별집계_04반정2육교총괄집계표_07_01곡반정육교총괄집계표_보도육교2-경사로-교각일반수량" xfId="190" xr:uid="{00000000-0005-0000-0000-000093010000}"/>
    <cellStyle name="_교량별-공종별집계_04반정2육교총괄집계표_07_01곡반정육교총괄집계표_보도육교2-교각일반수량" xfId="191" xr:uid="{00000000-0005-0000-0000-000094010000}"/>
    <cellStyle name="_교량별-공종별집계_04반정2육교총괄집계표_07_01곡반정육교총괄집계표_보도육교2-본체-교각일반수량" xfId="192" xr:uid="{00000000-0005-0000-0000-000095010000}"/>
    <cellStyle name="_교량별-공종별집계_04반정2육교총괄집계표_07_01곡반정육교총괄집계표_보도육교2상부수량" xfId="193" xr:uid="{00000000-0005-0000-0000-000096010000}"/>
    <cellStyle name="_교량별-공종별집계_04반정2육교총괄집계표_07_01곡반정육교총괄집계표_보도육교2-상하부총괄수량" xfId="194" xr:uid="{00000000-0005-0000-0000-000097010000}"/>
    <cellStyle name="_교량별-공종별집계_04반정2육교총괄집계표_07_01곡반정육교총괄집계표_보도육교2-하부총괄수량" xfId="195" xr:uid="{00000000-0005-0000-0000-000098010000}"/>
    <cellStyle name="_교량별-공종별집계_04반정2육교총괄집계표_07_01곡반정육교총괄집계표_장재1-교대-교각 총괄토공" xfId="196" xr:uid="{00000000-0005-0000-0000-000099010000}"/>
    <cellStyle name="_교량별-공종별집계_04반정2육교총괄집계표_0923-지하차도총괄수량집계" xfId="197" xr:uid="{00000000-0005-0000-0000-00009A010000}"/>
    <cellStyle name="_교량별-공종별집계_04반정2육교총괄집계표_경사로1-상하부총괄수량" xfId="198" xr:uid="{00000000-0005-0000-0000-00009B010000}"/>
    <cellStyle name="_교량별-공종별집계_04반정2육교총괄집계표_보도육교2-경사로1-교각일반수량" xfId="199" xr:uid="{00000000-0005-0000-0000-00009C010000}"/>
    <cellStyle name="_교량별-공종별집계_04반정2육교총괄집계표_보도육교2-경사로-교각일반수량" xfId="200" xr:uid="{00000000-0005-0000-0000-00009D010000}"/>
    <cellStyle name="_교량별-공종별집계_04반정2육교총괄집계표_보도육교2-교각일반수량" xfId="201" xr:uid="{00000000-0005-0000-0000-00009E010000}"/>
    <cellStyle name="_교량별-공종별집계_04반정2육교총괄집계표_보도육교2-본체-교각일반수량" xfId="202" xr:uid="{00000000-0005-0000-0000-00009F010000}"/>
    <cellStyle name="_교량별-공종별집계_04반정2육교총괄집계표_보도육교2상부수량" xfId="203" xr:uid="{00000000-0005-0000-0000-0000A0010000}"/>
    <cellStyle name="_교량별-공종별집계_04반정2육교총괄집계표_보도육교2-상하부총괄수량" xfId="204" xr:uid="{00000000-0005-0000-0000-0000A1010000}"/>
    <cellStyle name="_교량별-공종별집계_04반정2육교총괄집계표_보도육교2-하부총괄수량" xfId="205" xr:uid="{00000000-0005-0000-0000-0000A2010000}"/>
    <cellStyle name="_교량별-공종별집계_04반정2육교총괄집계표_장재1-교대-교각 총괄토공" xfId="206" xr:uid="{00000000-0005-0000-0000-0000A3010000}"/>
    <cellStyle name="_교량별-공종별집계_05반정3육교총괄집계표" xfId="207" xr:uid="{00000000-0005-0000-0000-0000A4010000}"/>
    <cellStyle name="_교량별-공종별집계_05반정3육교총괄집계표_07_01곡반정육교총괄집계표" xfId="208" xr:uid="{00000000-0005-0000-0000-0000A5010000}"/>
    <cellStyle name="_교량별-공종별집계_05반정3육교총괄집계표_07_01곡반정육교총괄집계표_0923-지하차도총괄수량집계" xfId="209" xr:uid="{00000000-0005-0000-0000-0000A6010000}"/>
    <cellStyle name="_교량별-공종별집계_05반정3육교총괄집계표_07_01곡반정육교총괄집계표_경사로1-상하부총괄수량" xfId="210" xr:uid="{00000000-0005-0000-0000-0000A7010000}"/>
    <cellStyle name="_교량별-공종별집계_05반정3육교총괄집계표_07_01곡반정육교총괄집계표_보도육교2-경사로1-교각일반수량" xfId="211" xr:uid="{00000000-0005-0000-0000-0000A8010000}"/>
    <cellStyle name="_교량별-공종별집계_05반정3육교총괄집계표_07_01곡반정육교총괄집계표_보도육교2-경사로-교각일반수량" xfId="212" xr:uid="{00000000-0005-0000-0000-0000A9010000}"/>
    <cellStyle name="_교량별-공종별집계_05반정3육교총괄집계표_07_01곡반정육교총괄집계표_보도육교2-교각일반수량" xfId="213" xr:uid="{00000000-0005-0000-0000-0000AA010000}"/>
    <cellStyle name="_교량별-공종별집계_05반정3육교총괄집계표_07_01곡반정육교총괄집계표_보도육교2-본체-교각일반수량" xfId="214" xr:uid="{00000000-0005-0000-0000-0000AB010000}"/>
    <cellStyle name="_교량별-공종별집계_05반정3육교총괄집계표_07_01곡반정육교총괄집계표_보도육교2상부수량" xfId="215" xr:uid="{00000000-0005-0000-0000-0000AC010000}"/>
    <cellStyle name="_교량별-공종별집계_05반정3육교총괄집계표_07_01곡반정육교총괄집계표_보도육교2-상하부총괄수량" xfId="216" xr:uid="{00000000-0005-0000-0000-0000AD010000}"/>
    <cellStyle name="_교량별-공종별집계_05반정3육교총괄집계표_07_01곡반정육교총괄집계표_보도육교2-하부총괄수량" xfId="217" xr:uid="{00000000-0005-0000-0000-0000AE010000}"/>
    <cellStyle name="_교량별-공종별집계_05반정3육교총괄집계표_07_01곡반정육교총괄집계표_장재1-교대-교각 총괄토공" xfId="218" xr:uid="{00000000-0005-0000-0000-0000AF010000}"/>
    <cellStyle name="_교량별-공종별집계_05반정3육교총괄집계표_0923-지하차도총괄수량집계" xfId="219" xr:uid="{00000000-0005-0000-0000-0000B0010000}"/>
    <cellStyle name="_교량별-공종별집계_05반정3육교총괄집계표_경사로1-상하부총괄수량" xfId="220" xr:uid="{00000000-0005-0000-0000-0000B1010000}"/>
    <cellStyle name="_교량별-공종별집계_05반정3육교총괄집계표_보도육교2-경사로1-교각일반수량" xfId="221" xr:uid="{00000000-0005-0000-0000-0000B2010000}"/>
    <cellStyle name="_교량별-공종별집계_05반정3육교총괄집계표_보도육교2-경사로-교각일반수량" xfId="222" xr:uid="{00000000-0005-0000-0000-0000B3010000}"/>
    <cellStyle name="_교량별-공종별집계_05반정3육교총괄집계표_보도육교2-교각일반수량" xfId="223" xr:uid="{00000000-0005-0000-0000-0000B4010000}"/>
    <cellStyle name="_교량별-공종별집계_05반정3육교총괄집계표_보도육교2-본체-교각일반수량" xfId="224" xr:uid="{00000000-0005-0000-0000-0000B5010000}"/>
    <cellStyle name="_교량별-공종별집계_05반정3육교총괄집계표_보도육교2상부수량" xfId="225" xr:uid="{00000000-0005-0000-0000-0000B6010000}"/>
    <cellStyle name="_교량별-공종별집계_05반정3육교총괄집계표_보도육교2-상하부총괄수량" xfId="226" xr:uid="{00000000-0005-0000-0000-0000B7010000}"/>
    <cellStyle name="_교량별-공종별집계_05반정3육교총괄집계표_보도육교2-하부총괄수량" xfId="227" xr:uid="{00000000-0005-0000-0000-0000B8010000}"/>
    <cellStyle name="_교량별-공종별집계_05반정3육교총괄집계표_장재1-교대-교각 총괄토공" xfId="228" xr:uid="{00000000-0005-0000-0000-0000B9010000}"/>
    <cellStyle name="_교량별-공종별집계_06원천리천교총괄집계표" xfId="229" xr:uid="{00000000-0005-0000-0000-0000BA010000}"/>
    <cellStyle name="_교량별-공종별집계_06원천리천교총괄집계표_07_01곡반정육교총괄집계표" xfId="230" xr:uid="{00000000-0005-0000-0000-0000BB010000}"/>
    <cellStyle name="_교량별-공종별집계_06원천리천교총괄집계표_07_01곡반정육교총괄집계표_0923-지하차도총괄수량집계" xfId="231" xr:uid="{00000000-0005-0000-0000-0000BC010000}"/>
    <cellStyle name="_교량별-공종별집계_06원천리천교총괄집계표_07_01곡반정육교총괄집계표_경사로1-상하부총괄수량" xfId="232" xr:uid="{00000000-0005-0000-0000-0000BD010000}"/>
    <cellStyle name="_교량별-공종별집계_06원천리천교총괄집계표_07_01곡반정육교총괄집계표_보도육교2-경사로1-교각일반수량" xfId="233" xr:uid="{00000000-0005-0000-0000-0000BE010000}"/>
    <cellStyle name="_교량별-공종별집계_06원천리천교총괄집계표_07_01곡반정육교총괄집계표_보도육교2-경사로-교각일반수량" xfId="234" xr:uid="{00000000-0005-0000-0000-0000BF010000}"/>
    <cellStyle name="_교량별-공종별집계_06원천리천교총괄집계표_07_01곡반정육교총괄집계표_보도육교2-교각일반수량" xfId="235" xr:uid="{00000000-0005-0000-0000-0000C0010000}"/>
    <cellStyle name="_교량별-공종별집계_06원천리천교총괄집계표_07_01곡반정육교총괄집계표_보도육교2-본체-교각일반수량" xfId="236" xr:uid="{00000000-0005-0000-0000-0000C1010000}"/>
    <cellStyle name="_교량별-공종별집계_06원천리천교총괄집계표_07_01곡반정육교총괄집계표_보도육교2상부수량" xfId="237" xr:uid="{00000000-0005-0000-0000-0000C2010000}"/>
    <cellStyle name="_교량별-공종별집계_06원천리천교총괄집계표_07_01곡반정육교총괄집계표_보도육교2-상하부총괄수량" xfId="238" xr:uid="{00000000-0005-0000-0000-0000C3010000}"/>
    <cellStyle name="_교량별-공종별집계_06원천리천교총괄집계표_07_01곡반정육교총괄집계표_보도육교2-하부총괄수량" xfId="239" xr:uid="{00000000-0005-0000-0000-0000C4010000}"/>
    <cellStyle name="_교량별-공종별집계_06원천리천교총괄집계표_07_01곡반정육교총괄집계표_장재1-교대-교각 총괄토공" xfId="240" xr:uid="{00000000-0005-0000-0000-0000C5010000}"/>
    <cellStyle name="_교량별-공종별집계_06원천리천교총괄집계표_0923-지하차도총괄수량집계" xfId="241" xr:uid="{00000000-0005-0000-0000-0000C6010000}"/>
    <cellStyle name="_교량별-공종별집계_06원천리천교총괄집계표_경사로1-상하부총괄수량" xfId="242" xr:uid="{00000000-0005-0000-0000-0000C7010000}"/>
    <cellStyle name="_교량별-공종별집계_06원천리천교총괄집계표_보도육교2-경사로1-교각일반수량" xfId="243" xr:uid="{00000000-0005-0000-0000-0000C8010000}"/>
    <cellStyle name="_교량별-공종별집계_06원천리천교총괄집계표_보도육교2-경사로-교각일반수량" xfId="244" xr:uid="{00000000-0005-0000-0000-0000C9010000}"/>
    <cellStyle name="_교량별-공종별집계_06원천리천교총괄집계표_보도육교2-교각일반수량" xfId="245" xr:uid="{00000000-0005-0000-0000-0000CA010000}"/>
    <cellStyle name="_교량별-공종별집계_06원천리천교총괄집계표_보도육교2-본체-교각일반수량" xfId="246" xr:uid="{00000000-0005-0000-0000-0000CB010000}"/>
    <cellStyle name="_교량별-공종별집계_06원천리천교총괄집계표_보도육교2상부수량" xfId="247" xr:uid="{00000000-0005-0000-0000-0000CC010000}"/>
    <cellStyle name="_교량별-공종별집계_06원천리천교총괄집계표_보도육교2-상하부총괄수량" xfId="248" xr:uid="{00000000-0005-0000-0000-0000CD010000}"/>
    <cellStyle name="_교량별-공종별집계_06원천리천교총괄집계표_보도육교2-하부총괄수량" xfId="249" xr:uid="{00000000-0005-0000-0000-0000CE010000}"/>
    <cellStyle name="_교량별-공종별집계_06원천리천교총괄집계표_장재1-교대-교각 총괄토공" xfId="250" xr:uid="{00000000-0005-0000-0000-0000CF010000}"/>
    <cellStyle name="_교량별-공종별집계_07_01곡반정육교총괄집계표" xfId="251" xr:uid="{00000000-0005-0000-0000-0000D0010000}"/>
    <cellStyle name="_교량별-공종별집계_07_01곡반정육교총괄집계표_0923-지하차도총괄수량집계" xfId="252" xr:uid="{00000000-0005-0000-0000-0000D1010000}"/>
    <cellStyle name="_교량별-공종별집계_07_01곡반정육교총괄집계표_경사로1-상하부총괄수량" xfId="253" xr:uid="{00000000-0005-0000-0000-0000D2010000}"/>
    <cellStyle name="_교량별-공종별집계_07_01곡반정육교총괄집계표_보도육교2-경사로1-교각일반수량" xfId="254" xr:uid="{00000000-0005-0000-0000-0000D3010000}"/>
    <cellStyle name="_교량별-공종별집계_07_01곡반정육교총괄집계표_보도육교2-경사로-교각일반수량" xfId="255" xr:uid="{00000000-0005-0000-0000-0000D4010000}"/>
    <cellStyle name="_교량별-공종별집계_07_01곡반정육교총괄집계표_보도육교2-교각일반수량" xfId="256" xr:uid="{00000000-0005-0000-0000-0000D5010000}"/>
    <cellStyle name="_교량별-공종별집계_07_01곡반정육교총괄집계표_보도육교2-본체-교각일반수량" xfId="257" xr:uid="{00000000-0005-0000-0000-0000D6010000}"/>
    <cellStyle name="_교량별-공종별집계_07_01곡반정육교총괄집계표_보도육교2상부수량" xfId="258" xr:uid="{00000000-0005-0000-0000-0000D7010000}"/>
    <cellStyle name="_교량별-공종별집계_07_01곡반정육교총괄집계표_보도육교2-상하부총괄수량" xfId="259" xr:uid="{00000000-0005-0000-0000-0000D8010000}"/>
    <cellStyle name="_교량별-공종별집계_07_01곡반정육교총괄집계표_보도육교2-하부총괄수량" xfId="260" xr:uid="{00000000-0005-0000-0000-0000D9010000}"/>
    <cellStyle name="_교량별-공종별집계_07_01곡반정육교총괄집계표_장재1-교대-교각 총괄토공" xfId="261" xr:uid="{00000000-0005-0000-0000-0000DA010000}"/>
    <cellStyle name="_교량별-공종별집계_07곡반정육교총괄집계표" xfId="262" xr:uid="{00000000-0005-0000-0000-0000DB010000}"/>
    <cellStyle name="_교량별-공종별집계_07곡반정육교총괄집계표_0923-지하차도총괄수량집계" xfId="263" xr:uid="{00000000-0005-0000-0000-0000DC010000}"/>
    <cellStyle name="_교량별-공종별집계_07곡반정육교총괄집계표_경사로1-상하부총괄수량" xfId="264" xr:uid="{00000000-0005-0000-0000-0000DD010000}"/>
    <cellStyle name="_교량별-공종별집계_07곡반정육교총괄집계표_보도육교2-경사로1-교각일반수량" xfId="265" xr:uid="{00000000-0005-0000-0000-0000DE010000}"/>
    <cellStyle name="_교량별-공종별집계_07곡반정육교총괄집계표_보도육교2-경사로-교각일반수량" xfId="266" xr:uid="{00000000-0005-0000-0000-0000DF010000}"/>
    <cellStyle name="_교량별-공종별집계_07곡반정육교총괄집계표_보도육교2-교각일반수량" xfId="267" xr:uid="{00000000-0005-0000-0000-0000E0010000}"/>
    <cellStyle name="_교량별-공종별집계_07곡반정육교총괄집계표_보도육교2-본체-교각일반수량" xfId="268" xr:uid="{00000000-0005-0000-0000-0000E1010000}"/>
    <cellStyle name="_교량별-공종별집계_07곡반정육교총괄집계표_보도육교2상부수량" xfId="269" xr:uid="{00000000-0005-0000-0000-0000E2010000}"/>
    <cellStyle name="_교량별-공종별집계_07곡반정육교총괄집계표_보도육교2-상하부총괄수량" xfId="270" xr:uid="{00000000-0005-0000-0000-0000E3010000}"/>
    <cellStyle name="_교량별-공종별집계_07곡반정육교총괄집계표_보도육교2-하부총괄수량" xfId="271" xr:uid="{00000000-0005-0000-0000-0000E4010000}"/>
    <cellStyle name="_교량별-공종별집계_07곡반정육교총괄집계표_장재1-교대-교각 총괄토공" xfId="272" xr:uid="{00000000-0005-0000-0000-0000E5010000}"/>
    <cellStyle name="_교량별-공종별집계_0923-지하차도총괄수량집계" xfId="273" xr:uid="{00000000-0005-0000-0000-0000E6010000}"/>
    <cellStyle name="_교량별-공종별집계_11청계1교(B교)총괄집계표" xfId="274" xr:uid="{00000000-0005-0000-0000-0000E7010000}"/>
    <cellStyle name="_교량별-공종별집계_11청계1교(B교)총괄집계표_0923-지하차도총괄수량집계" xfId="275" xr:uid="{00000000-0005-0000-0000-0000E8010000}"/>
    <cellStyle name="_교량별-공종별집계_11청계1교(B교)총괄집계표_경사로1-상하부총괄수량" xfId="276" xr:uid="{00000000-0005-0000-0000-0000E9010000}"/>
    <cellStyle name="_교량별-공종별집계_11청계1교(B교)총괄집계표_보도육교2-경사로1-교각일반수량" xfId="277" xr:uid="{00000000-0005-0000-0000-0000EA010000}"/>
    <cellStyle name="_교량별-공종별집계_11청계1교(B교)총괄집계표_보도육교2-경사로-교각일반수량" xfId="278" xr:uid="{00000000-0005-0000-0000-0000EB010000}"/>
    <cellStyle name="_교량별-공종별집계_11청계1교(B교)총괄집계표_보도육교2-교각일반수량" xfId="279" xr:uid="{00000000-0005-0000-0000-0000EC010000}"/>
    <cellStyle name="_교량별-공종별집계_11청계1교(B교)총괄집계표_보도육교2-본체-교각일반수량" xfId="280" xr:uid="{00000000-0005-0000-0000-0000ED010000}"/>
    <cellStyle name="_교량별-공종별집계_11청계1교(B교)총괄집계표_보도육교2상부수량" xfId="281" xr:uid="{00000000-0005-0000-0000-0000EE010000}"/>
    <cellStyle name="_교량별-공종별집계_11청계1교(B교)총괄집계표_보도육교2-상하부총괄수량" xfId="282" xr:uid="{00000000-0005-0000-0000-0000EF010000}"/>
    <cellStyle name="_교량별-공종별집계_11청계1교(B교)총괄집계표_보도육교2-하부총괄수량" xfId="283" xr:uid="{00000000-0005-0000-0000-0000F0010000}"/>
    <cellStyle name="_교량별-공종별집계_11청계1교(B교)총괄집계표_장재1-교대-교각 총괄토공" xfId="284" xr:uid="{00000000-0005-0000-0000-0000F1010000}"/>
    <cellStyle name="_교량별-공종별집계_경사로1-상하부총괄수량" xfId="285" xr:uid="{00000000-0005-0000-0000-0000F2010000}"/>
    <cellStyle name="_교량별-공종별집계_보도육교2-경사로1-교각일반수량" xfId="286" xr:uid="{00000000-0005-0000-0000-0000F3010000}"/>
    <cellStyle name="_교량별-공종별집계_보도육교2-경사로-교각일반수량" xfId="287" xr:uid="{00000000-0005-0000-0000-0000F4010000}"/>
    <cellStyle name="_교량별-공종별집계_보도육교2-교각일반수량" xfId="288" xr:uid="{00000000-0005-0000-0000-0000F5010000}"/>
    <cellStyle name="_교량별-공종별집계_보도육교2-본체-교각일반수량" xfId="289" xr:uid="{00000000-0005-0000-0000-0000F6010000}"/>
    <cellStyle name="_교량별-공종별집계_보도육교2상부수량" xfId="290" xr:uid="{00000000-0005-0000-0000-0000F7010000}"/>
    <cellStyle name="_교량별-공종별집계_보도육교2-상하부총괄수량" xfId="291" xr:uid="{00000000-0005-0000-0000-0000F8010000}"/>
    <cellStyle name="_교량별-공종별집계_보도육교2-하부총괄수량" xfId="292" xr:uid="{00000000-0005-0000-0000-0000F9010000}"/>
    <cellStyle name="_교량별-공종별집계_장재1-교대-교각 총괄토공" xfId="293" xr:uid="{00000000-0005-0000-0000-0000FA010000}"/>
    <cellStyle name="_교량별공통공사집계표최종" xfId="294" xr:uid="{00000000-0005-0000-0000-0000FB010000}"/>
    <cellStyle name="_교량별총괄집계(신리5교)" xfId="295" xr:uid="{00000000-0005-0000-0000-0000FC010000}"/>
    <cellStyle name="_교량별총괄집계(신리5교)_01-소탄교-총괄수량집계표" xfId="296" xr:uid="{00000000-0005-0000-0000-0000FD010000}"/>
    <cellStyle name="_교량별총괄집계(신리5교)_01-소탄교-총괄수량집계표1" xfId="297" xr:uid="{00000000-0005-0000-0000-0000FE010000}"/>
    <cellStyle name="_교량별총괄집계(신리5교)_01-여곡2교-총괄수량집계표" xfId="298" xr:uid="{00000000-0005-0000-0000-0000FF010000}"/>
    <cellStyle name="_교량별총괄집계(신리5교)_01-정선제3교-총괄수량집계표" xfId="2412" xr:uid="{00000000-0005-0000-0000-000000020000}"/>
    <cellStyle name="_교량별총괄집계(신리5교)_02석굴암교-상부(강재)_04-강재및도장수량" xfId="2413" xr:uid="{00000000-0005-0000-0000-000001020000}"/>
    <cellStyle name="_교량별총괄집계(신리5교)_HG2-상부수량_02석굴암교-상부(강재)_04-강재및도장수량" xfId="2414" xr:uid="{00000000-0005-0000-0000-000002020000}"/>
    <cellStyle name="_교량별총괄집계(신리5교)_HG2-상부수량_상부수량_02석굴암교-상부(강재)_04-강재및도장수량" xfId="2415" xr:uid="{00000000-0005-0000-0000-000003020000}"/>
    <cellStyle name="_교량별총괄집계(신리5교)_HG2-상부수량_황길1교-상부수량_02석굴암교-상부(강재)_04-강재및도장수량" xfId="2416" xr:uid="{00000000-0005-0000-0000-000004020000}"/>
    <cellStyle name="_교량별총괄집계(신리5교)_HG2-상부수량_황길2교-상부수량_02석굴암교-상부(강재)_04-강재및도장수량" xfId="2417" xr:uid="{00000000-0005-0000-0000-000005020000}"/>
    <cellStyle name="_교량부 가축도수량산출" xfId="299" xr:uid="{00000000-0005-0000-0000-000006020000}"/>
    <cellStyle name="_교량총괄집계표" xfId="2418" xr:uid="{00000000-0005-0000-0000-000007020000}"/>
    <cellStyle name="_구조물공수량산출" xfId="2419" xr:uid="{00000000-0005-0000-0000-000008020000}"/>
    <cellStyle name="_구조물공수량산출_01교량공(큰들)" xfId="2420" xr:uid="{00000000-0005-0000-0000-000009020000}"/>
    <cellStyle name="_구조물공수량산출_03교량공" xfId="2421" xr:uid="{00000000-0005-0000-0000-00000A020000}"/>
    <cellStyle name="_구조물공수량산출_가시설수량산출" xfId="2422" xr:uid="{00000000-0005-0000-0000-00000B020000}"/>
    <cellStyle name="_구조물공수량산출_가시설수량산출_01교량공(큰들)" xfId="2423" xr:uid="{00000000-0005-0000-0000-00000C020000}"/>
    <cellStyle name="_구조물공수량산출_가시설수량산출_03교량공" xfId="2424" xr:uid="{00000000-0005-0000-0000-00000D020000}"/>
    <cellStyle name="_구조물공수량산출_가시설수량산출_약실교교량수량산출서" xfId="2425" xr:uid="{00000000-0005-0000-0000-00000E020000}"/>
    <cellStyle name="_구조물공수량산출_가시설수량산출_약실교교량수량산출서_01교량공(큰들)" xfId="2426" xr:uid="{00000000-0005-0000-0000-00000F020000}"/>
    <cellStyle name="_구조물공수량산출_가시설수량산출_약실교교량수량산출서_03교량공" xfId="2427" xr:uid="{00000000-0005-0000-0000-000010020000}"/>
    <cellStyle name="_구조물공수량산출_가시설수량산출_큰들교교량수량산출서" xfId="2428" xr:uid="{00000000-0005-0000-0000-000011020000}"/>
    <cellStyle name="_구조물공수량산출_가시설수량산출_큰마교교량수량산출서" xfId="2429" xr:uid="{00000000-0005-0000-0000-000012020000}"/>
    <cellStyle name="_구조물공수량산출_가시설수량산출_큰마교교량수량산출서_01교량공(큰들)" xfId="2430" xr:uid="{00000000-0005-0000-0000-000013020000}"/>
    <cellStyle name="_구조물공수량산출_가시설수량산출_큰마교교량수량산출서_03교량공" xfId="2431" xr:uid="{00000000-0005-0000-0000-000014020000}"/>
    <cellStyle name="_구조물공수량산출_구조물공수량산출" xfId="2432" xr:uid="{00000000-0005-0000-0000-000015020000}"/>
    <cellStyle name="_구조물공수량산출_구조물공수량산출_01교량공(큰들)" xfId="2433" xr:uid="{00000000-0005-0000-0000-000016020000}"/>
    <cellStyle name="_구조물공수량산출_구조물공수량산출_03교량공" xfId="2434" xr:uid="{00000000-0005-0000-0000-000017020000}"/>
    <cellStyle name="_구조물공수량산출_구조물공수량산출_약실교교량수량산출서" xfId="2435" xr:uid="{00000000-0005-0000-0000-000018020000}"/>
    <cellStyle name="_구조물공수량산출_구조물공수량산출_약실교교량수량산출서_01교량공(큰들)" xfId="2436" xr:uid="{00000000-0005-0000-0000-000019020000}"/>
    <cellStyle name="_구조물공수량산출_구조물공수량산출_약실교교량수량산출서_03교량공" xfId="2437" xr:uid="{00000000-0005-0000-0000-00001A020000}"/>
    <cellStyle name="_구조물공수량산출_구조물공수량산출_큰들교교량수량산출서" xfId="2438" xr:uid="{00000000-0005-0000-0000-00001B020000}"/>
    <cellStyle name="_구조물공수량산출_구조물공수량산출_큰마교교량수량산출서" xfId="2439" xr:uid="{00000000-0005-0000-0000-00001C020000}"/>
    <cellStyle name="_구조물공수량산출_구조물공수량산출_큰마교교량수량산출서_01교량공(큰들)" xfId="2440" xr:uid="{00000000-0005-0000-0000-00001D020000}"/>
    <cellStyle name="_구조물공수량산출_구조물공수량산출_큰마교교량수량산출서_03교량공" xfId="2441" xr:uid="{00000000-0005-0000-0000-00001E020000}"/>
    <cellStyle name="_구조물공수량산출_약실교교량수량산출서" xfId="2442" xr:uid="{00000000-0005-0000-0000-00001F020000}"/>
    <cellStyle name="_구조물공수량산출_약실교교량수량산출서_01교량공(큰들)" xfId="2443" xr:uid="{00000000-0005-0000-0000-000020020000}"/>
    <cellStyle name="_구조물공수량산출_약실교교량수량산출서_03교량공" xfId="2444" xr:uid="{00000000-0005-0000-0000-000021020000}"/>
    <cellStyle name="_구조물공수량산출_큰들교교량수량산출서" xfId="2445" xr:uid="{00000000-0005-0000-0000-000022020000}"/>
    <cellStyle name="_구조물공수량산출_큰마교교량수량산출서" xfId="2446" xr:uid="{00000000-0005-0000-0000-000023020000}"/>
    <cellStyle name="_구조물공수량산출_큰마교교량수량산출서_01교량공(큰들)" xfId="2447" xr:uid="{00000000-0005-0000-0000-000024020000}"/>
    <cellStyle name="_구조물공수량산출_큰마교교량수량산출서_03교량공" xfId="2448" xr:uid="{00000000-0005-0000-0000-000025020000}"/>
    <cellStyle name="_구조물구조변수16공구" xfId="300" xr:uid="{00000000-0005-0000-0000-000026020000}"/>
    <cellStyle name="_국수교수량" xfId="301" xr:uid="{00000000-0005-0000-0000-000027020000}"/>
    <cellStyle name="_국수교수량_02석굴암교-상부(강재)_04-강재및도장수량" xfId="2449" xr:uid="{00000000-0005-0000-0000-000028020000}"/>
    <cellStyle name="_국수교수량_구만교-슬래브수량" xfId="302" xr:uid="{00000000-0005-0000-0000-000029020000}"/>
    <cellStyle name="_국수교수량_구만교-슬래브수량_구만교-슬래브수량" xfId="303" xr:uid="{00000000-0005-0000-0000-00002A020000}"/>
    <cellStyle name="_국수교수량_구만교-슬래브수량_구만교-슬래브수량_천기3교-슬래브수량" xfId="304" xr:uid="{00000000-0005-0000-0000-00002B020000}"/>
    <cellStyle name="_국수교수량_구만교-슬래브수량_구만교-슬래브수량_하수교-슬래브수량" xfId="305" xr:uid="{00000000-0005-0000-0000-00002C020000}"/>
    <cellStyle name="_국수교수량_구만교-슬래브수량_하수교-슬래브수량" xfId="306" xr:uid="{00000000-0005-0000-0000-00002D020000}"/>
    <cellStyle name="_국수교수량_마연교-구조물수량_02석굴암교-상부(강재)_04-강재및도장수량" xfId="2450" xr:uid="{00000000-0005-0000-0000-00002E020000}"/>
    <cellStyle name="_국수교수량_산정교-구조물수량_02석굴암교-상부(강재)_04-강재및도장수량" xfId="2451" xr:uid="{00000000-0005-0000-0000-00002F020000}"/>
    <cellStyle name="_국수교수량_산촌교-구조물수량_02석굴암교-상부(강재)_04-강재및도장수량" xfId="2452" xr:uid="{00000000-0005-0000-0000-000030020000}"/>
    <cellStyle name="_국수교수량_새터교수량-철근수량참고_02석굴암교-상부(강재)_04-강재및도장수량" xfId="2453" xr:uid="{00000000-0005-0000-0000-000031020000}"/>
    <cellStyle name="_국수교수량_성덕2교수량" xfId="307" xr:uid="{00000000-0005-0000-0000-000032020000}"/>
    <cellStyle name="_국수교수량_성덕2교수량_02석굴암교-상부(강재)_04-강재및도장수량" xfId="2454" xr:uid="{00000000-0005-0000-0000-000033020000}"/>
    <cellStyle name="_국수교수량_성덕2교수량_구만교-슬래브수량" xfId="308" xr:uid="{00000000-0005-0000-0000-000034020000}"/>
    <cellStyle name="_국수교수량_성덕2교수량_구만교-슬래브수량_구만교-슬래브수량" xfId="309" xr:uid="{00000000-0005-0000-0000-000035020000}"/>
    <cellStyle name="_국수교수량_성덕2교수량_구만교-슬래브수량_구만교-슬래브수량_천기3교-슬래브수량" xfId="310" xr:uid="{00000000-0005-0000-0000-000036020000}"/>
    <cellStyle name="_국수교수량_성덕2교수량_구만교-슬래브수량_구만교-슬래브수량_하수교-슬래브수량" xfId="311" xr:uid="{00000000-0005-0000-0000-000037020000}"/>
    <cellStyle name="_국수교수량_성덕2교수량_구만교-슬래브수량_하수교-슬래브수량" xfId="312" xr:uid="{00000000-0005-0000-0000-000038020000}"/>
    <cellStyle name="_국수교수량_성덕2교수량_마연교-구조물수량_02석굴암교-상부(강재)_04-강재및도장수량" xfId="2455" xr:uid="{00000000-0005-0000-0000-000039020000}"/>
    <cellStyle name="_국수교수량_성덕2교수량_산정교-구조물수량_02석굴암교-상부(강재)_04-강재및도장수량" xfId="2456" xr:uid="{00000000-0005-0000-0000-00003A020000}"/>
    <cellStyle name="_국수교수량_성덕2교수량_산촌교-구조물수량_02석굴암교-상부(강재)_04-강재및도장수량" xfId="2457" xr:uid="{00000000-0005-0000-0000-00003B020000}"/>
    <cellStyle name="_국수교수량_성덕2교수량_새터교수량-철근수량참고_02석굴암교-상부(강재)_04-강재및도장수량" xfId="2458" xr:uid="{00000000-0005-0000-0000-00003C020000}"/>
    <cellStyle name="_국수교수량_성덕2교수량_신월교-구조물수량_02석굴암교-상부(강재)_04-강재및도장수량" xfId="2459" xr:uid="{00000000-0005-0000-0000-00003D020000}"/>
    <cellStyle name="_국수교수량_성덕2교수량_제2연육교-슬래브수량" xfId="313" xr:uid="{00000000-0005-0000-0000-00003E020000}"/>
    <cellStyle name="_국수교수량_성덕2교수량_천기3교-슬래브수량" xfId="314" xr:uid="{00000000-0005-0000-0000-00003F020000}"/>
    <cellStyle name="_국수교수량_성덕2교수량_초리1교-구조물수량_02석굴암교-상부(강재)_04-강재및도장수량" xfId="2460" xr:uid="{00000000-0005-0000-0000-000040020000}"/>
    <cellStyle name="_국수교수량_성덕2교수량_평화교-구조물수량_02석굴암교-상부(강재)_04-강재및도장수량" xfId="2461" xr:uid="{00000000-0005-0000-0000-000041020000}"/>
    <cellStyle name="_국수교수량_신월교-구조물수량_02석굴암교-상부(강재)_04-강재및도장수량" xfId="2462" xr:uid="{00000000-0005-0000-0000-000042020000}"/>
    <cellStyle name="_국수교수량_제2연육교-슬래브수량" xfId="315" xr:uid="{00000000-0005-0000-0000-000043020000}"/>
    <cellStyle name="_국수교수량_천기3교-슬래브수량" xfId="316" xr:uid="{00000000-0005-0000-0000-000044020000}"/>
    <cellStyle name="_국수교수량_초리1교-구조물수량_02석굴암교-상부(강재)_04-강재및도장수량" xfId="2463" xr:uid="{00000000-0005-0000-0000-000045020000}"/>
    <cellStyle name="_국수교수량_평화교-구조물수량_02석굴암교-상부(강재)_04-강재및도장수량" xfId="2464" xr:uid="{00000000-0005-0000-0000-000046020000}"/>
    <cellStyle name="_기흥1교 상부수량" xfId="2465" xr:uid="{00000000-0005-0000-0000-000047020000}"/>
    <cellStyle name="_내곡대교상부수량" xfId="2466" xr:uid="{00000000-0005-0000-0000-000048020000}"/>
    <cellStyle name="_노천1지구1공구" xfId="317" xr:uid="{00000000-0005-0000-0000-000049020000}"/>
    <cellStyle name="_노천1지구2공구" xfId="318" xr:uid="{00000000-0005-0000-0000-00004A020000}"/>
    <cellStyle name="_노천1지구2공구_사본 - 하마2교-수량" xfId="319" xr:uid="{00000000-0005-0000-0000-00004B020000}"/>
    <cellStyle name="_노천1지구2공구_하마1교-수량" xfId="320" xr:uid="{00000000-0005-0000-0000-00004C020000}"/>
    <cellStyle name="_노천1지구2공구_하마2교-수량" xfId="321" xr:uid="{00000000-0005-0000-0000-00004D020000}"/>
    <cellStyle name="_노천1지구2공구_하마읍3교대" xfId="322" xr:uid="{00000000-0005-0000-0000-00004E020000}"/>
    <cellStyle name="_노천1지구2공구_하마읍3교토공" xfId="323" xr:uid="{00000000-0005-0000-0000-00004F020000}"/>
    <cellStyle name="_노천3지구3공구" xfId="324" xr:uid="{00000000-0005-0000-0000-000050020000}"/>
    <cellStyle name="_대동교-일반수량" xfId="325" xr:uid="{00000000-0005-0000-0000-000051020000}"/>
    <cellStyle name="_덕거4(일반수량)" xfId="2467" xr:uid="{00000000-0005-0000-0000-000052020000}"/>
    <cellStyle name="_덕례교교량공총괄" xfId="326" xr:uid="{00000000-0005-0000-0000-000053020000}"/>
    <cellStyle name="_덕례교교량공총괄_구만교-슬래브수량" xfId="327" xr:uid="{00000000-0005-0000-0000-000054020000}"/>
    <cellStyle name="_덕례교교량공총괄_구만교-슬래브수량_구만교-슬래브수량" xfId="328" xr:uid="{00000000-0005-0000-0000-000055020000}"/>
    <cellStyle name="_덕례교교량공총괄_구만교-슬래브수량_구만교-슬래브수량_천기3교-슬래브수량" xfId="329" xr:uid="{00000000-0005-0000-0000-000056020000}"/>
    <cellStyle name="_덕례교교량공총괄_구만교-슬래브수량_구만교-슬래브수량_하수교-슬래브수량" xfId="330" xr:uid="{00000000-0005-0000-0000-000057020000}"/>
    <cellStyle name="_덕례교교량공총괄_구만교-슬래브수량_하수교-슬래브수량" xfId="331" xr:uid="{00000000-0005-0000-0000-000058020000}"/>
    <cellStyle name="_덕례교교량공총괄_제2연육교-슬래브수량" xfId="332" xr:uid="{00000000-0005-0000-0000-000059020000}"/>
    <cellStyle name="_덕례교교량공총괄_천기3교-슬래브수량" xfId="333" xr:uid="{00000000-0005-0000-0000-00005A020000}"/>
    <cellStyle name="_덕천교상부교량공사" xfId="334" xr:uid="{00000000-0005-0000-0000-00005B020000}"/>
    <cellStyle name="_덕천교상부교량공사_구만교-슬래브수량" xfId="335" xr:uid="{00000000-0005-0000-0000-00005C020000}"/>
    <cellStyle name="_덕천교상부교량공사_구만교-슬래브수량_구만교-슬래브수량" xfId="336" xr:uid="{00000000-0005-0000-0000-00005D020000}"/>
    <cellStyle name="_덕천교상부교량공사_구만교-슬래브수량_구만교-슬래브수량_천기3교-슬래브수량" xfId="337" xr:uid="{00000000-0005-0000-0000-00005E020000}"/>
    <cellStyle name="_덕천교상부교량공사_구만교-슬래브수량_구만교-슬래브수량_하수교-슬래브수량" xfId="338" xr:uid="{00000000-0005-0000-0000-00005F020000}"/>
    <cellStyle name="_덕천교상부교량공사_구만교-슬래브수량_하수교-슬래브수량" xfId="339" xr:uid="{00000000-0005-0000-0000-000060020000}"/>
    <cellStyle name="_덕천교상부교량공사_제2연육교-슬래브수량" xfId="340" xr:uid="{00000000-0005-0000-0000-000061020000}"/>
    <cellStyle name="_덕천교상부교량공사_천기3교-슬래브수량" xfId="341" xr:uid="{00000000-0005-0000-0000-000062020000}"/>
    <cellStyle name="_도곡1교 교대 수량" xfId="342" xr:uid="{00000000-0005-0000-0000-000063020000}"/>
    <cellStyle name="_도곡1교 교대 수량_사본 - 하마2교-수량" xfId="343" xr:uid="{00000000-0005-0000-0000-000064020000}"/>
    <cellStyle name="_도곡1교 교대 수량_하마1교-수량" xfId="344" xr:uid="{00000000-0005-0000-0000-000065020000}"/>
    <cellStyle name="_도곡1교 교대 수량_하마2교-수량" xfId="345" xr:uid="{00000000-0005-0000-0000-000066020000}"/>
    <cellStyle name="_도곡1교 교대 수량_하마읍3교대" xfId="346" xr:uid="{00000000-0005-0000-0000-000067020000}"/>
    <cellStyle name="_도곡1교 교대 수량_하마읍3교토공" xfId="347" xr:uid="{00000000-0005-0000-0000-000068020000}"/>
    <cellStyle name="_도곡1교 교대(시점) 수량" xfId="348" xr:uid="{00000000-0005-0000-0000-000069020000}"/>
    <cellStyle name="_도곡1교 교대(시점) 수량_사본 - 하마2교-수량" xfId="349" xr:uid="{00000000-0005-0000-0000-00006A020000}"/>
    <cellStyle name="_도곡1교 교대(시점) 수량_하마1교-수량" xfId="350" xr:uid="{00000000-0005-0000-0000-00006B020000}"/>
    <cellStyle name="_도곡1교 교대(시점) 수량_하마2교-수량" xfId="351" xr:uid="{00000000-0005-0000-0000-00006C020000}"/>
    <cellStyle name="_도곡1교 교대(시점) 수량_하마읍3교대" xfId="352" xr:uid="{00000000-0005-0000-0000-00006D020000}"/>
    <cellStyle name="_도곡1교 교대(시점) 수량_하마읍3교토공" xfId="353" xr:uid="{00000000-0005-0000-0000-00006E020000}"/>
    <cellStyle name="_도곡1교 하부공 수량" xfId="354" xr:uid="{00000000-0005-0000-0000-00006F020000}"/>
    <cellStyle name="_도곡1교 하부공 수량_사본 - 하마2교-수량" xfId="355" xr:uid="{00000000-0005-0000-0000-000070020000}"/>
    <cellStyle name="_도곡1교 하부공 수량_하마1교-수량" xfId="356" xr:uid="{00000000-0005-0000-0000-000071020000}"/>
    <cellStyle name="_도곡1교 하부공 수량_하마2교-수량" xfId="357" xr:uid="{00000000-0005-0000-0000-000072020000}"/>
    <cellStyle name="_도곡1교 하부공 수량_하마읍3교대" xfId="358" xr:uid="{00000000-0005-0000-0000-000073020000}"/>
    <cellStyle name="_도곡1교 하부공 수량_하마읍3교토공" xfId="359" xr:uid="{00000000-0005-0000-0000-000074020000}"/>
    <cellStyle name="_도곡2교 교대 수량" xfId="360" xr:uid="{00000000-0005-0000-0000-000075020000}"/>
    <cellStyle name="_도곡2교 교대 수량_사본 - 하마2교-수량" xfId="361" xr:uid="{00000000-0005-0000-0000-000076020000}"/>
    <cellStyle name="_도곡2교 교대 수량_하마1교-수량" xfId="362" xr:uid="{00000000-0005-0000-0000-000077020000}"/>
    <cellStyle name="_도곡2교 교대 수량_하마2교-수량" xfId="363" xr:uid="{00000000-0005-0000-0000-000078020000}"/>
    <cellStyle name="_도곡2교 교대 수량_하마읍3교대" xfId="364" xr:uid="{00000000-0005-0000-0000-000079020000}"/>
    <cellStyle name="_도곡2교 교대 수량_하마읍3교토공" xfId="365" xr:uid="{00000000-0005-0000-0000-00007A020000}"/>
    <cellStyle name="_도곡2교 교대(종점) 수량" xfId="366" xr:uid="{00000000-0005-0000-0000-00007B020000}"/>
    <cellStyle name="_도곡2교 교대(종점) 수량_사본 - 하마2교-수량" xfId="367" xr:uid="{00000000-0005-0000-0000-00007C020000}"/>
    <cellStyle name="_도곡2교 교대(종점) 수량_하마1교-수량" xfId="368" xr:uid="{00000000-0005-0000-0000-00007D020000}"/>
    <cellStyle name="_도곡2교 교대(종점) 수량_하마2교-수량" xfId="369" xr:uid="{00000000-0005-0000-0000-00007E020000}"/>
    <cellStyle name="_도곡2교 교대(종점) 수량_하마읍3교대" xfId="370" xr:uid="{00000000-0005-0000-0000-00007F020000}"/>
    <cellStyle name="_도곡2교 교대(종점) 수량_하마읍3교토공" xfId="371" xr:uid="{00000000-0005-0000-0000-000080020000}"/>
    <cellStyle name="_도곡3교 교대 수량" xfId="372" xr:uid="{00000000-0005-0000-0000-000081020000}"/>
    <cellStyle name="_도곡3교 교대 수량_사본 - 하마2교-수량" xfId="373" xr:uid="{00000000-0005-0000-0000-000082020000}"/>
    <cellStyle name="_도곡3교 교대 수량_하마1교-수량" xfId="374" xr:uid="{00000000-0005-0000-0000-000083020000}"/>
    <cellStyle name="_도곡3교 교대 수량_하마2교-수량" xfId="375" xr:uid="{00000000-0005-0000-0000-000084020000}"/>
    <cellStyle name="_도곡3교 교대 수량_하마읍3교대" xfId="376" xr:uid="{00000000-0005-0000-0000-000085020000}"/>
    <cellStyle name="_도곡3교 교대 수량_하마읍3교토공" xfId="377" xr:uid="{00000000-0005-0000-0000-000086020000}"/>
    <cellStyle name="_도곡4교 하부공 수량" xfId="378" xr:uid="{00000000-0005-0000-0000-000087020000}"/>
    <cellStyle name="_도곡4교 하부공 수량_사본 - 하마2교-수량" xfId="379" xr:uid="{00000000-0005-0000-0000-000088020000}"/>
    <cellStyle name="_도곡4교 하부공 수량_하마1교-수량" xfId="380" xr:uid="{00000000-0005-0000-0000-000089020000}"/>
    <cellStyle name="_도곡4교 하부공 수량_하마2교-수량" xfId="381" xr:uid="{00000000-0005-0000-0000-00008A020000}"/>
    <cellStyle name="_도곡4교 하부공 수량_하마읍3교대" xfId="382" xr:uid="{00000000-0005-0000-0000-00008B020000}"/>
    <cellStyle name="_도곡4교 하부공 수량_하마읍3교토공" xfId="383" xr:uid="{00000000-0005-0000-0000-00008C020000}"/>
    <cellStyle name="_도곡교 교대 수량" xfId="384" xr:uid="{00000000-0005-0000-0000-00008D020000}"/>
    <cellStyle name="_도곡교 교대 수량_사본 - 하마2교-수량" xfId="385" xr:uid="{00000000-0005-0000-0000-00008E020000}"/>
    <cellStyle name="_도곡교 교대 수량_하마1교-수량" xfId="386" xr:uid="{00000000-0005-0000-0000-00008F020000}"/>
    <cellStyle name="_도곡교 교대 수량_하마2교-수량" xfId="387" xr:uid="{00000000-0005-0000-0000-000090020000}"/>
    <cellStyle name="_도곡교 교대 수량_하마읍3교대" xfId="388" xr:uid="{00000000-0005-0000-0000-000091020000}"/>
    <cellStyle name="_도곡교 교대 수량_하마읍3교토공" xfId="389" xr:uid="{00000000-0005-0000-0000-000092020000}"/>
    <cellStyle name="_동탄수원공통공수량집계표" xfId="390" xr:uid="{00000000-0005-0000-0000-000093020000}"/>
    <cellStyle name="_동탄수원공통공수량집계표_01기산교총괄집계표" xfId="391" xr:uid="{00000000-0005-0000-0000-000094020000}"/>
    <cellStyle name="_동탄수원공통공수량집계표_01기산교총괄집계표_03반정1육교총괄집계표" xfId="392" xr:uid="{00000000-0005-0000-0000-000095020000}"/>
    <cellStyle name="_동탄수원공통공수량집계표_01기산교총괄집계표_03반정1육교총괄집계표_0923-지하차도총괄수량집계" xfId="393" xr:uid="{00000000-0005-0000-0000-000096020000}"/>
    <cellStyle name="_동탄수원공통공수량집계표_01기산교총괄집계표_03반정1육교총괄집계표_경사로1-상하부총괄수량" xfId="394" xr:uid="{00000000-0005-0000-0000-000097020000}"/>
    <cellStyle name="_동탄수원공통공수량집계표_01기산교총괄집계표_03반정1육교총괄집계표_보도육교2-경사로1-교각일반수량" xfId="395" xr:uid="{00000000-0005-0000-0000-000098020000}"/>
    <cellStyle name="_동탄수원공통공수량집계표_01기산교총괄집계표_03반정1육교총괄집계표_보도육교2-경사로-교각일반수량" xfId="396" xr:uid="{00000000-0005-0000-0000-000099020000}"/>
    <cellStyle name="_동탄수원공통공수량집계표_01기산교총괄집계표_03반정1육교총괄집계표_보도육교2-교각일반수량" xfId="397" xr:uid="{00000000-0005-0000-0000-00009A020000}"/>
    <cellStyle name="_동탄수원공통공수량집계표_01기산교총괄집계표_03반정1육교총괄집계표_보도육교2-본체-교각일반수량" xfId="398" xr:uid="{00000000-0005-0000-0000-00009B020000}"/>
    <cellStyle name="_동탄수원공통공수량집계표_01기산교총괄집계표_03반정1육교총괄집계표_보도육교2상부수량" xfId="399" xr:uid="{00000000-0005-0000-0000-00009C020000}"/>
    <cellStyle name="_동탄수원공통공수량집계표_01기산교총괄집계표_03반정1육교총괄집계표_보도육교2-상하부총괄수량" xfId="400" xr:uid="{00000000-0005-0000-0000-00009D020000}"/>
    <cellStyle name="_동탄수원공통공수량집계표_01기산교총괄집계표_03반정1육교총괄집계표_보도육교2-하부총괄수량" xfId="401" xr:uid="{00000000-0005-0000-0000-00009E020000}"/>
    <cellStyle name="_동탄수원공통공수량집계표_01기산교총괄집계표_03반정1육교총괄집계표_장재1-교대-교각 총괄토공" xfId="402" xr:uid="{00000000-0005-0000-0000-00009F020000}"/>
    <cellStyle name="_동탄수원공통공수량집계표_01기산교총괄집계표_07_01곡반정육교총괄집계표" xfId="403" xr:uid="{00000000-0005-0000-0000-0000A0020000}"/>
    <cellStyle name="_동탄수원공통공수량집계표_01기산교총괄집계표_07_01곡반정육교총괄집계표_0923-지하차도총괄수량집계" xfId="404" xr:uid="{00000000-0005-0000-0000-0000A1020000}"/>
    <cellStyle name="_동탄수원공통공수량집계표_01기산교총괄집계표_07_01곡반정육교총괄집계표_경사로1-상하부총괄수량" xfId="405" xr:uid="{00000000-0005-0000-0000-0000A2020000}"/>
    <cellStyle name="_동탄수원공통공수량집계표_01기산교총괄집계표_07_01곡반정육교총괄집계표_보도육교2-경사로1-교각일반수량" xfId="406" xr:uid="{00000000-0005-0000-0000-0000A3020000}"/>
    <cellStyle name="_동탄수원공통공수량집계표_01기산교총괄집계표_07_01곡반정육교총괄집계표_보도육교2-경사로-교각일반수량" xfId="407" xr:uid="{00000000-0005-0000-0000-0000A4020000}"/>
    <cellStyle name="_동탄수원공통공수량집계표_01기산교총괄집계표_07_01곡반정육교총괄집계표_보도육교2-교각일반수량" xfId="408" xr:uid="{00000000-0005-0000-0000-0000A5020000}"/>
    <cellStyle name="_동탄수원공통공수량집계표_01기산교총괄집계표_07_01곡반정육교총괄집계표_보도육교2-본체-교각일반수량" xfId="409" xr:uid="{00000000-0005-0000-0000-0000A6020000}"/>
    <cellStyle name="_동탄수원공통공수량집계표_01기산교총괄집계표_07_01곡반정육교총괄집계표_보도육교2상부수량" xfId="410" xr:uid="{00000000-0005-0000-0000-0000A7020000}"/>
    <cellStyle name="_동탄수원공통공수량집계표_01기산교총괄집계표_07_01곡반정육교총괄집계표_보도육교2-상하부총괄수량" xfId="411" xr:uid="{00000000-0005-0000-0000-0000A8020000}"/>
    <cellStyle name="_동탄수원공통공수량집계표_01기산교총괄집계표_07_01곡반정육교총괄집계표_보도육교2-하부총괄수량" xfId="412" xr:uid="{00000000-0005-0000-0000-0000A9020000}"/>
    <cellStyle name="_동탄수원공통공수량집계표_01기산교총괄집계표_07_01곡반정육교총괄집계표_장재1-교대-교각 총괄토공" xfId="413" xr:uid="{00000000-0005-0000-0000-0000AA020000}"/>
    <cellStyle name="_동탄수원공통공수량집계표_01기산교총괄집계표_0923-지하차도총괄수량집계" xfId="414" xr:uid="{00000000-0005-0000-0000-0000AB020000}"/>
    <cellStyle name="_동탄수원공통공수량집계표_01기산교총괄집계표_경사로1-상하부총괄수량" xfId="415" xr:uid="{00000000-0005-0000-0000-0000AC020000}"/>
    <cellStyle name="_동탄수원공통공수량집계표_01기산교총괄집계표_보도육교2-경사로1-교각일반수량" xfId="416" xr:uid="{00000000-0005-0000-0000-0000AD020000}"/>
    <cellStyle name="_동탄수원공통공수량집계표_01기산교총괄집계표_보도육교2-경사로-교각일반수량" xfId="417" xr:uid="{00000000-0005-0000-0000-0000AE020000}"/>
    <cellStyle name="_동탄수원공통공수량집계표_01기산교총괄집계표_보도육교2-교각일반수량" xfId="418" xr:uid="{00000000-0005-0000-0000-0000AF020000}"/>
    <cellStyle name="_동탄수원공통공수량집계표_01기산교총괄집계표_보도육교2-본체-교각일반수량" xfId="419" xr:uid="{00000000-0005-0000-0000-0000B0020000}"/>
    <cellStyle name="_동탄수원공통공수량집계표_01기산교총괄집계표_보도육교2상부수량" xfId="420" xr:uid="{00000000-0005-0000-0000-0000B1020000}"/>
    <cellStyle name="_동탄수원공통공수량집계표_01기산교총괄집계표_보도육교2-상하부총괄수량" xfId="421" xr:uid="{00000000-0005-0000-0000-0000B2020000}"/>
    <cellStyle name="_동탄수원공통공수량집계표_01기산교총괄집계표_보도육교2-하부총괄수량" xfId="422" xr:uid="{00000000-0005-0000-0000-0000B3020000}"/>
    <cellStyle name="_동탄수원공통공수량집계표_01기산교총괄집계표_장재1-교대-교각 총괄토공" xfId="423" xr:uid="{00000000-0005-0000-0000-0000B4020000}"/>
    <cellStyle name="_동탄수원공통공수량집계표_02한반천교총괄집계표" xfId="424" xr:uid="{00000000-0005-0000-0000-0000B5020000}"/>
    <cellStyle name="_동탄수원공통공수량집계표_02한반천교총괄집계표_03반정1육교총괄집계표" xfId="425" xr:uid="{00000000-0005-0000-0000-0000B6020000}"/>
    <cellStyle name="_동탄수원공통공수량집계표_02한반천교총괄집계표_03반정1육교총괄집계표_0923-지하차도총괄수량집계" xfId="426" xr:uid="{00000000-0005-0000-0000-0000B7020000}"/>
    <cellStyle name="_동탄수원공통공수량집계표_02한반천교총괄집계표_03반정1육교총괄집계표_경사로1-상하부총괄수량" xfId="427" xr:uid="{00000000-0005-0000-0000-0000B8020000}"/>
    <cellStyle name="_동탄수원공통공수량집계표_02한반천교총괄집계표_03반정1육교총괄집계표_보도육교2-경사로1-교각일반수량" xfId="428" xr:uid="{00000000-0005-0000-0000-0000B9020000}"/>
    <cellStyle name="_동탄수원공통공수량집계표_02한반천교총괄집계표_03반정1육교총괄집계표_보도육교2-경사로-교각일반수량" xfId="429" xr:uid="{00000000-0005-0000-0000-0000BA020000}"/>
    <cellStyle name="_동탄수원공통공수량집계표_02한반천교총괄집계표_03반정1육교총괄집계표_보도육교2-교각일반수량" xfId="430" xr:uid="{00000000-0005-0000-0000-0000BB020000}"/>
    <cellStyle name="_동탄수원공통공수량집계표_02한반천교총괄집계표_03반정1육교총괄집계표_보도육교2-본체-교각일반수량" xfId="431" xr:uid="{00000000-0005-0000-0000-0000BC020000}"/>
    <cellStyle name="_동탄수원공통공수량집계표_02한반천교총괄집계표_03반정1육교총괄집계표_보도육교2상부수량" xfId="432" xr:uid="{00000000-0005-0000-0000-0000BD020000}"/>
    <cellStyle name="_동탄수원공통공수량집계표_02한반천교총괄집계표_03반정1육교총괄집계표_보도육교2-상하부총괄수량" xfId="433" xr:uid="{00000000-0005-0000-0000-0000BE020000}"/>
    <cellStyle name="_동탄수원공통공수량집계표_02한반천교총괄집계표_03반정1육교총괄집계표_보도육교2-하부총괄수량" xfId="434" xr:uid="{00000000-0005-0000-0000-0000BF020000}"/>
    <cellStyle name="_동탄수원공통공수량집계표_02한반천교총괄집계표_03반정1육교총괄집계표_장재1-교대-교각 총괄토공" xfId="435" xr:uid="{00000000-0005-0000-0000-0000C0020000}"/>
    <cellStyle name="_동탄수원공통공수량집계표_02한반천교총괄집계표_07_01곡반정육교총괄집계표" xfId="436" xr:uid="{00000000-0005-0000-0000-0000C1020000}"/>
    <cellStyle name="_동탄수원공통공수량집계표_02한반천교총괄집계표_07_01곡반정육교총괄집계표_0923-지하차도총괄수량집계" xfId="437" xr:uid="{00000000-0005-0000-0000-0000C2020000}"/>
    <cellStyle name="_동탄수원공통공수량집계표_02한반천교총괄집계표_07_01곡반정육교총괄집계표_경사로1-상하부총괄수량" xfId="438" xr:uid="{00000000-0005-0000-0000-0000C3020000}"/>
    <cellStyle name="_동탄수원공통공수량집계표_02한반천교총괄집계표_07_01곡반정육교총괄집계표_보도육교2-경사로1-교각일반수량" xfId="439" xr:uid="{00000000-0005-0000-0000-0000C4020000}"/>
    <cellStyle name="_동탄수원공통공수량집계표_02한반천교총괄집계표_07_01곡반정육교총괄집계표_보도육교2-경사로-교각일반수량" xfId="440" xr:uid="{00000000-0005-0000-0000-0000C5020000}"/>
    <cellStyle name="_동탄수원공통공수량집계표_02한반천교총괄집계표_07_01곡반정육교총괄집계표_보도육교2-교각일반수량" xfId="441" xr:uid="{00000000-0005-0000-0000-0000C6020000}"/>
    <cellStyle name="_동탄수원공통공수량집계표_02한반천교총괄집계표_07_01곡반정육교총괄집계표_보도육교2-본체-교각일반수량" xfId="442" xr:uid="{00000000-0005-0000-0000-0000C7020000}"/>
    <cellStyle name="_동탄수원공통공수량집계표_02한반천교총괄집계표_07_01곡반정육교총괄집계표_보도육교2상부수량" xfId="443" xr:uid="{00000000-0005-0000-0000-0000C8020000}"/>
    <cellStyle name="_동탄수원공통공수량집계표_02한반천교총괄집계표_07_01곡반정육교총괄집계표_보도육교2-상하부총괄수량" xfId="444" xr:uid="{00000000-0005-0000-0000-0000C9020000}"/>
    <cellStyle name="_동탄수원공통공수량집계표_02한반천교총괄집계표_07_01곡반정육교총괄집계표_보도육교2-하부총괄수량" xfId="445" xr:uid="{00000000-0005-0000-0000-0000CA020000}"/>
    <cellStyle name="_동탄수원공통공수량집계표_02한반천교총괄집계표_07_01곡반정육교총괄집계표_장재1-교대-교각 총괄토공" xfId="446" xr:uid="{00000000-0005-0000-0000-0000CB020000}"/>
    <cellStyle name="_동탄수원공통공수량집계표_02한반천교총괄집계표_0923-지하차도총괄수량집계" xfId="447" xr:uid="{00000000-0005-0000-0000-0000CC020000}"/>
    <cellStyle name="_동탄수원공통공수량집계표_02한반천교총괄집계표_경사로1-상하부총괄수량" xfId="448" xr:uid="{00000000-0005-0000-0000-0000CD020000}"/>
    <cellStyle name="_동탄수원공통공수량집계표_02한반천교총괄집계표_보도육교2-경사로1-교각일반수량" xfId="449" xr:uid="{00000000-0005-0000-0000-0000CE020000}"/>
    <cellStyle name="_동탄수원공통공수량집계표_02한반천교총괄집계표_보도육교2-경사로-교각일반수량" xfId="450" xr:uid="{00000000-0005-0000-0000-0000CF020000}"/>
    <cellStyle name="_동탄수원공통공수량집계표_02한반천교총괄집계표_보도육교2-교각일반수량" xfId="451" xr:uid="{00000000-0005-0000-0000-0000D0020000}"/>
    <cellStyle name="_동탄수원공통공수량집계표_02한반천교총괄집계표_보도육교2-본체-교각일반수량" xfId="452" xr:uid="{00000000-0005-0000-0000-0000D1020000}"/>
    <cellStyle name="_동탄수원공통공수량집계표_02한반천교총괄집계표_보도육교2상부수량" xfId="453" xr:uid="{00000000-0005-0000-0000-0000D2020000}"/>
    <cellStyle name="_동탄수원공통공수량집계표_02한반천교총괄집계표_보도육교2-상하부총괄수량" xfId="454" xr:uid="{00000000-0005-0000-0000-0000D3020000}"/>
    <cellStyle name="_동탄수원공통공수량집계표_02한반천교총괄집계표_보도육교2-하부총괄수량" xfId="455" xr:uid="{00000000-0005-0000-0000-0000D4020000}"/>
    <cellStyle name="_동탄수원공통공수량집계표_02한반천교총괄집계표_장재1-교대-교각 총괄토공" xfId="456" xr:uid="{00000000-0005-0000-0000-0000D5020000}"/>
    <cellStyle name="_동탄수원공통공수량집계표_03반정1육교총괄집계표" xfId="457" xr:uid="{00000000-0005-0000-0000-0000D6020000}"/>
    <cellStyle name="_동탄수원공통공수량집계표_03반정1육교총괄집계표_07_01곡반정육교총괄집계표" xfId="458" xr:uid="{00000000-0005-0000-0000-0000D7020000}"/>
    <cellStyle name="_동탄수원공통공수량집계표_03반정1육교총괄집계표_07_01곡반정육교총괄집계표_0923-지하차도총괄수량집계" xfId="459" xr:uid="{00000000-0005-0000-0000-0000D8020000}"/>
    <cellStyle name="_동탄수원공통공수량집계표_03반정1육교총괄집계표_07_01곡반정육교총괄집계표_경사로1-상하부총괄수량" xfId="460" xr:uid="{00000000-0005-0000-0000-0000D9020000}"/>
    <cellStyle name="_동탄수원공통공수량집계표_03반정1육교총괄집계표_07_01곡반정육교총괄집계표_보도육교2-경사로1-교각일반수량" xfId="461" xr:uid="{00000000-0005-0000-0000-0000DA020000}"/>
    <cellStyle name="_동탄수원공통공수량집계표_03반정1육교총괄집계표_07_01곡반정육교총괄집계표_보도육교2-경사로-교각일반수량" xfId="462" xr:uid="{00000000-0005-0000-0000-0000DB020000}"/>
    <cellStyle name="_동탄수원공통공수량집계표_03반정1육교총괄집계표_07_01곡반정육교총괄집계표_보도육교2-교각일반수량" xfId="463" xr:uid="{00000000-0005-0000-0000-0000DC020000}"/>
    <cellStyle name="_동탄수원공통공수량집계표_03반정1육교총괄집계표_07_01곡반정육교총괄집계표_보도육교2-본체-교각일반수량" xfId="464" xr:uid="{00000000-0005-0000-0000-0000DD020000}"/>
    <cellStyle name="_동탄수원공통공수량집계표_03반정1육교총괄집계표_07_01곡반정육교총괄집계표_보도육교2상부수량" xfId="465" xr:uid="{00000000-0005-0000-0000-0000DE020000}"/>
    <cellStyle name="_동탄수원공통공수량집계표_03반정1육교총괄집계표_07_01곡반정육교총괄집계표_보도육교2-상하부총괄수량" xfId="466" xr:uid="{00000000-0005-0000-0000-0000DF020000}"/>
    <cellStyle name="_동탄수원공통공수량집계표_03반정1육교총괄집계표_07_01곡반정육교총괄집계표_보도육교2-하부총괄수량" xfId="467" xr:uid="{00000000-0005-0000-0000-0000E0020000}"/>
    <cellStyle name="_동탄수원공통공수량집계표_03반정1육교총괄집계표_07_01곡반정육교총괄집계표_장재1-교대-교각 총괄토공" xfId="468" xr:uid="{00000000-0005-0000-0000-0000E1020000}"/>
    <cellStyle name="_동탄수원공통공수량집계표_03반정1육교총괄집계표_0923-지하차도총괄수량집계" xfId="469" xr:uid="{00000000-0005-0000-0000-0000E2020000}"/>
    <cellStyle name="_동탄수원공통공수량집계표_03반정1육교총괄집계표_경사로1-상하부총괄수량" xfId="470" xr:uid="{00000000-0005-0000-0000-0000E3020000}"/>
    <cellStyle name="_동탄수원공통공수량집계표_03반정1육교총괄집계표_보도육교2-경사로1-교각일반수량" xfId="471" xr:uid="{00000000-0005-0000-0000-0000E4020000}"/>
    <cellStyle name="_동탄수원공통공수량집계표_03반정1육교총괄집계표_보도육교2-경사로-교각일반수량" xfId="472" xr:uid="{00000000-0005-0000-0000-0000E5020000}"/>
    <cellStyle name="_동탄수원공통공수량집계표_03반정1육교총괄집계표_보도육교2-교각일반수량" xfId="473" xr:uid="{00000000-0005-0000-0000-0000E6020000}"/>
    <cellStyle name="_동탄수원공통공수량집계표_03반정1육교총괄집계표_보도육교2-본체-교각일반수량" xfId="474" xr:uid="{00000000-0005-0000-0000-0000E7020000}"/>
    <cellStyle name="_동탄수원공통공수량집계표_03반정1육교총괄집계표_보도육교2상부수량" xfId="475" xr:uid="{00000000-0005-0000-0000-0000E8020000}"/>
    <cellStyle name="_동탄수원공통공수량집계표_03반정1육교총괄집계표_보도육교2-상하부총괄수량" xfId="476" xr:uid="{00000000-0005-0000-0000-0000E9020000}"/>
    <cellStyle name="_동탄수원공통공수량집계표_03반정1육교총괄집계표_보도육교2-하부총괄수량" xfId="477" xr:uid="{00000000-0005-0000-0000-0000EA020000}"/>
    <cellStyle name="_동탄수원공통공수량집계표_03반정1육교총괄집계표_장재1-교대-교각 총괄토공" xfId="478" xr:uid="{00000000-0005-0000-0000-0000EB020000}"/>
    <cellStyle name="_동탄수원공통공수량집계표_05반정3육교총괄집계표" xfId="479" xr:uid="{00000000-0005-0000-0000-0000EC020000}"/>
    <cellStyle name="_동탄수원공통공수량집계표_05반정3육교총괄집계표_07_01곡반정육교총괄집계표" xfId="480" xr:uid="{00000000-0005-0000-0000-0000ED020000}"/>
    <cellStyle name="_동탄수원공통공수량집계표_05반정3육교총괄집계표_07_01곡반정육교총괄집계표_0923-지하차도총괄수량집계" xfId="481" xr:uid="{00000000-0005-0000-0000-0000EE020000}"/>
    <cellStyle name="_동탄수원공통공수량집계표_05반정3육교총괄집계표_07_01곡반정육교총괄집계표_경사로1-상하부총괄수량" xfId="482" xr:uid="{00000000-0005-0000-0000-0000EF020000}"/>
    <cellStyle name="_동탄수원공통공수량집계표_05반정3육교총괄집계표_07_01곡반정육교총괄집계표_보도육교2-경사로1-교각일반수량" xfId="483" xr:uid="{00000000-0005-0000-0000-0000F0020000}"/>
    <cellStyle name="_동탄수원공통공수량집계표_05반정3육교총괄집계표_07_01곡반정육교총괄집계표_보도육교2-경사로-교각일반수량" xfId="484" xr:uid="{00000000-0005-0000-0000-0000F1020000}"/>
    <cellStyle name="_동탄수원공통공수량집계표_05반정3육교총괄집계표_07_01곡반정육교총괄집계표_보도육교2-교각일반수량" xfId="485" xr:uid="{00000000-0005-0000-0000-0000F2020000}"/>
    <cellStyle name="_동탄수원공통공수량집계표_05반정3육교총괄집계표_07_01곡반정육교총괄집계표_보도육교2-본체-교각일반수량" xfId="486" xr:uid="{00000000-0005-0000-0000-0000F3020000}"/>
    <cellStyle name="_동탄수원공통공수량집계표_05반정3육교총괄집계표_07_01곡반정육교총괄집계표_보도육교2상부수량" xfId="487" xr:uid="{00000000-0005-0000-0000-0000F4020000}"/>
    <cellStyle name="_동탄수원공통공수량집계표_05반정3육교총괄집계표_07_01곡반정육교총괄집계표_보도육교2-상하부총괄수량" xfId="488" xr:uid="{00000000-0005-0000-0000-0000F5020000}"/>
    <cellStyle name="_동탄수원공통공수량집계표_05반정3육교총괄집계표_07_01곡반정육교총괄집계표_보도육교2-하부총괄수량" xfId="489" xr:uid="{00000000-0005-0000-0000-0000F6020000}"/>
    <cellStyle name="_동탄수원공통공수량집계표_05반정3육교총괄집계표_07_01곡반정육교총괄집계표_장재1-교대-교각 총괄토공" xfId="490" xr:uid="{00000000-0005-0000-0000-0000F7020000}"/>
    <cellStyle name="_동탄수원공통공수량집계표_05반정3육교총괄집계표_0923-지하차도총괄수량집계" xfId="491" xr:uid="{00000000-0005-0000-0000-0000F8020000}"/>
    <cellStyle name="_동탄수원공통공수량집계표_05반정3육교총괄집계표_경사로1-상하부총괄수량" xfId="492" xr:uid="{00000000-0005-0000-0000-0000F9020000}"/>
    <cellStyle name="_동탄수원공통공수량집계표_05반정3육교총괄집계표_보도육교2-경사로1-교각일반수량" xfId="493" xr:uid="{00000000-0005-0000-0000-0000FA020000}"/>
    <cellStyle name="_동탄수원공통공수량집계표_05반정3육교총괄집계표_보도육교2-경사로-교각일반수량" xfId="494" xr:uid="{00000000-0005-0000-0000-0000FB020000}"/>
    <cellStyle name="_동탄수원공통공수량집계표_05반정3육교총괄집계표_보도육교2-교각일반수량" xfId="495" xr:uid="{00000000-0005-0000-0000-0000FC020000}"/>
    <cellStyle name="_동탄수원공통공수량집계표_05반정3육교총괄집계표_보도육교2-본체-교각일반수량" xfId="496" xr:uid="{00000000-0005-0000-0000-0000FD020000}"/>
    <cellStyle name="_동탄수원공통공수량집계표_05반정3육교총괄집계표_보도육교2상부수량" xfId="497" xr:uid="{00000000-0005-0000-0000-0000FE020000}"/>
    <cellStyle name="_동탄수원공통공수량집계표_05반정3육교총괄집계표_보도육교2-상하부총괄수량" xfId="498" xr:uid="{00000000-0005-0000-0000-0000FF020000}"/>
    <cellStyle name="_동탄수원공통공수량집계표_05반정3육교총괄집계표_보도육교2-하부총괄수량" xfId="499" xr:uid="{00000000-0005-0000-0000-000000030000}"/>
    <cellStyle name="_동탄수원공통공수량집계표_05반정3육교총괄집계표_장재1-교대-교각 총괄토공" xfId="500" xr:uid="{00000000-0005-0000-0000-000001030000}"/>
    <cellStyle name="_동탄수원공통공수량집계표_06원천리천교총괄집계표" xfId="501" xr:uid="{00000000-0005-0000-0000-000002030000}"/>
    <cellStyle name="_동탄수원공통공수량집계표_06원천리천교총괄집계표_07_01곡반정육교총괄집계표" xfId="502" xr:uid="{00000000-0005-0000-0000-000003030000}"/>
    <cellStyle name="_동탄수원공통공수량집계표_06원천리천교총괄집계표_07_01곡반정육교총괄집계표_0923-지하차도총괄수량집계" xfId="503" xr:uid="{00000000-0005-0000-0000-000004030000}"/>
    <cellStyle name="_동탄수원공통공수량집계표_06원천리천교총괄집계표_07_01곡반정육교총괄집계표_경사로1-상하부총괄수량" xfId="504" xr:uid="{00000000-0005-0000-0000-000005030000}"/>
    <cellStyle name="_동탄수원공통공수량집계표_06원천리천교총괄집계표_07_01곡반정육교총괄집계표_보도육교2-경사로1-교각일반수량" xfId="505" xr:uid="{00000000-0005-0000-0000-000006030000}"/>
    <cellStyle name="_동탄수원공통공수량집계표_06원천리천교총괄집계표_07_01곡반정육교총괄집계표_보도육교2-경사로-교각일반수량" xfId="506" xr:uid="{00000000-0005-0000-0000-000007030000}"/>
    <cellStyle name="_동탄수원공통공수량집계표_06원천리천교총괄집계표_07_01곡반정육교총괄집계표_보도육교2-교각일반수량" xfId="507" xr:uid="{00000000-0005-0000-0000-000008030000}"/>
    <cellStyle name="_동탄수원공통공수량집계표_06원천리천교총괄집계표_07_01곡반정육교총괄집계표_보도육교2-본체-교각일반수량" xfId="508" xr:uid="{00000000-0005-0000-0000-000009030000}"/>
    <cellStyle name="_동탄수원공통공수량집계표_06원천리천교총괄집계표_07_01곡반정육교총괄집계표_보도육교2상부수량" xfId="509" xr:uid="{00000000-0005-0000-0000-00000A030000}"/>
    <cellStyle name="_동탄수원공통공수량집계표_06원천리천교총괄집계표_07_01곡반정육교총괄집계표_보도육교2-상하부총괄수량" xfId="510" xr:uid="{00000000-0005-0000-0000-00000B030000}"/>
    <cellStyle name="_동탄수원공통공수량집계표_06원천리천교총괄집계표_07_01곡반정육교총괄집계표_보도육교2-하부총괄수량" xfId="511" xr:uid="{00000000-0005-0000-0000-00000C030000}"/>
    <cellStyle name="_동탄수원공통공수량집계표_06원천리천교총괄집계표_07_01곡반정육교총괄집계표_장재1-교대-교각 총괄토공" xfId="512" xr:uid="{00000000-0005-0000-0000-00000D030000}"/>
    <cellStyle name="_동탄수원공통공수량집계표_06원천리천교총괄집계표_0923-지하차도총괄수량집계" xfId="513" xr:uid="{00000000-0005-0000-0000-00000E030000}"/>
    <cellStyle name="_동탄수원공통공수량집계표_06원천리천교총괄집계표_경사로1-상하부총괄수량" xfId="514" xr:uid="{00000000-0005-0000-0000-00000F030000}"/>
    <cellStyle name="_동탄수원공통공수량집계표_06원천리천교총괄집계표_보도육교2-경사로1-교각일반수량" xfId="515" xr:uid="{00000000-0005-0000-0000-000010030000}"/>
    <cellStyle name="_동탄수원공통공수량집계표_06원천리천교총괄집계표_보도육교2-경사로-교각일반수량" xfId="516" xr:uid="{00000000-0005-0000-0000-000011030000}"/>
    <cellStyle name="_동탄수원공통공수량집계표_06원천리천교총괄집계표_보도육교2-교각일반수량" xfId="517" xr:uid="{00000000-0005-0000-0000-000012030000}"/>
    <cellStyle name="_동탄수원공통공수량집계표_06원천리천교총괄집계표_보도육교2-본체-교각일반수량" xfId="518" xr:uid="{00000000-0005-0000-0000-000013030000}"/>
    <cellStyle name="_동탄수원공통공수량집계표_06원천리천교총괄집계표_보도육교2상부수량" xfId="519" xr:uid="{00000000-0005-0000-0000-000014030000}"/>
    <cellStyle name="_동탄수원공통공수량집계표_06원천리천교총괄집계표_보도육교2-상하부총괄수량" xfId="520" xr:uid="{00000000-0005-0000-0000-000015030000}"/>
    <cellStyle name="_동탄수원공통공수량집계표_06원천리천교총괄집계표_보도육교2-하부총괄수량" xfId="521" xr:uid="{00000000-0005-0000-0000-000016030000}"/>
    <cellStyle name="_동탄수원공통공수량집계표_06원천리천교총괄집계표_장재1-교대-교각 총괄토공" xfId="522" xr:uid="{00000000-0005-0000-0000-000017030000}"/>
    <cellStyle name="_동탄수원공통공수량집계표_07_01곡반정육교총괄집계표" xfId="523" xr:uid="{00000000-0005-0000-0000-000018030000}"/>
    <cellStyle name="_동탄수원공통공수량집계표_07_01곡반정육교총괄집계표_0923-지하차도총괄수량집계" xfId="524" xr:uid="{00000000-0005-0000-0000-000019030000}"/>
    <cellStyle name="_동탄수원공통공수량집계표_07_01곡반정육교총괄집계표_경사로1-상하부총괄수량" xfId="525" xr:uid="{00000000-0005-0000-0000-00001A030000}"/>
    <cellStyle name="_동탄수원공통공수량집계표_07_01곡반정육교총괄집계표_보도육교2-경사로1-교각일반수량" xfId="526" xr:uid="{00000000-0005-0000-0000-00001B030000}"/>
    <cellStyle name="_동탄수원공통공수량집계표_07_01곡반정육교총괄집계표_보도육교2-경사로-교각일반수량" xfId="527" xr:uid="{00000000-0005-0000-0000-00001C030000}"/>
    <cellStyle name="_동탄수원공통공수량집계표_07_01곡반정육교총괄집계표_보도육교2-교각일반수량" xfId="528" xr:uid="{00000000-0005-0000-0000-00001D030000}"/>
    <cellStyle name="_동탄수원공통공수량집계표_07_01곡반정육교총괄집계표_보도육교2-본체-교각일반수량" xfId="529" xr:uid="{00000000-0005-0000-0000-00001E030000}"/>
    <cellStyle name="_동탄수원공통공수량집계표_07_01곡반정육교총괄집계표_보도육교2상부수량" xfId="530" xr:uid="{00000000-0005-0000-0000-00001F030000}"/>
    <cellStyle name="_동탄수원공통공수량집계표_07_01곡반정육교총괄집계표_보도육교2-상하부총괄수량" xfId="531" xr:uid="{00000000-0005-0000-0000-000020030000}"/>
    <cellStyle name="_동탄수원공통공수량집계표_07_01곡반정육교총괄집계표_보도육교2-하부총괄수량" xfId="532" xr:uid="{00000000-0005-0000-0000-000021030000}"/>
    <cellStyle name="_동탄수원공통공수량집계표_07_01곡반정육교총괄집계표_장재1-교대-교각 총괄토공" xfId="533" xr:uid="{00000000-0005-0000-0000-000022030000}"/>
    <cellStyle name="_동탄수원공통공수량집계표_07곡반정육교총괄집계표" xfId="534" xr:uid="{00000000-0005-0000-0000-000023030000}"/>
    <cellStyle name="_동탄수원공통공수량집계표_07곡반정육교총괄집계표_0923-지하차도총괄수량집계" xfId="535" xr:uid="{00000000-0005-0000-0000-000024030000}"/>
    <cellStyle name="_동탄수원공통공수량집계표_07곡반정육교총괄집계표_경사로1-상하부총괄수량" xfId="536" xr:uid="{00000000-0005-0000-0000-000025030000}"/>
    <cellStyle name="_동탄수원공통공수량집계표_07곡반정육교총괄집계표_보도육교2-경사로1-교각일반수량" xfId="537" xr:uid="{00000000-0005-0000-0000-000026030000}"/>
    <cellStyle name="_동탄수원공통공수량집계표_07곡반정육교총괄집계표_보도육교2-경사로-교각일반수량" xfId="538" xr:uid="{00000000-0005-0000-0000-000027030000}"/>
    <cellStyle name="_동탄수원공통공수량집계표_07곡반정육교총괄집계표_보도육교2-교각일반수량" xfId="539" xr:uid="{00000000-0005-0000-0000-000028030000}"/>
    <cellStyle name="_동탄수원공통공수량집계표_07곡반정육교총괄집계표_보도육교2-본체-교각일반수량" xfId="540" xr:uid="{00000000-0005-0000-0000-000029030000}"/>
    <cellStyle name="_동탄수원공통공수량집계표_07곡반정육교총괄집계표_보도육교2상부수량" xfId="541" xr:uid="{00000000-0005-0000-0000-00002A030000}"/>
    <cellStyle name="_동탄수원공통공수량집계표_07곡반정육교총괄집계표_보도육교2-상하부총괄수량" xfId="542" xr:uid="{00000000-0005-0000-0000-00002B030000}"/>
    <cellStyle name="_동탄수원공통공수량집계표_07곡반정육교총괄집계표_보도육교2-하부총괄수량" xfId="543" xr:uid="{00000000-0005-0000-0000-00002C030000}"/>
    <cellStyle name="_동탄수원공통공수량집계표_07곡반정육교총괄집계표_장재1-교대-교각 총괄토공" xfId="544" xr:uid="{00000000-0005-0000-0000-00002D030000}"/>
    <cellStyle name="_동탄수원공통공수량집계표_0923-지하차도총괄수량집계" xfId="545" xr:uid="{00000000-0005-0000-0000-00002E030000}"/>
    <cellStyle name="_동탄수원공통공수량집계표_11청계1교(B교)총괄집계표" xfId="546" xr:uid="{00000000-0005-0000-0000-00002F030000}"/>
    <cellStyle name="_동탄수원공통공수량집계표_11청계1교(B교)총괄집계표_0923-지하차도총괄수량집계" xfId="547" xr:uid="{00000000-0005-0000-0000-000030030000}"/>
    <cellStyle name="_동탄수원공통공수량집계표_11청계1교(B교)총괄집계표_경사로1-상하부총괄수량" xfId="548" xr:uid="{00000000-0005-0000-0000-000031030000}"/>
    <cellStyle name="_동탄수원공통공수량집계표_11청계1교(B교)총괄집계표_보도육교2-경사로1-교각일반수량" xfId="549" xr:uid="{00000000-0005-0000-0000-000032030000}"/>
    <cellStyle name="_동탄수원공통공수량집계표_11청계1교(B교)총괄집계표_보도육교2-경사로-교각일반수량" xfId="550" xr:uid="{00000000-0005-0000-0000-000033030000}"/>
    <cellStyle name="_동탄수원공통공수량집계표_11청계1교(B교)총괄집계표_보도육교2-교각일반수량" xfId="551" xr:uid="{00000000-0005-0000-0000-000034030000}"/>
    <cellStyle name="_동탄수원공통공수량집계표_11청계1교(B교)총괄집계표_보도육교2-본체-교각일반수량" xfId="552" xr:uid="{00000000-0005-0000-0000-000035030000}"/>
    <cellStyle name="_동탄수원공통공수량집계표_11청계1교(B교)총괄집계표_보도육교2상부수량" xfId="553" xr:uid="{00000000-0005-0000-0000-000036030000}"/>
    <cellStyle name="_동탄수원공통공수량집계표_11청계1교(B교)총괄집계표_보도육교2-상하부총괄수량" xfId="554" xr:uid="{00000000-0005-0000-0000-000037030000}"/>
    <cellStyle name="_동탄수원공통공수량집계표_11청계1교(B교)총괄집계표_보도육교2-하부총괄수량" xfId="555" xr:uid="{00000000-0005-0000-0000-000038030000}"/>
    <cellStyle name="_동탄수원공통공수량집계표_11청계1교(B교)총괄집계표_장재1-교대-교각 총괄토공" xfId="556" xr:uid="{00000000-0005-0000-0000-000039030000}"/>
    <cellStyle name="_동탄수원공통공수량집계표_경사로1-상하부총괄수량" xfId="557" xr:uid="{00000000-0005-0000-0000-00003A030000}"/>
    <cellStyle name="_동탄수원공통공수량집계표_보도육교2-경사로1-교각일반수량" xfId="558" xr:uid="{00000000-0005-0000-0000-00003B030000}"/>
    <cellStyle name="_동탄수원공통공수량집계표_보도육교2-경사로-교각일반수량" xfId="559" xr:uid="{00000000-0005-0000-0000-00003C030000}"/>
    <cellStyle name="_동탄수원공통공수량집계표_보도육교2-교각일반수량" xfId="560" xr:uid="{00000000-0005-0000-0000-00003D030000}"/>
    <cellStyle name="_동탄수원공통공수량집계표_보도육교2-본체-교각일반수량" xfId="561" xr:uid="{00000000-0005-0000-0000-00003E030000}"/>
    <cellStyle name="_동탄수원공통공수량집계표_보도육교2상부수량" xfId="562" xr:uid="{00000000-0005-0000-0000-00003F030000}"/>
    <cellStyle name="_동탄수원공통공수량집계표_보도육교2-상하부총괄수량" xfId="563" xr:uid="{00000000-0005-0000-0000-000040030000}"/>
    <cellStyle name="_동탄수원공통공수량집계표_보도육교2-하부총괄수량" xfId="564" xr:uid="{00000000-0005-0000-0000-000041030000}"/>
    <cellStyle name="_동탄수원공통공수량집계표_장재1-교대-교각 총괄토공" xfId="565" xr:uid="{00000000-0005-0000-0000-000042030000}"/>
    <cellStyle name="_라멘" xfId="2468" xr:uid="{00000000-0005-0000-0000-000043030000}"/>
    <cellStyle name="_마연교-구조물수량_02석굴암교-상부(강재)_04-강재및도장수량" xfId="2469" xr:uid="{00000000-0005-0000-0000-000044030000}"/>
    <cellStyle name="_발전소수량-(20070110)" xfId="2470" xr:uid="{00000000-0005-0000-0000-000045030000}"/>
    <cellStyle name="_방호벽" xfId="566" xr:uid="{00000000-0005-0000-0000-000046030000}"/>
    <cellStyle name="_배수BOX일반" xfId="2471" xr:uid="{00000000-0005-0000-0000-000047030000}"/>
    <cellStyle name="_배수공집계" xfId="2472" xr:uid="{00000000-0005-0000-0000-000048030000}"/>
    <cellStyle name="_배수공집계_01교량공(큰들)" xfId="2473" xr:uid="{00000000-0005-0000-0000-000049030000}"/>
    <cellStyle name="_배수공집계_03교량공" xfId="2474" xr:uid="{00000000-0005-0000-0000-00004A030000}"/>
    <cellStyle name="_배수공집계_구조물공수량산출" xfId="2475" xr:uid="{00000000-0005-0000-0000-00004B030000}"/>
    <cellStyle name="_배수공집계_구조물공수량산출_01교량공(큰들)" xfId="2476" xr:uid="{00000000-0005-0000-0000-00004C030000}"/>
    <cellStyle name="_배수공집계_구조물공수량산출_03교량공" xfId="2477" xr:uid="{00000000-0005-0000-0000-00004D030000}"/>
    <cellStyle name="_배수공집계_구조물공수량산출_가시설수량산출" xfId="2478" xr:uid="{00000000-0005-0000-0000-00004E030000}"/>
    <cellStyle name="_배수공집계_구조물공수량산출_가시설수량산출_01교량공(큰들)" xfId="2479" xr:uid="{00000000-0005-0000-0000-00004F030000}"/>
    <cellStyle name="_배수공집계_구조물공수량산출_가시설수량산출_03교량공" xfId="2480" xr:uid="{00000000-0005-0000-0000-000050030000}"/>
    <cellStyle name="_배수공집계_구조물공수량산출_가시설수량산출_약실교교량수량산출서" xfId="2481" xr:uid="{00000000-0005-0000-0000-000051030000}"/>
    <cellStyle name="_배수공집계_구조물공수량산출_가시설수량산출_약실교교량수량산출서_01교량공(큰들)" xfId="2482" xr:uid="{00000000-0005-0000-0000-000052030000}"/>
    <cellStyle name="_배수공집계_구조물공수량산출_가시설수량산출_약실교교량수량산출서_03교량공" xfId="2483" xr:uid="{00000000-0005-0000-0000-000053030000}"/>
    <cellStyle name="_배수공집계_구조물공수량산출_가시설수량산출_큰들교교량수량산출서" xfId="2484" xr:uid="{00000000-0005-0000-0000-000054030000}"/>
    <cellStyle name="_배수공집계_구조물공수량산출_가시설수량산출_큰마교교량수량산출서" xfId="2485" xr:uid="{00000000-0005-0000-0000-000055030000}"/>
    <cellStyle name="_배수공집계_구조물공수량산출_가시설수량산출_큰마교교량수량산출서_01교량공(큰들)" xfId="2486" xr:uid="{00000000-0005-0000-0000-000056030000}"/>
    <cellStyle name="_배수공집계_구조물공수량산출_가시설수량산출_큰마교교량수량산출서_03교량공" xfId="2487" xr:uid="{00000000-0005-0000-0000-000057030000}"/>
    <cellStyle name="_배수공집계_구조물공수량산출_구조물공수량산출" xfId="2488" xr:uid="{00000000-0005-0000-0000-000058030000}"/>
    <cellStyle name="_배수공집계_구조물공수량산출_구조물공수량산출_01교량공(큰들)" xfId="2489" xr:uid="{00000000-0005-0000-0000-000059030000}"/>
    <cellStyle name="_배수공집계_구조물공수량산출_구조물공수량산출_03교량공" xfId="2490" xr:uid="{00000000-0005-0000-0000-00005A030000}"/>
    <cellStyle name="_배수공집계_구조물공수량산출_구조물공수량산출_약실교교량수량산출서" xfId="2491" xr:uid="{00000000-0005-0000-0000-00005B030000}"/>
    <cellStyle name="_배수공집계_구조물공수량산출_구조물공수량산출_약실교교량수량산출서_01교량공(큰들)" xfId="2492" xr:uid="{00000000-0005-0000-0000-00005C030000}"/>
    <cellStyle name="_배수공집계_구조물공수량산출_구조물공수량산출_약실교교량수량산출서_03교량공" xfId="2493" xr:uid="{00000000-0005-0000-0000-00005D030000}"/>
    <cellStyle name="_배수공집계_구조물공수량산출_구조물공수량산출_큰들교교량수량산출서" xfId="2494" xr:uid="{00000000-0005-0000-0000-00005E030000}"/>
    <cellStyle name="_배수공집계_구조물공수량산출_구조물공수량산출_큰마교교량수량산출서" xfId="2495" xr:uid="{00000000-0005-0000-0000-00005F030000}"/>
    <cellStyle name="_배수공집계_구조물공수량산출_구조물공수량산출_큰마교교량수량산출서_01교량공(큰들)" xfId="2496" xr:uid="{00000000-0005-0000-0000-000060030000}"/>
    <cellStyle name="_배수공집계_구조물공수량산출_구조물공수량산출_큰마교교량수량산출서_03교량공" xfId="2497" xr:uid="{00000000-0005-0000-0000-000061030000}"/>
    <cellStyle name="_배수공집계_구조물공수량산출_약실교교량수량산출서" xfId="2498" xr:uid="{00000000-0005-0000-0000-000062030000}"/>
    <cellStyle name="_배수공집계_구조물공수량산출_약실교교량수량산출서_01교량공(큰들)" xfId="2499" xr:uid="{00000000-0005-0000-0000-000063030000}"/>
    <cellStyle name="_배수공집계_구조물공수량산출_약실교교량수량산출서_03교량공" xfId="2500" xr:uid="{00000000-0005-0000-0000-000064030000}"/>
    <cellStyle name="_배수공집계_구조물공수량산출_큰들교교량수량산출서" xfId="2501" xr:uid="{00000000-0005-0000-0000-000065030000}"/>
    <cellStyle name="_배수공집계_구조물공수량산출_큰마교교량수량산출서" xfId="2502" xr:uid="{00000000-0005-0000-0000-000066030000}"/>
    <cellStyle name="_배수공집계_구조물공수량산출_큰마교교량수량산출서_01교량공(큰들)" xfId="2503" xr:uid="{00000000-0005-0000-0000-000067030000}"/>
    <cellStyle name="_배수공집계_구조물공수량산출_큰마교교량수량산출서_03교량공" xfId="2504" xr:uid="{00000000-0005-0000-0000-000068030000}"/>
    <cellStyle name="_배수공집계_약실교교량수량산출서" xfId="2505" xr:uid="{00000000-0005-0000-0000-000069030000}"/>
    <cellStyle name="_배수공집계_약실교교량수량산출서_01교량공(큰들)" xfId="2506" xr:uid="{00000000-0005-0000-0000-00006A030000}"/>
    <cellStyle name="_배수공집계_약실교교량수량산출서_03교량공" xfId="2507" xr:uid="{00000000-0005-0000-0000-00006B030000}"/>
    <cellStyle name="_배수공집계_큰들교교량수량산출서" xfId="2508" xr:uid="{00000000-0005-0000-0000-00006C030000}"/>
    <cellStyle name="_배수공집계_큰마교교량수량산출서" xfId="2509" xr:uid="{00000000-0005-0000-0000-00006D030000}"/>
    <cellStyle name="_배수공집계_큰마교교량수량산출서_01교량공(큰들)" xfId="2510" xr:uid="{00000000-0005-0000-0000-00006E030000}"/>
    <cellStyle name="_배수공집계_큰마교교량수량산출서_03교량공" xfId="2511" xr:uid="{00000000-0005-0000-0000-00006F030000}"/>
    <cellStyle name="_봉강1교" xfId="567" xr:uid="{00000000-0005-0000-0000-000070030000}"/>
    <cellStyle name="_부창교상부" xfId="568" xr:uid="{00000000-0005-0000-0000-000071030000}"/>
    <cellStyle name="_사본 - 하마2교-수량" xfId="569" xr:uid="{00000000-0005-0000-0000-000072030000}"/>
    <cellStyle name="_산내들교-교대철근수량" xfId="2512" xr:uid="{00000000-0005-0000-0000-000073030000}"/>
    <cellStyle name="_산정교-구조물수량_02석굴암교-상부(강재)_04-강재및도장수량" xfId="2513" xr:uid="{00000000-0005-0000-0000-000074030000}"/>
    <cellStyle name="_산촌교-구조물수량_02석굴암교-상부(강재)_04-강재및도장수량" xfId="2514" xr:uid="{00000000-0005-0000-0000-000075030000}"/>
    <cellStyle name="_산출근거(광양)" xfId="570" xr:uid="{00000000-0005-0000-0000-000076030000}"/>
    <cellStyle name="_산출근거(광양)_01-소탄교-총괄수량집계표" xfId="571" xr:uid="{00000000-0005-0000-0000-000077030000}"/>
    <cellStyle name="_산출근거(광양)_01-소탄교-총괄수량집계표1" xfId="572" xr:uid="{00000000-0005-0000-0000-000078030000}"/>
    <cellStyle name="_산출근거(광양)_01-여곡2교-총괄수량집계표" xfId="573" xr:uid="{00000000-0005-0000-0000-000079030000}"/>
    <cellStyle name="_산출근거(광양)_01-정선제3교-총괄수량집계표" xfId="2515" xr:uid="{00000000-0005-0000-0000-00007A030000}"/>
    <cellStyle name="_산출근거(광양)_02석굴암교-상부(강재)_04-강재및도장수량" xfId="2516" xr:uid="{00000000-0005-0000-0000-00007B030000}"/>
    <cellStyle name="_산출근거(광양)_1.광하1교-주요자재집계표" xfId="574" xr:uid="{00000000-0005-0000-0000-00007C030000}"/>
    <cellStyle name="_산출근거(광양)_1.광하1교-주요자재집계표_01-소탄교-총괄수량집계표" xfId="575" xr:uid="{00000000-0005-0000-0000-00007D030000}"/>
    <cellStyle name="_산출근거(광양)_1.광하1교-주요자재집계표_01-소탄교-총괄수량집계표1" xfId="576" xr:uid="{00000000-0005-0000-0000-00007E030000}"/>
    <cellStyle name="_산출근거(광양)_1.광하1교-주요자재집계표_01-여곡2교-총괄수량집계표" xfId="577" xr:uid="{00000000-0005-0000-0000-00007F030000}"/>
    <cellStyle name="_산출근거(광양)_1.광하1교-주요자재집계표_01-정선제3교-총괄수량집계표" xfId="2517" xr:uid="{00000000-0005-0000-0000-000080030000}"/>
    <cellStyle name="_산출근거(광양)_4.광석교-상부수량집계" xfId="578" xr:uid="{00000000-0005-0000-0000-000081030000}"/>
    <cellStyle name="_산출근거(광양)_4.광석교-상부수량집계_01-소탄교-총괄수량집계표" xfId="579" xr:uid="{00000000-0005-0000-0000-000082030000}"/>
    <cellStyle name="_산출근거(광양)_4.광석교-상부수량집계_01-소탄교-총괄수량집계표1" xfId="580" xr:uid="{00000000-0005-0000-0000-000083030000}"/>
    <cellStyle name="_산출근거(광양)_4.광석교-상부수량집계_01-여곡2교-총괄수량집계표" xfId="581" xr:uid="{00000000-0005-0000-0000-000084030000}"/>
    <cellStyle name="_산출근거(광양)_4.광석교-상부수량집계_01-정선제3교-총괄수량집계표" xfId="2518" xr:uid="{00000000-0005-0000-0000-000085030000}"/>
    <cellStyle name="_산출근거(광양)_HG2-상부수량_02석굴암교-상부(강재)_04-강재및도장수량" xfId="2519" xr:uid="{00000000-0005-0000-0000-000086030000}"/>
    <cellStyle name="_산출근거(광양)_HG2-상부수량_상부수량_02석굴암교-상부(강재)_04-강재및도장수량" xfId="2520" xr:uid="{00000000-0005-0000-0000-000087030000}"/>
    <cellStyle name="_산출근거(광양)_HG2-상부수량_황길1교-상부수량_02석굴암교-상부(강재)_04-강재및도장수량" xfId="2521" xr:uid="{00000000-0005-0000-0000-000088030000}"/>
    <cellStyle name="_산출근거(광양)_HG2-상부수량_황길2교-상부수량_02석굴암교-상부(강재)_04-강재및도장수량" xfId="2522" xr:uid="{00000000-0005-0000-0000-000089030000}"/>
    <cellStyle name="_산출근거(광양)_x주요자재집계표" xfId="818" xr:uid="{00000000-0005-0000-0000-00008A030000}"/>
    <cellStyle name="_산출근거(광양)_x주요자재집계표_01-소탄교-총괄수량집계표" xfId="819" xr:uid="{00000000-0005-0000-0000-00008B030000}"/>
    <cellStyle name="_산출근거(광양)_x주요자재집계표_01-소탄교-총괄수량집계표1" xfId="820" xr:uid="{00000000-0005-0000-0000-00008C030000}"/>
    <cellStyle name="_산출근거(광양)_x주요자재집계표_01-여곡2교-총괄수량집계표" xfId="821" xr:uid="{00000000-0005-0000-0000-00008D030000}"/>
    <cellStyle name="_산출근거(광양)_x주요자재집계표_01-정선제3교-총괄수량집계표" xfId="2523" xr:uid="{00000000-0005-0000-0000-00008E030000}"/>
    <cellStyle name="_산출근거(광양)_교량별총괄집계(신리5교)" xfId="582" xr:uid="{00000000-0005-0000-0000-00008F030000}"/>
    <cellStyle name="_산출근거(광양)_교량별총괄집계(신리5교)_01-소탄교-총괄수량집계표" xfId="583" xr:uid="{00000000-0005-0000-0000-000090030000}"/>
    <cellStyle name="_산출근거(광양)_교량별총괄집계(신리5교)_01-소탄교-총괄수량집계표1" xfId="584" xr:uid="{00000000-0005-0000-0000-000091030000}"/>
    <cellStyle name="_산출근거(광양)_교량별총괄집계(신리5교)_01-여곡2교-총괄수량집계표" xfId="585" xr:uid="{00000000-0005-0000-0000-000092030000}"/>
    <cellStyle name="_산출근거(광양)_교량별총괄집계(신리5교)_01-정선제3교-총괄수량집계표" xfId="2524" xr:uid="{00000000-0005-0000-0000-000093030000}"/>
    <cellStyle name="_산출근거(광양)_교량별총괄집계(신리5교)_02석굴암교-상부(강재)_04-강재및도장수량" xfId="2525" xr:uid="{00000000-0005-0000-0000-000094030000}"/>
    <cellStyle name="_산출근거(광양)_교량별총괄집계(신리5교)_HG2-상부수량_02석굴암교-상부(강재)_04-강재및도장수량" xfId="2526" xr:uid="{00000000-0005-0000-0000-000095030000}"/>
    <cellStyle name="_산출근거(광양)_교량별총괄집계(신리5교)_HG2-상부수량_상부수량_02석굴암교-상부(강재)_04-강재및도장수량" xfId="2527" xr:uid="{00000000-0005-0000-0000-000096030000}"/>
    <cellStyle name="_산출근거(광양)_교량별총괄집계(신리5교)_HG2-상부수량_황길1교-상부수량_02석굴암교-상부(강재)_04-강재및도장수량" xfId="2528" xr:uid="{00000000-0005-0000-0000-000097030000}"/>
    <cellStyle name="_산출근거(광양)_교량별총괄집계(신리5교)_HG2-상부수량_황길2교-상부수량_02석굴암교-상부(강재)_04-강재및도장수량" xfId="2529" xr:uid="{00000000-0005-0000-0000-000098030000}"/>
    <cellStyle name="_산출근거(광양)_구조물주요자재(3공구)" xfId="586" xr:uid="{00000000-0005-0000-0000-000099030000}"/>
    <cellStyle name="_산출근거(광양)_구조물주요자재(3공구)_01-소탄교-총괄수량집계표" xfId="587" xr:uid="{00000000-0005-0000-0000-00009A030000}"/>
    <cellStyle name="_산출근거(광양)_구조물주요자재(3공구)_01-소탄교-총괄수량집계표1" xfId="588" xr:uid="{00000000-0005-0000-0000-00009B030000}"/>
    <cellStyle name="_산출근거(광양)_구조물주요자재(3공구)_01-여곡2교-총괄수량집계표" xfId="589" xr:uid="{00000000-0005-0000-0000-00009C030000}"/>
    <cellStyle name="_산출근거(광양)_구조물주요자재(3공구)_01-정선제3교-총괄수량집계표" xfId="2530" xr:uid="{00000000-0005-0000-0000-00009D030000}"/>
    <cellStyle name="_산출근거(광양)_구조물주요자재(3공구)_1.광하1교-주요자재집계표" xfId="590" xr:uid="{00000000-0005-0000-0000-00009E030000}"/>
    <cellStyle name="_산출근거(광양)_구조물주요자재(3공구)_1.광하1교-주요자재집계표_01-소탄교-총괄수량집계표" xfId="591" xr:uid="{00000000-0005-0000-0000-00009F030000}"/>
    <cellStyle name="_산출근거(광양)_구조물주요자재(3공구)_1.광하1교-주요자재집계표_01-소탄교-총괄수량집계표1" xfId="592" xr:uid="{00000000-0005-0000-0000-0000A0030000}"/>
    <cellStyle name="_산출근거(광양)_구조물주요자재(3공구)_1.광하1교-주요자재집계표_01-여곡2교-총괄수량집계표" xfId="593" xr:uid="{00000000-0005-0000-0000-0000A1030000}"/>
    <cellStyle name="_산출근거(광양)_구조물주요자재(3공구)_1.광하1교-주요자재집계표_01-정선제3교-총괄수량집계표" xfId="2531" xr:uid="{00000000-0005-0000-0000-0000A2030000}"/>
    <cellStyle name="_산출근거(광양)_구조물주요자재(3공구)_4.광석교-상부수량집계" xfId="594" xr:uid="{00000000-0005-0000-0000-0000A3030000}"/>
    <cellStyle name="_산출근거(광양)_구조물주요자재(3공구)_4.광석교-상부수량집계_01-소탄교-총괄수량집계표" xfId="595" xr:uid="{00000000-0005-0000-0000-0000A4030000}"/>
    <cellStyle name="_산출근거(광양)_구조물주요자재(3공구)_4.광석교-상부수량집계_01-소탄교-총괄수량집계표1" xfId="596" xr:uid="{00000000-0005-0000-0000-0000A5030000}"/>
    <cellStyle name="_산출근거(광양)_구조물주요자재(3공구)_4.광석교-상부수량집계_01-여곡2교-총괄수량집계표" xfId="597" xr:uid="{00000000-0005-0000-0000-0000A6030000}"/>
    <cellStyle name="_산출근거(광양)_구조물주요자재(3공구)_4.광석교-상부수량집계_01-정선제3교-총괄수량집계표" xfId="2532" xr:uid="{00000000-0005-0000-0000-0000A7030000}"/>
    <cellStyle name="_산출근거(광양)_구조물주요자재(3공구)_x주요자재집계표" xfId="602" xr:uid="{00000000-0005-0000-0000-0000A8030000}"/>
    <cellStyle name="_산출근거(광양)_구조물주요자재(3공구)_x주요자재집계표_01-소탄교-총괄수량집계표" xfId="603" xr:uid="{00000000-0005-0000-0000-0000A9030000}"/>
    <cellStyle name="_산출근거(광양)_구조물주요자재(3공구)_x주요자재집계표_01-소탄교-총괄수량집계표1" xfId="604" xr:uid="{00000000-0005-0000-0000-0000AA030000}"/>
    <cellStyle name="_산출근거(광양)_구조물주요자재(3공구)_x주요자재집계표_01-여곡2교-총괄수량집계표" xfId="605" xr:uid="{00000000-0005-0000-0000-0000AB030000}"/>
    <cellStyle name="_산출근거(광양)_구조물주요자재(3공구)_x주요자재집계표_01-정선제3교-총괄수량집계표" xfId="2533" xr:uid="{00000000-0005-0000-0000-0000AC030000}"/>
    <cellStyle name="_산출근거(광양)_구조물주요자재(3공구)_주요자재집계표" xfId="598" xr:uid="{00000000-0005-0000-0000-0000AD030000}"/>
    <cellStyle name="_산출근거(광양)_구조물주요자재(3공구)_주요자재집계표_01-소탄교-총괄수량집계표" xfId="599" xr:uid="{00000000-0005-0000-0000-0000AE030000}"/>
    <cellStyle name="_산출근거(광양)_구조물주요자재(3공구)_주요자재집계표_01-소탄교-총괄수량집계표1" xfId="600" xr:uid="{00000000-0005-0000-0000-0000AF030000}"/>
    <cellStyle name="_산출근거(광양)_구조물주요자재(3공구)_주요자재집계표_01-여곡2교-총괄수량집계표" xfId="601" xr:uid="{00000000-0005-0000-0000-0000B0030000}"/>
    <cellStyle name="_산출근거(광양)_구조물주요자재(3공구)_주요자재집계표_01-정선제3교-총괄수량집계표" xfId="2534" xr:uid="{00000000-0005-0000-0000-0000B1030000}"/>
    <cellStyle name="_산출근거(광양)_신리5교 상부" xfId="606" xr:uid="{00000000-0005-0000-0000-0000B2030000}"/>
    <cellStyle name="_산출근거(광양)_신리5교 상부_01-소탄교-총괄수량집계표" xfId="607" xr:uid="{00000000-0005-0000-0000-0000B3030000}"/>
    <cellStyle name="_산출근거(광양)_신리5교 상부_01-소탄교-총괄수량집계표1" xfId="608" xr:uid="{00000000-0005-0000-0000-0000B4030000}"/>
    <cellStyle name="_산출근거(광양)_신리5교 상부_01-여곡2교-총괄수량집계표" xfId="609" xr:uid="{00000000-0005-0000-0000-0000B5030000}"/>
    <cellStyle name="_산출근거(광양)_신리5교 상부_01-정선제3교-총괄수량집계표" xfId="2535" xr:uid="{00000000-0005-0000-0000-0000B6030000}"/>
    <cellStyle name="_산출근거(광양)_신리5교 상부_02석굴암교-상부(강재)_04-강재및도장수량" xfId="2536" xr:uid="{00000000-0005-0000-0000-0000B7030000}"/>
    <cellStyle name="_산출근거(광양)_신리5교 상부_HG2-상부수량_02석굴암교-상부(강재)_04-강재및도장수량" xfId="2537" xr:uid="{00000000-0005-0000-0000-0000B8030000}"/>
    <cellStyle name="_산출근거(광양)_신리5교 상부_HG2-상부수량_상부수량_02석굴암교-상부(강재)_04-강재및도장수량" xfId="2538" xr:uid="{00000000-0005-0000-0000-0000B9030000}"/>
    <cellStyle name="_산출근거(광양)_신리5교 상부_HG2-상부수량_황길1교-상부수량_02석굴암교-상부(강재)_04-강재및도장수량" xfId="2539" xr:uid="{00000000-0005-0000-0000-0000BA030000}"/>
    <cellStyle name="_산출근거(광양)_신리5교 상부_HG2-상부수량_황길2교-상부수량_02석굴암교-상부(강재)_04-강재및도장수량" xfId="2540" xr:uid="{00000000-0005-0000-0000-0000BB030000}"/>
    <cellStyle name="_산출근거(광양)_신리6교 상부" xfId="610" xr:uid="{00000000-0005-0000-0000-0000BC030000}"/>
    <cellStyle name="_산출근거(광양)_신리6교 상부_01-소탄교-총괄수량집계표" xfId="611" xr:uid="{00000000-0005-0000-0000-0000BD030000}"/>
    <cellStyle name="_산출근거(광양)_신리6교 상부_01-소탄교-총괄수량집계표1" xfId="612" xr:uid="{00000000-0005-0000-0000-0000BE030000}"/>
    <cellStyle name="_산출근거(광양)_신리6교 상부_01-여곡2교-총괄수량집계표" xfId="613" xr:uid="{00000000-0005-0000-0000-0000BF030000}"/>
    <cellStyle name="_산출근거(광양)_신리6교 상부_01-정선제3교-총괄수량집계표" xfId="2541" xr:uid="{00000000-0005-0000-0000-0000C0030000}"/>
    <cellStyle name="_산출근거(광양)_신리6교 상부_02석굴암교-상부(강재)_04-강재및도장수량" xfId="2542" xr:uid="{00000000-0005-0000-0000-0000C1030000}"/>
    <cellStyle name="_산출근거(광양)_신리6교 상부_HG2-상부수량_02석굴암교-상부(강재)_04-강재및도장수량" xfId="2543" xr:uid="{00000000-0005-0000-0000-0000C2030000}"/>
    <cellStyle name="_산출근거(광양)_신리6교 상부_HG2-상부수량_상부수량_02석굴암교-상부(강재)_04-강재및도장수량" xfId="2544" xr:uid="{00000000-0005-0000-0000-0000C3030000}"/>
    <cellStyle name="_산출근거(광양)_신리6교 상부_HG2-상부수량_황길1교-상부수량_02석굴암교-상부(강재)_04-강재및도장수량" xfId="2545" xr:uid="{00000000-0005-0000-0000-0000C4030000}"/>
    <cellStyle name="_산출근거(광양)_신리6교 상부_HG2-상부수량_황길2교-상부수량_02석굴암교-상부(강재)_04-강재및도장수량" xfId="2546" xr:uid="{00000000-0005-0000-0000-0000C5030000}"/>
    <cellStyle name="_산출근거(광양)_주요자재집계표" xfId="614" xr:uid="{00000000-0005-0000-0000-0000C6030000}"/>
    <cellStyle name="_산출근거(광양)_주요자재집계표_01-소탄교-총괄수량집계표" xfId="615" xr:uid="{00000000-0005-0000-0000-0000C7030000}"/>
    <cellStyle name="_산출근거(광양)_주요자재집계표_01-소탄교-총괄수량집계표1" xfId="616" xr:uid="{00000000-0005-0000-0000-0000C8030000}"/>
    <cellStyle name="_산출근거(광양)_주요자재집계표_01-여곡2교-총괄수량집계표" xfId="617" xr:uid="{00000000-0005-0000-0000-0000C9030000}"/>
    <cellStyle name="_산출근거(광양)_주요자재집계표_01-정선제3교-총괄수량집계표" xfId="2547" xr:uid="{00000000-0005-0000-0000-0000CA030000}"/>
    <cellStyle name="_산출근거(광양)_죽림1교-상부" xfId="618" xr:uid="{00000000-0005-0000-0000-0000CB030000}"/>
    <cellStyle name="_산출근거(광양)_죽림1교-상부_01-소탄교-총괄수량집계표" xfId="619" xr:uid="{00000000-0005-0000-0000-0000CC030000}"/>
    <cellStyle name="_산출근거(광양)_죽림1교-상부_01-소탄교-총괄수량집계표1" xfId="620" xr:uid="{00000000-0005-0000-0000-0000CD030000}"/>
    <cellStyle name="_산출근거(광양)_죽림1교-상부_01-여곡2교-총괄수량집계표" xfId="621" xr:uid="{00000000-0005-0000-0000-0000CE030000}"/>
    <cellStyle name="_산출근거(광양)_죽림1교-상부_01-정선제3교-총괄수량집계표" xfId="2548" xr:uid="{00000000-0005-0000-0000-0000CF030000}"/>
    <cellStyle name="_산출근거(광양)_죽림1교-상부_1.광하1교-주요자재집계표" xfId="622" xr:uid="{00000000-0005-0000-0000-0000D0030000}"/>
    <cellStyle name="_산출근거(광양)_죽림1교-상부_1.광하1교-주요자재집계표_01-소탄교-총괄수량집계표" xfId="623" xr:uid="{00000000-0005-0000-0000-0000D1030000}"/>
    <cellStyle name="_산출근거(광양)_죽림1교-상부_1.광하1교-주요자재집계표_01-소탄교-총괄수량집계표1" xfId="624" xr:uid="{00000000-0005-0000-0000-0000D2030000}"/>
    <cellStyle name="_산출근거(광양)_죽림1교-상부_1.광하1교-주요자재집계표_01-여곡2교-총괄수량집계표" xfId="625" xr:uid="{00000000-0005-0000-0000-0000D3030000}"/>
    <cellStyle name="_산출근거(광양)_죽림1교-상부_1.광하1교-주요자재집계표_01-정선제3교-총괄수량집계표" xfId="2549" xr:uid="{00000000-0005-0000-0000-0000D4030000}"/>
    <cellStyle name="_산출근거(광양)_죽림1교-상부_4.광석교-상부수량집계" xfId="626" xr:uid="{00000000-0005-0000-0000-0000D5030000}"/>
    <cellStyle name="_산출근거(광양)_죽림1교-상부_4.광석교-상부수량집계_01-소탄교-총괄수량집계표" xfId="627" xr:uid="{00000000-0005-0000-0000-0000D6030000}"/>
    <cellStyle name="_산출근거(광양)_죽림1교-상부_4.광석교-상부수량집계_01-소탄교-총괄수량집계표1" xfId="628" xr:uid="{00000000-0005-0000-0000-0000D7030000}"/>
    <cellStyle name="_산출근거(광양)_죽림1교-상부_4.광석교-상부수량집계_01-여곡2교-총괄수량집계표" xfId="629" xr:uid="{00000000-0005-0000-0000-0000D8030000}"/>
    <cellStyle name="_산출근거(광양)_죽림1교-상부_4.광석교-상부수량집계_01-정선제3교-총괄수량집계표" xfId="2550" xr:uid="{00000000-0005-0000-0000-0000D9030000}"/>
    <cellStyle name="_산출근거(광양)_죽림1교-상부_x주요자재집계표" xfId="654" xr:uid="{00000000-0005-0000-0000-0000DA030000}"/>
    <cellStyle name="_산출근거(광양)_죽림1교-상부_x주요자재집계표_01-소탄교-총괄수량집계표" xfId="655" xr:uid="{00000000-0005-0000-0000-0000DB030000}"/>
    <cellStyle name="_산출근거(광양)_죽림1교-상부_x주요자재집계표_01-소탄교-총괄수량집계표1" xfId="656" xr:uid="{00000000-0005-0000-0000-0000DC030000}"/>
    <cellStyle name="_산출근거(광양)_죽림1교-상부_x주요자재집계표_01-여곡2교-총괄수량집계표" xfId="657" xr:uid="{00000000-0005-0000-0000-0000DD030000}"/>
    <cellStyle name="_산출근거(광양)_죽림1교-상부_x주요자재집계표_01-정선제3교-총괄수량집계표" xfId="2551" xr:uid="{00000000-0005-0000-0000-0000DE030000}"/>
    <cellStyle name="_산출근거(광양)_죽림1교-상부_구조물주요자재(3공구)" xfId="630" xr:uid="{00000000-0005-0000-0000-0000DF030000}"/>
    <cellStyle name="_산출근거(광양)_죽림1교-상부_구조물주요자재(3공구)_01-소탄교-총괄수량집계표" xfId="631" xr:uid="{00000000-0005-0000-0000-0000E0030000}"/>
    <cellStyle name="_산출근거(광양)_죽림1교-상부_구조물주요자재(3공구)_01-소탄교-총괄수량집계표1" xfId="632" xr:uid="{00000000-0005-0000-0000-0000E1030000}"/>
    <cellStyle name="_산출근거(광양)_죽림1교-상부_구조물주요자재(3공구)_01-여곡2교-총괄수량집계표" xfId="633" xr:uid="{00000000-0005-0000-0000-0000E2030000}"/>
    <cellStyle name="_산출근거(광양)_죽림1교-상부_구조물주요자재(3공구)_01-정선제3교-총괄수량집계표" xfId="2552" xr:uid="{00000000-0005-0000-0000-0000E3030000}"/>
    <cellStyle name="_산출근거(광양)_죽림1교-상부_구조물주요자재(3공구)_1.광하1교-주요자재집계표" xfId="634" xr:uid="{00000000-0005-0000-0000-0000E4030000}"/>
    <cellStyle name="_산출근거(광양)_죽림1교-상부_구조물주요자재(3공구)_1.광하1교-주요자재집계표_01-소탄교-총괄수량집계표" xfId="635" xr:uid="{00000000-0005-0000-0000-0000E5030000}"/>
    <cellStyle name="_산출근거(광양)_죽림1교-상부_구조물주요자재(3공구)_1.광하1교-주요자재집계표_01-소탄교-총괄수량집계표1" xfId="636" xr:uid="{00000000-0005-0000-0000-0000E6030000}"/>
    <cellStyle name="_산출근거(광양)_죽림1교-상부_구조물주요자재(3공구)_1.광하1교-주요자재집계표_01-여곡2교-총괄수량집계표" xfId="637" xr:uid="{00000000-0005-0000-0000-0000E7030000}"/>
    <cellStyle name="_산출근거(광양)_죽림1교-상부_구조물주요자재(3공구)_1.광하1교-주요자재집계표_01-정선제3교-총괄수량집계표" xfId="2553" xr:uid="{00000000-0005-0000-0000-0000E8030000}"/>
    <cellStyle name="_산출근거(광양)_죽림1교-상부_구조물주요자재(3공구)_4.광석교-상부수량집계" xfId="638" xr:uid="{00000000-0005-0000-0000-0000E9030000}"/>
    <cellStyle name="_산출근거(광양)_죽림1교-상부_구조물주요자재(3공구)_4.광석교-상부수량집계_01-소탄교-총괄수량집계표" xfId="639" xr:uid="{00000000-0005-0000-0000-0000EA030000}"/>
    <cellStyle name="_산출근거(광양)_죽림1교-상부_구조물주요자재(3공구)_4.광석교-상부수량집계_01-소탄교-총괄수량집계표1" xfId="640" xr:uid="{00000000-0005-0000-0000-0000EB030000}"/>
    <cellStyle name="_산출근거(광양)_죽림1교-상부_구조물주요자재(3공구)_4.광석교-상부수량집계_01-여곡2교-총괄수량집계표" xfId="641" xr:uid="{00000000-0005-0000-0000-0000EC030000}"/>
    <cellStyle name="_산출근거(광양)_죽림1교-상부_구조물주요자재(3공구)_4.광석교-상부수량집계_01-정선제3교-총괄수량집계표" xfId="2554" xr:uid="{00000000-0005-0000-0000-0000ED030000}"/>
    <cellStyle name="_산출근거(광양)_죽림1교-상부_구조물주요자재(3공구)_x주요자재집계표" xfId="646" xr:uid="{00000000-0005-0000-0000-0000EE030000}"/>
    <cellStyle name="_산출근거(광양)_죽림1교-상부_구조물주요자재(3공구)_x주요자재집계표_01-소탄교-총괄수량집계표" xfId="647" xr:uid="{00000000-0005-0000-0000-0000EF030000}"/>
    <cellStyle name="_산출근거(광양)_죽림1교-상부_구조물주요자재(3공구)_x주요자재집계표_01-소탄교-총괄수량집계표1" xfId="648" xr:uid="{00000000-0005-0000-0000-0000F0030000}"/>
    <cellStyle name="_산출근거(광양)_죽림1교-상부_구조물주요자재(3공구)_x주요자재집계표_01-여곡2교-총괄수량집계표" xfId="649" xr:uid="{00000000-0005-0000-0000-0000F1030000}"/>
    <cellStyle name="_산출근거(광양)_죽림1교-상부_구조물주요자재(3공구)_x주요자재집계표_01-정선제3교-총괄수량집계표" xfId="2555" xr:uid="{00000000-0005-0000-0000-0000F2030000}"/>
    <cellStyle name="_산출근거(광양)_죽림1교-상부_구조물주요자재(3공구)_주요자재집계표" xfId="642" xr:uid="{00000000-0005-0000-0000-0000F3030000}"/>
    <cellStyle name="_산출근거(광양)_죽림1교-상부_구조물주요자재(3공구)_주요자재집계표_01-소탄교-총괄수량집계표" xfId="643" xr:uid="{00000000-0005-0000-0000-0000F4030000}"/>
    <cellStyle name="_산출근거(광양)_죽림1교-상부_구조물주요자재(3공구)_주요자재집계표_01-소탄교-총괄수량집계표1" xfId="644" xr:uid="{00000000-0005-0000-0000-0000F5030000}"/>
    <cellStyle name="_산출근거(광양)_죽림1교-상부_구조물주요자재(3공구)_주요자재집계표_01-여곡2교-총괄수량집계표" xfId="645" xr:uid="{00000000-0005-0000-0000-0000F6030000}"/>
    <cellStyle name="_산출근거(광양)_죽림1교-상부_구조물주요자재(3공구)_주요자재집계표_01-정선제3교-총괄수량집계표" xfId="2556" xr:uid="{00000000-0005-0000-0000-0000F7030000}"/>
    <cellStyle name="_산출근거(광양)_죽림1교-상부_주요자재집계표" xfId="650" xr:uid="{00000000-0005-0000-0000-0000F8030000}"/>
    <cellStyle name="_산출근거(광양)_죽림1교-상부_주요자재집계표_01-소탄교-총괄수량집계표" xfId="651" xr:uid="{00000000-0005-0000-0000-0000F9030000}"/>
    <cellStyle name="_산출근거(광양)_죽림1교-상부_주요자재집계표_01-소탄교-총괄수량집계표1" xfId="652" xr:uid="{00000000-0005-0000-0000-0000FA030000}"/>
    <cellStyle name="_산출근거(광양)_죽림1교-상부_주요자재집계표_01-여곡2교-총괄수량집계표" xfId="653" xr:uid="{00000000-0005-0000-0000-0000FB030000}"/>
    <cellStyle name="_산출근거(광양)_죽림1교-상부_주요자재집계표_01-정선제3교-총괄수량집계표" xfId="2557" xr:uid="{00000000-0005-0000-0000-0000FC030000}"/>
    <cellStyle name="_산출근거(광양)_죽림2교-상부" xfId="658" xr:uid="{00000000-0005-0000-0000-0000FD030000}"/>
    <cellStyle name="_산출근거(광양)_죽림2교-상부_01-소탄교-총괄수량집계표" xfId="659" xr:uid="{00000000-0005-0000-0000-0000FE030000}"/>
    <cellStyle name="_산출근거(광양)_죽림2교-상부_01-소탄교-총괄수량집계표1" xfId="660" xr:uid="{00000000-0005-0000-0000-0000FF030000}"/>
    <cellStyle name="_산출근거(광양)_죽림2교-상부_01-여곡2교-총괄수량집계표" xfId="661" xr:uid="{00000000-0005-0000-0000-000000040000}"/>
    <cellStyle name="_산출근거(광양)_죽림2교-상부_01-정선제3교-총괄수량집계표" xfId="2558" xr:uid="{00000000-0005-0000-0000-000001040000}"/>
    <cellStyle name="_산출근거(광양)_죽림2교-상부_1.광하1교-주요자재집계표" xfId="662" xr:uid="{00000000-0005-0000-0000-000002040000}"/>
    <cellStyle name="_산출근거(광양)_죽림2교-상부_1.광하1교-주요자재집계표_01-소탄교-총괄수량집계표" xfId="663" xr:uid="{00000000-0005-0000-0000-000003040000}"/>
    <cellStyle name="_산출근거(광양)_죽림2교-상부_1.광하1교-주요자재집계표_01-소탄교-총괄수량집계표1" xfId="664" xr:uid="{00000000-0005-0000-0000-000004040000}"/>
    <cellStyle name="_산출근거(광양)_죽림2교-상부_1.광하1교-주요자재집계표_01-여곡2교-총괄수량집계표" xfId="665" xr:uid="{00000000-0005-0000-0000-000005040000}"/>
    <cellStyle name="_산출근거(광양)_죽림2교-상부_1.광하1교-주요자재집계표_01-정선제3교-총괄수량집계표" xfId="2559" xr:uid="{00000000-0005-0000-0000-000006040000}"/>
    <cellStyle name="_산출근거(광양)_죽림2교-상부_4.광석교-상부수량집계" xfId="666" xr:uid="{00000000-0005-0000-0000-000007040000}"/>
    <cellStyle name="_산출근거(광양)_죽림2교-상부_4.광석교-상부수량집계_01-소탄교-총괄수량집계표" xfId="667" xr:uid="{00000000-0005-0000-0000-000008040000}"/>
    <cellStyle name="_산출근거(광양)_죽림2교-상부_4.광석교-상부수량집계_01-소탄교-총괄수량집계표1" xfId="668" xr:uid="{00000000-0005-0000-0000-000009040000}"/>
    <cellStyle name="_산출근거(광양)_죽림2교-상부_4.광석교-상부수량집계_01-여곡2교-총괄수량집계표" xfId="669" xr:uid="{00000000-0005-0000-0000-00000A040000}"/>
    <cellStyle name="_산출근거(광양)_죽림2교-상부_4.광석교-상부수량집계_01-정선제3교-총괄수량집계표" xfId="2560" xr:uid="{00000000-0005-0000-0000-00000B040000}"/>
    <cellStyle name="_산출근거(광양)_죽림2교-상부_x주요자재집계표" xfId="734" xr:uid="{00000000-0005-0000-0000-00000C040000}"/>
    <cellStyle name="_산출근거(광양)_죽림2교-상부_x주요자재집계표_01-소탄교-총괄수량집계표" xfId="735" xr:uid="{00000000-0005-0000-0000-00000D040000}"/>
    <cellStyle name="_산출근거(광양)_죽림2교-상부_x주요자재집계표_01-소탄교-총괄수량집계표1" xfId="736" xr:uid="{00000000-0005-0000-0000-00000E040000}"/>
    <cellStyle name="_산출근거(광양)_죽림2교-상부_x주요자재집계표_01-여곡2교-총괄수량집계표" xfId="737" xr:uid="{00000000-0005-0000-0000-00000F040000}"/>
    <cellStyle name="_산출근거(광양)_죽림2교-상부_x주요자재집계표_01-정선제3교-총괄수량집계표" xfId="2561" xr:uid="{00000000-0005-0000-0000-000010040000}"/>
    <cellStyle name="_산출근거(광양)_죽림2교-상부_구조물주요자재(3공구)" xfId="670" xr:uid="{00000000-0005-0000-0000-000011040000}"/>
    <cellStyle name="_산출근거(광양)_죽림2교-상부_구조물주요자재(3공구)_01-소탄교-총괄수량집계표" xfId="671" xr:uid="{00000000-0005-0000-0000-000012040000}"/>
    <cellStyle name="_산출근거(광양)_죽림2교-상부_구조물주요자재(3공구)_01-소탄교-총괄수량집계표1" xfId="672" xr:uid="{00000000-0005-0000-0000-000013040000}"/>
    <cellStyle name="_산출근거(광양)_죽림2교-상부_구조물주요자재(3공구)_01-여곡2교-총괄수량집계표" xfId="673" xr:uid="{00000000-0005-0000-0000-000014040000}"/>
    <cellStyle name="_산출근거(광양)_죽림2교-상부_구조물주요자재(3공구)_01-정선제3교-총괄수량집계표" xfId="2562" xr:uid="{00000000-0005-0000-0000-000015040000}"/>
    <cellStyle name="_산출근거(광양)_죽림2교-상부_구조물주요자재(3공구)_1.광하1교-주요자재집계표" xfId="674" xr:uid="{00000000-0005-0000-0000-000016040000}"/>
    <cellStyle name="_산출근거(광양)_죽림2교-상부_구조물주요자재(3공구)_1.광하1교-주요자재집계표_01-소탄교-총괄수량집계표" xfId="675" xr:uid="{00000000-0005-0000-0000-000017040000}"/>
    <cellStyle name="_산출근거(광양)_죽림2교-상부_구조물주요자재(3공구)_1.광하1교-주요자재집계표_01-소탄교-총괄수량집계표1" xfId="676" xr:uid="{00000000-0005-0000-0000-000018040000}"/>
    <cellStyle name="_산출근거(광양)_죽림2교-상부_구조물주요자재(3공구)_1.광하1교-주요자재집계표_01-여곡2교-총괄수량집계표" xfId="677" xr:uid="{00000000-0005-0000-0000-000019040000}"/>
    <cellStyle name="_산출근거(광양)_죽림2교-상부_구조물주요자재(3공구)_1.광하1교-주요자재집계표_01-정선제3교-총괄수량집계표" xfId="2563" xr:uid="{00000000-0005-0000-0000-00001A040000}"/>
    <cellStyle name="_산출근거(광양)_죽림2교-상부_구조물주요자재(3공구)_4.광석교-상부수량집계" xfId="678" xr:uid="{00000000-0005-0000-0000-00001B040000}"/>
    <cellStyle name="_산출근거(광양)_죽림2교-상부_구조물주요자재(3공구)_4.광석교-상부수량집계_01-소탄교-총괄수량집계표" xfId="679" xr:uid="{00000000-0005-0000-0000-00001C040000}"/>
    <cellStyle name="_산출근거(광양)_죽림2교-상부_구조물주요자재(3공구)_4.광석교-상부수량집계_01-소탄교-총괄수량집계표1" xfId="680" xr:uid="{00000000-0005-0000-0000-00001D040000}"/>
    <cellStyle name="_산출근거(광양)_죽림2교-상부_구조물주요자재(3공구)_4.광석교-상부수량집계_01-여곡2교-총괄수량집계표" xfId="681" xr:uid="{00000000-0005-0000-0000-00001E040000}"/>
    <cellStyle name="_산출근거(광양)_죽림2교-상부_구조물주요자재(3공구)_4.광석교-상부수량집계_01-정선제3교-총괄수량집계표" xfId="2564" xr:uid="{00000000-0005-0000-0000-00001F040000}"/>
    <cellStyle name="_산출근거(광양)_죽림2교-상부_구조물주요자재(3공구)_x주요자재집계표" xfId="686" xr:uid="{00000000-0005-0000-0000-000020040000}"/>
    <cellStyle name="_산출근거(광양)_죽림2교-상부_구조물주요자재(3공구)_x주요자재집계표_01-소탄교-총괄수량집계표" xfId="687" xr:uid="{00000000-0005-0000-0000-000021040000}"/>
    <cellStyle name="_산출근거(광양)_죽림2교-상부_구조물주요자재(3공구)_x주요자재집계표_01-소탄교-총괄수량집계표1" xfId="688" xr:uid="{00000000-0005-0000-0000-000022040000}"/>
    <cellStyle name="_산출근거(광양)_죽림2교-상부_구조물주요자재(3공구)_x주요자재집계표_01-여곡2교-총괄수량집계표" xfId="689" xr:uid="{00000000-0005-0000-0000-000023040000}"/>
    <cellStyle name="_산출근거(광양)_죽림2교-상부_구조물주요자재(3공구)_x주요자재집계표_01-정선제3교-총괄수량집계표" xfId="2565" xr:uid="{00000000-0005-0000-0000-000024040000}"/>
    <cellStyle name="_산출근거(광양)_죽림2교-상부_구조물주요자재(3공구)_주요자재집계표" xfId="682" xr:uid="{00000000-0005-0000-0000-000025040000}"/>
    <cellStyle name="_산출근거(광양)_죽림2교-상부_구조물주요자재(3공구)_주요자재집계표_01-소탄교-총괄수량집계표" xfId="683" xr:uid="{00000000-0005-0000-0000-000026040000}"/>
    <cellStyle name="_산출근거(광양)_죽림2교-상부_구조물주요자재(3공구)_주요자재집계표_01-소탄교-총괄수량집계표1" xfId="684" xr:uid="{00000000-0005-0000-0000-000027040000}"/>
    <cellStyle name="_산출근거(광양)_죽림2교-상부_구조물주요자재(3공구)_주요자재집계표_01-여곡2교-총괄수량집계표" xfId="685" xr:uid="{00000000-0005-0000-0000-000028040000}"/>
    <cellStyle name="_산출근거(광양)_죽림2교-상부_구조물주요자재(3공구)_주요자재집계표_01-정선제3교-총괄수량집계표" xfId="2566" xr:uid="{00000000-0005-0000-0000-000029040000}"/>
    <cellStyle name="_산출근거(광양)_죽림2교-상부_주요자재집계표" xfId="690" xr:uid="{00000000-0005-0000-0000-00002A040000}"/>
    <cellStyle name="_산출근거(광양)_죽림2교-상부_주요자재집계표_01-소탄교-총괄수량집계표" xfId="691" xr:uid="{00000000-0005-0000-0000-00002B040000}"/>
    <cellStyle name="_산출근거(광양)_죽림2교-상부_주요자재집계표_01-소탄교-총괄수량집계표1" xfId="692" xr:uid="{00000000-0005-0000-0000-00002C040000}"/>
    <cellStyle name="_산출근거(광양)_죽림2교-상부_주요자재집계표_01-여곡2교-총괄수량집계표" xfId="693" xr:uid="{00000000-0005-0000-0000-00002D040000}"/>
    <cellStyle name="_산출근거(광양)_죽림2교-상부_주요자재집계표_01-정선제3교-총괄수량집계표" xfId="2567" xr:uid="{00000000-0005-0000-0000-00002E040000}"/>
    <cellStyle name="_산출근거(광양)_죽림2교-상부_죽림1교-상부" xfId="694" xr:uid="{00000000-0005-0000-0000-00002F040000}"/>
    <cellStyle name="_산출근거(광양)_죽림2교-상부_죽림1교-상부_01-소탄교-총괄수량집계표" xfId="695" xr:uid="{00000000-0005-0000-0000-000030040000}"/>
    <cellStyle name="_산출근거(광양)_죽림2교-상부_죽림1교-상부_01-소탄교-총괄수량집계표1" xfId="696" xr:uid="{00000000-0005-0000-0000-000031040000}"/>
    <cellStyle name="_산출근거(광양)_죽림2교-상부_죽림1교-상부_01-여곡2교-총괄수량집계표" xfId="697" xr:uid="{00000000-0005-0000-0000-000032040000}"/>
    <cellStyle name="_산출근거(광양)_죽림2교-상부_죽림1교-상부_01-정선제3교-총괄수량집계표" xfId="2568" xr:uid="{00000000-0005-0000-0000-000033040000}"/>
    <cellStyle name="_산출근거(광양)_죽림2교-상부_죽림1교-상부_1.광하1교-주요자재집계표" xfId="698" xr:uid="{00000000-0005-0000-0000-000034040000}"/>
    <cellStyle name="_산출근거(광양)_죽림2교-상부_죽림1교-상부_1.광하1교-주요자재집계표_01-소탄교-총괄수량집계표" xfId="699" xr:uid="{00000000-0005-0000-0000-000035040000}"/>
    <cellStyle name="_산출근거(광양)_죽림2교-상부_죽림1교-상부_1.광하1교-주요자재집계표_01-소탄교-총괄수량집계표1" xfId="700" xr:uid="{00000000-0005-0000-0000-000036040000}"/>
    <cellStyle name="_산출근거(광양)_죽림2교-상부_죽림1교-상부_1.광하1교-주요자재집계표_01-여곡2교-총괄수량집계표" xfId="701" xr:uid="{00000000-0005-0000-0000-000037040000}"/>
    <cellStyle name="_산출근거(광양)_죽림2교-상부_죽림1교-상부_1.광하1교-주요자재집계표_01-정선제3교-총괄수량집계표" xfId="2569" xr:uid="{00000000-0005-0000-0000-000038040000}"/>
    <cellStyle name="_산출근거(광양)_죽림2교-상부_죽림1교-상부_4.광석교-상부수량집계" xfId="702" xr:uid="{00000000-0005-0000-0000-000039040000}"/>
    <cellStyle name="_산출근거(광양)_죽림2교-상부_죽림1교-상부_4.광석교-상부수량집계_01-소탄교-총괄수량집계표" xfId="703" xr:uid="{00000000-0005-0000-0000-00003A040000}"/>
    <cellStyle name="_산출근거(광양)_죽림2교-상부_죽림1교-상부_4.광석교-상부수량집계_01-소탄교-총괄수량집계표1" xfId="704" xr:uid="{00000000-0005-0000-0000-00003B040000}"/>
    <cellStyle name="_산출근거(광양)_죽림2교-상부_죽림1교-상부_4.광석교-상부수량집계_01-여곡2교-총괄수량집계표" xfId="705" xr:uid="{00000000-0005-0000-0000-00003C040000}"/>
    <cellStyle name="_산출근거(광양)_죽림2교-상부_죽림1교-상부_4.광석교-상부수량집계_01-정선제3교-총괄수량집계표" xfId="2570" xr:uid="{00000000-0005-0000-0000-00003D040000}"/>
    <cellStyle name="_산출근거(광양)_죽림2교-상부_죽림1교-상부_x주요자재집계표" xfId="730" xr:uid="{00000000-0005-0000-0000-00003E040000}"/>
    <cellStyle name="_산출근거(광양)_죽림2교-상부_죽림1교-상부_x주요자재집계표_01-소탄교-총괄수량집계표" xfId="731" xr:uid="{00000000-0005-0000-0000-00003F040000}"/>
    <cellStyle name="_산출근거(광양)_죽림2교-상부_죽림1교-상부_x주요자재집계표_01-소탄교-총괄수량집계표1" xfId="732" xr:uid="{00000000-0005-0000-0000-000040040000}"/>
    <cellStyle name="_산출근거(광양)_죽림2교-상부_죽림1교-상부_x주요자재집계표_01-여곡2교-총괄수량집계표" xfId="733" xr:uid="{00000000-0005-0000-0000-000041040000}"/>
    <cellStyle name="_산출근거(광양)_죽림2교-상부_죽림1교-상부_x주요자재집계표_01-정선제3교-총괄수량집계표" xfId="2571" xr:uid="{00000000-0005-0000-0000-000042040000}"/>
    <cellStyle name="_산출근거(광양)_죽림2교-상부_죽림1교-상부_구조물주요자재(3공구)" xfId="706" xr:uid="{00000000-0005-0000-0000-000043040000}"/>
    <cellStyle name="_산출근거(광양)_죽림2교-상부_죽림1교-상부_구조물주요자재(3공구)_01-소탄교-총괄수량집계표" xfId="707" xr:uid="{00000000-0005-0000-0000-000044040000}"/>
    <cellStyle name="_산출근거(광양)_죽림2교-상부_죽림1교-상부_구조물주요자재(3공구)_01-소탄교-총괄수량집계표1" xfId="708" xr:uid="{00000000-0005-0000-0000-000045040000}"/>
    <cellStyle name="_산출근거(광양)_죽림2교-상부_죽림1교-상부_구조물주요자재(3공구)_01-여곡2교-총괄수량집계표" xfId="709" xr:uid="{00000000-0005-0000-0000-000046040000}"/>
    <cellStyle name="_산출근거(광양)_죽림2교-상부_죽림1교-상부_구조물주요자재(3공구)_01-정선제3교-총괄수량집계표" xfId="2572" xr:uid="{00000000-0005-0000-0000-000047040000}"/>
    <cellStyle name="_산출근거(광양)_죽림2교-상부_죽림1교-상부_구조물주요자재(3공구)_1.광하1교-주요자재집계표" xfId="710" xr:uid="{00000000-0005-0000-0000-000048040000}"/>
    <cellStyle name="_산출근거(광양)_죽림2교-상부_죽림1교-상부_구조물주요자재(3공구)_1.광하1교-주요자재집계표_01-소탄교-총괄수량집계표" xfId="711" xr:uid="{00000000-0005-0000-0000-000049040000}"/>
    <cellStyle name="_산출근거(광양)_죽림2교-상부_죽림1교-상부_구조물주요자재(3공구)_1.광하1교-주요자재집계표_01-소탄교-총괄수량집계표1" xfId="712" xr:uid="{00000000-0005-0000-0000-00004A040000}"/>
    <cellStyle name="_산출근거(광양)_죽림2교-상부_죽림1교-상부_구조물주요자재(3공구)_1.광하1교-주요자재집계표_01-여곡2교-총괄수량집계표" xfId="713" xr:uid="{00000000-0005-0000-0000-00004B040000}"/>
    <cellStyle name="_산출근거(광양)_죽림2교-상부_죽림1교-상부_구조물주요자재(3공구)_1.광하1교-주요자재집계표_01-정선제3교-총괄수량집계표" xfId="2573" xr:uid="{00000000-0005-0000-0000-00004C040000}"/>
    <cellStyle name="_산출근거(광양)_죽림2교-상부_죽림1교-상부_구조물주요자재(3공구)_4.광석교-상부수량집계" xfId="714" xr:uid="{00000000-0005-0000-0000-00004D040000}"/>
    <cellStyle name="_산출근거(광양)_죽림2교-상부_죽림1교-상부_구조물주요자재(3공구)_4.광석교-상부수량집계_01-소탄교-총괄수량집계표" xfId="715" xr:uid="{00000000-0005-0000-0000-00004E040000}"/>
    <cellStyle name="_산출근거(광양)_죽림2교-상부_죽림1교-상부_구조물주요자재(3공구)_4.광석교-상부수량집계_01-소탄교-총괄수량집계표1" xfId="716" xr:uid="{00000000-0005-0000-0000-00004F040000}"/>
    <cellStyle name="_산출근거(광양)_죽림2교-상부_죽림1교-상부_구조물주요자재(3공구)_4.광석교-상부수량집계_01-여곡2교-총괄수량집계표" xfId="717" xr:uid="{00000000-0005-0000-0000-000050040000}"/>
    <cellStyle name="_산출근거(광양)_죽림2교-상부_죽림1교-상부_구조물주요자재(3공구)_4.광석교-상부수량집계_01-정선제3교-총괄수량집계표" xfId="2574" xr:uid="{00000000-0005-0000-0000-000051040000}"/>
    <cellStyle name="_산출근거(광양)_죽림2교-상부_죽림1교-상부_구조물주요자재(3공구)_x주요자재집계표" xfId="722" xr:uid="{00000000-0005-0000-0000-000052040000}"/>
    <cellStyle name="_산출근거(광양)_죽림2교-상부_죽림1교-상부_구조물주요자재(3공구)_x주요자재집계표_01-소탄교-총괄수량집계표" xfId="723" xr:uid="{00000000-0005-0000-0000-000053040000}"/>
    <cellStyle name="_산출근거(광양)_죽림2교-상부_죽림1교-상부_구조물주요자재(3공구)_x주요자재집계표_01-소탄교-총괄수량집계표1" xfId="724" xr:uid="{00000000-0005-0000-0000-000054040000}"/>
    <cellStyle name="_산출근거(광양)_죽림2교-상부_죽림1교-상부_구조물주요자재(3공구)_x주요자재집계표_01-여곡2교-총괄수량집계표" xfId="725" xr:uid="{00000000-0005-0000-0000-000055040000}"/>
    <cellStyle name="_산출근거(광양)_죽림2교-상부_죽림1교-상부_구조물주요자재(3공구)_x주요자재집계표_01-정선제3교-총괄수량집계표" xfId="2575" xr:uid="{00000000-0005-0000-0000-000056040000}"/>
    <cellStyle name="_산출근거(광양)_죽림2교-상부_죽림1교-상부_구조물주요자재(3공구)_주요자재집계표" xfId="718" xr:uid="{00000000-0005-0000-0000-000057040000}"/>
    <cellStyle name="_산출근거(광양)_죽림2교-상부_죽림1교-상부_구조물주요자재(3공구)_주요자재집계표_01-소탄교-총괄수량집계표" xfId="719" xr:uid="{00000000-0005-0000-0000-000058040000}"/>
    <cellStyle name="_산출근거(광양)_죽림2교-상부_죽림1교-상부_구조물주요자재(3공구)_주요자재집계표_01-소탄교-총괄수량집계표1" xfId="720" xr:uid="{00000000-0005-0000-0000-000059040000}"/>
    <cellStyle name="_산출근거(광양)_죽림2교-상부_죽림1교-상부_구조물주요자재(3공구)_주요자재집계표_01-여곡2교-총괄수량집계표" xfId="721" xr:uid="{00000000-0005-0000-0000-00005A040000}"/>
    <cellStyle name="_산출근거(광양)_죽림2교-상부_죽림1교-상부_구조물주요자재(3공구)_주요자재집계표_01-정선제3교-총괄수량집계표" xfId="2576" xr:uid="{00000000-0005-0000-0000-00005B040000}"/>
    <cellStyle name="_산출근거(광양)_죽림2교-상부_죽림1교-상부_주요자재집계표" xfId="726" xr:uid="{00000000-0005-0000-0000-00005C040000}"/>
    <cellStyle name="_산출근거(광양)_죽림2교-상부_죽림1교-상부_주요자재집계표_01-소탄교-총괄수량집계표" xfId="727" xr:uid="{00000000-0005-0000-0000-00005D040000}"/>
    <cellStyle name="_산출근거(광양)_죽림2교-상부_죽림1교-상부_주요자재집계표_01-소탄교-총괄수량집계표1" xfId="728" xr:uid="{00000000-0005-0000-0000-00005E040000}"/>
    <cellStyle name="_산출근거(광양)_죽림2교-상부_죽림1교-상부_주요자재집계표_01-여곡2교-총괄수량집계표" xfId="729" xr:uid="{00000000-0005-0000-0000-00005F040000}"/>
    <cellStyle name="_산출근거(광양)_죽림2교-상부_죽림1교-상부_주요자재집계표_01-정선제3교-총괄수량집계표" xfId="2577" xr:uid="{00000000-0005-0000-0000-000060040000}"/>
    <cellStyle name="_산출근거(광양)_죽림2교-상부-1" xfId="738" xr:uid="{00000000-0005-0000-0000-000061040000}"/>
    <cellStyle name="_산출근거(광양)_죽림2교-상부-1_01-소탄교-총괄수량집계표" xfId="739" xr:uid="{00000000-0005-0000-0000-000062040000}"/>
    <cellStyle name="_산출근거(광양)_죽림2교-상부-1_01-소탄교-총괄수량집계표1" xfId="740" xr:uid="{00000000-0005-0000-0000-000063040000}"/>
    <cellStyle name="_산출근거(광양)_죽림2교-상부-1_01-여곡2교-총괄수량집계표" xfId="741" xr:uid="{00000000-0005-0000-0000-000064040000}"/>
    <cellStyle name="_산출근거(광양)_죽림2교-상부-1_01-정선제3교-총괄수량집계표" xfId="2578" xr:uid="{00000000-0005-0000-0000-000065040000}"/>
    <cellStyle name="_산출근거(광양)_죽림2교-상부-1_1.광하1교-주요자재집계표" xfId="742" xr:uid="{00000000-0005-0000-0000-000066040000}"/>
    <cellStyle name="_산출근거(광양)_죽림2교-상부-1_1.광하1교-주요자재집계표_01-소탄교-총괄수량집계표" xfId="743" xr:uid="{00000000-0005-0000-0000-000067040000}"/>
    <cellStyle name="_산출근거(광양)_죽림2교-상부-1_1.광하1교-주요자재집계표_01-소탄교-총괄수량집계표1" xfId="744" xr:uid="{00000000-0005-0000-0000-000068040000}"/>
    <cellStyle name="_산출근거(광양)_죽림2교-상부-1_1.광하1교-주요자재집계표_01-여곡2교-총괄수량집계표" xfId="745" xr:uid="{00000000-0005-0000-0000-000069040000}"/>
    <cellStyle name="_산출근거(광양)_죽림2교-상부-1_1.광하1교-주요자재집계표_01-정선제3교-총괄수량집계표" xfId="2579" xr:uid="{00000000-0005-0000-0000-00006A040000}"/>
    <cellStyle name="_산출근거(광양)_죽림2교-상부-1_4.광석교-상부수량집계" xfId="746" xr:uid="{00000000-0005-0000-0000-00006B040000}"/>
    <cellStyle name="_산출근거(광양)_죽림2교-상부-1_4.광석교-상부수량집계_01-소탄교-총괄수량집계표" xfId="747" xr:uid="{00000000-0005-0000-0000-00006C040000}"/>
    <cellStyle name="_산출근거(광양)_죽림2교-상부-1_4.광석교-상부수량집계_01-소탄교-총괄수량집계표1" xfId="748" xr:uid="{00000000-0005-0000-0000-00006D040000}"/>
    <cellStyle name="_산출근거(광양)_죽림2교-상부-1_4.광석교-상부수량집계_01-여곡2교-총괄수량집계표" xfId="749" xr:uid="{00000000-0005-0000-0000-00006E040000}"/>
    <cellStyle name="_산출근거(광양)_죽림2교-상부-1_4.광석교-상부수량집계_01-정선제3교-총괄수량집계표" xfId="2580" xr:uid="{00000000-0005-0000-0000-00006F040000}"/>
    <cellStyle name="_산출근거(광양)_죽림2교-상부-1_x주요자재집계표" xfId="814" xr:uid="{00000000-0005-0000-0000-000070040000}"/>
    <cellStyle name="_산출근거(광양)_죽림2교-상부-1_x주요자재집계표_01-소탄교-총괄수량집계표" xfId="815" xr:uid="{00000000-0005-0000-0000-000071040000}"/>
    <cellStyle name="_산출근거(광양)_죽림2교-상부-1_x주요자재집계표_01-소탄교-총괄수량집계표1" xfId="816" xr:uid="{00000000-0005-0000-0000-000072040000}"/>
    <cellStyle name="_산출근거(광양)_죽림2교-상부-1_x주요자재집계표_01-여곡2교-총괄수량집계표" xfId="817" xr:uid="{00000000-0005-0000-0000-000073040000}"/>
    <cellStyle name="_산출근거(광양)_죽림2교-상부-1_x주요자재집계표_01-정선제3교-총괄수량집계표" xfId="2581" xr:uid="{00000000-0005-0000-0000-000074040000}"/>
    <cellStyle name="_산출근거(광양)_죽림2교-상부-1_구조물주요자재(3공구)" xfId="750" xr:uid="{00000000-0005-0000-0000-000075040000}"/>
    <cellStyle name="_산출근거(광양)_죽림2교-상부-1_구조물주요자재(3공구)_01-소탄교-총괄수량집계표" xfId="751" xr:uid="{00000000-0005-0000-0000-000076040000}"/>
    <cellStyle name="_산출근거(광양)_죽림2교-상부-1_구조물주요자재(3공구)_01-소탄교-총괄수량집계표1" xfId="752" xr:uid="{00000000-0005-0000-0000-000077040000}"/>
    <cellStyle name="_산출근거(광양)_죽림2교-상부-1_구조물주요자재(3공구)_01-여곡2교-총괄수량집계표" xfId="753" xr:uid="{00000000-0005-0000-0000-000078040000}"/>
    <cellStyle name="_산출근거(광양)_죽림2교-상부-1_구조물주요자재(3공구)_01-정선제3교-총괄수량집계표" xfId="2582" xr:uid="{00000000-0005-0000-0000-000079040000}"/>
    <cellStyle name="_산출근거(광양)_죽림2교-상부-1_구조물주요자재(3공구)_1.광하1교-주요자재집계표" xfId="754" xr:uid="{00000000-0005-0000-0000-00007A040000}"/>
    <cellStyle name="_산출근거(광양)_죽림2교-상부-1_구조물주요자재(3공구)_1.광하1교-주요자재집계표_01-소탄교-총괄수량집계표" xfId="755" xr:uid="{00000000-0005-0000-0000-00007B040000}"/>
    <cellStyle name="_산출근거(광양)_죽림2교-상부-1_구조물주요자재(3공구)_1.광하1교-주요자재집계표_01-소탄교-총괄수량집계표1" xfId="756" xr:uid="{00000000-0005-0000-0000-00007C040000}"/>
    <cellStyle name="_산출근거(광양)_죽림2교-상부-1_구조물주요자재(3공구)_1.광하1교-주요자재집계표_01-여곡2교-총괄수량집계표" xfId="757" xr:uid="{00000000-0005-0000-0000-00007D040000}"/>
    <cellStyle name="_산출근거(광양)_죽림2교-상부-1_구조물주요자재(3공구)_1.광하1교-주요자재집계표_01-정선제3교-총괄수량집계표" xfId="2583" xr:uid="{00000000-0005-0000-0000-00007E040000}"/>
    <cellStyle name="_산출근거(광양)_죽림2교-상부-1_구조물주요자재(3공구)_4.광석교-상부수량집계" xfId="758" xr:uid="{00000000-0005-0000-0000-00007F040000}"/>
    <cellStyle name="_산출근거(광양)_죽림2교-상부-1_구조물주요자재(3공구)_4.광석교-상부수량집계_01-소탄교-총괄수량집계표" xfId="759" xr:uid="{00000000-0005-0000-0000-000080040000}"/>
    <cellStyle name="_산출근거(광양)_죽림2교-상부-1_구조물주요자재(3공구)_4.광석교-상부수량집계_01-소탄교-총괄수량집계표1" xfId="760" xr:uid="{00000000-0005-0000-0000-000081040000}"/>
    <cellStyle name="_산출근거(광양)_죽림2교-상부-1_구조물주요자재(3공구)_4.광석교-상부수량집계_01-여곡2교-총괄수량집계표" xfId="761" xr:uid="{00000000-0005-0000-0000-000082040000}"/>
    <cellStyle name="_산출근거(광양)_죽림2교-상부-1_구조물주요자재(3공구)_4.광석교-상부수량집계_01-정선제3교-총괄수량집계표" xfId="2584" xr:uid="{00000000-0005-0000-0000-000083040000}"/>
    <cellStyle name="_산출근거(광양)_죽림2교-상부-1_구조물주요자재(3공구)_x주요자재집계표" xfId="766" xr:uid="{00000000-0005-0000-0000-000084040000}"/>
    <cellStyle name="_산출근거(광양)_죽림2교-상부-1_구조물주요자재(3공구)_x주요자재집계표_01-소탄교-총괄수량집계표" xfId="767" xr:uid="{00000000-0005-0000-0000-000085040000}"/>
    <cellStyle name="_산출근거(광양)_죽림2교-상부-1_구조물주요자재(3공구)_x주요자재집계표_01-소탄교-총괄수량집계표1" xfId="768" xr:uid="{00000000-0005-0000-0000-000086040000}"/>
    <cellStyle name="_산출근거(광양)_죽림2교-상부-1_구조물주요자재(3공구)_x주요자재집계표_01-여곡2교-총괄수량집계표" xfId="769" xr:uid="{00000000-0005-0000-0000-000087040000}"/>
    <cellStyle name="_산출근거(광양)_죽림2교-상부-1_구조물주요자재(3공구)_x주요자재집계표_01-정선제3교-총괄수량집계표" xfId="2585" xr:uid="{00000000-0005-0000-0000-000088040000}"/>
    <cellStyle name="_산출근거(광양)_죽림2교-상부-1_구조물주요자재(3공구)_주요자재집계표" xfId="762" xr:uid="{00000000-0005-0000-0000-000089040000}"/>
    <cellStyle name="_산출근거(광양)_죽림2교-상부-1_구조물주요자재(3공구)_주요자재집계표_01-소탄교-총괄수량집계표" xfId="763" xr:uid="{00000000-0005-0000-0000-00008A040000}"/>
    <cellStyle name="_산출근거(광양)_죽림2교-상부-1_구조물주요자재(3공구)_주요자재집계표_01-소탄교-총괄수량집계표1" xfId="764" xr:uid="{00000000-0005-0000-0000-00008B040000}"/>
    <cellStyle name="_산출근거(광양)_죽림2교-상부-1_구조물주요자재(3공구)_주요자재집계표_01-여곡2교-총괄수량집계표" xfId="765" xr:uid="{00000000-0005-0000-0000-00008C040000}"/>
    <cellStyle name="_산출근거(광양)_죽림2교-상부-1_구조물주요자재(3공구)_주요자재집계표_01-정선제3교-총괄수량집계표" xfId="2586" xr:uid="{00000000-0005-0000-0000-00008D040000}"/>
    <cellStyle name="_산출근거(광양)_죽림2교-상부-1_주요자재집계표" xfId="770" xr:uid="{00000000-0005-0000-0000-00008E040000}"/>
    <cellStyle name="_산출근거(광양)_죽림2교-상부-1_주요자재집계표_01-소탄교-총괄수량집계표" xfId="771" xr:uid="{00000000-0005-0000-0000-00008F040000}"/>
    <cellStyle name="_산출근거(광양)_죽림2교-상부-1_주요자재집계표_01-소탄교-총괄수량집계표1" xfId="772" xr:uid="{00000000-0005-0000-0000-000090040000}"/>
    <cellStyle name="_산출근거(광양)_죽림2교-상부-1_주요자재집계표_01-여곡2교-총괄수량집계표" xfId="773" xr:uid="{00000000-0005-0000-0000-000091040000}"/>
    <cellStyle name="_산출근거(광양)_죽림2교-상부-1_주요자재집계표_01-정선제3교-총괄수량집계표" xfId="2587" xr:uid="{00000000-0005-0000-0000-000092040000}"/>
    <cellStyle name="_산출근거(광양)_죽림2교-상부-1_죽림1교-상부" xfId="774" xr:uid="{00000000-0005-0000-0000-000093040000}"/>
    <cellStyle name="_산출근거(광양)_죽림2교-상부-1_죽림1교-상부_01-소탄교-총괄수량집계표" xfId="775" xr:uid="{00000000-0005-0000-0000-000094040000}"/>
    <cellStyle name="_산출근거(광양)_죽림2교-상부-1_죽림1교-상부_01-소탄교-총괄수량집계표1" xfId="776" xr:uid="{00000000-0005-0000-0000-000095040000}"/>
    <cellStyle name="_산출근거(광양)_죽림2교-상부-1_죽림1교-상부_01-여곡2교-총괄수량집계표" xfId="777" xr:uid="{00000000-0005-0000-0000-000096040000}"/>
    <cellStyle name="_산출근거(광양)_죽림2교-상부-1_죽림1교-상부_01-정선제3교-총괄수량집계표" xfId="2588" xr:uid="{00000000-0005-0000-0000-000097040000}"/>
    <cellStyle name="_산출근거(광양)_죽림2교-상부-1_죽림1교-상부_1.광하1교-주요자재집계표" xfId="778" xr:uid="{00000000-0005-0000-0000-000098040000}"/>
    <cellStyle name="_산출근거(광양)_죽림2교-상부-1_죽림1교-상부_1.광하1교-주요자재집계표_01-소탄교-총괄수량집계표" xfId="779" xr:uid="{00000000-0005-0000-0000-000099040000}"/>
    <cellStyle name="_산출근거(광양)_죽림2교-상부-1_죽림1교-상부_1.광하1교-주요자재집계표_01-소탄교-총괄수량집계표1" xfId="780" xr:uid="{00000000-0005-0000-0000-00009A040000}"/>
    <cellStyle name="_산출근거(광양)_죽림2교-상부-1_죽림1교-상부_1.광하1교-주요자재집계표_01-여곡2교-총괄수량집계표" xfId="781" xr:uid="{00000000-0005-0000-0000-00009B040000}"/>
    <cellStyle name="_산출근거(광양)_죽림2교-상부-1_죽림1교-상부_1.광하1교-주요자재집계표_01-정선제3교-총괄수량집계표" xfId="2589" xr:uid="{00000000-0005-0000-0000-00009C040000}"/>
    <cellStyle name="_산출근거(광양)_죽림2교-상부-1_죽림1교-상부_4.광석교-상부수량집계" xfId="782" xr:uid="{00000000-0005-0000-0000-00009D040000}"/>
    <cellStyle name="_산출근거(광양)_죽림2교-상부-1_죽림1교-상부_4.광석교-상부수량집계_01-소탄교-총괄수량집계표" xfId="783" xr:uid="{00000000-0005-0000-0000-00009E040000}"/>
    <cellStyle name="_산출근거(광양)_죽림2교-상부-1_죽림1교-상부_4.광석교-상부수량집계_01-소탄교-총괄수량집계표1" xfId="784" xr:uid="{00000000-0005-0000-0000-00009F040000}"/>
    <cellStyle name="_산출근거(광양)_죽림2교-상부-1_죽림1교-상부_4.광석교-상부수량집계_01-여곡2교-총괄수량집계표" xfId="785" xr:uid="{00000000-0005-0000-0000-0000A0040000}"/>
    <cellStyle name="_산출근거(광양)_죽림2교-상부-1_죽림1교-상부_4.광석교-상부수량집계_01-정선제3교-총괄수량집계표" xfId="2590" xr:uid="{00000000-0005-0000-0000-0000A1040000}"/>
    <cellStyle name="_산출근거(광양)_죽림2교-상부-1_죽림1교-상부_x주요자재집계표" xfId="810" xr:uid="{00000000-0005-0000-0000-0000A2040000}"/>
    <cellStyle name="_산출근거(광양)_죽림2교-상부-1_죽림1교-상부_x주요자재집계표_01-소탄교-총괄수량집계표" xfId="811" xr:uid="{00000000-0005-0000-0000-0000A3040000}"/>
    <cellStyle name="_산출근거(광양)_죽림2교-상부-1_죽림1교-상부_x주요자재집계표_01-소탄교-총괄수량집계표1" xfId="812" xr:uid="{00000000-0005-0000-0000-0000A4040000}"/>
    <cellStyle name="_산출근거(광양)_죽림2교-상부-1_죽림1교-상부_x주요자재집계표_01-여곡2교-총괄수량집계표" xfId="813" xr:uid="{00000000-0005-0000-0000-0000A5040000}"/>
    <cellStyle name="_산출근거(광양)_죽림2교-상부-1_죽림1교-상부_x주요자재집계표_01-정선제3교-총괄수량집계표" xfId="2591" xr:uid="{00000000-0005-0000-0000-0000A6040000}"/>
    <cellStyle name="_산출근거(광양)_죽림2교-상부-1_죽림1교-상부_구조물주요자재(3공구)" xfId="786" xr:uid="{00000000-0005-0000-0000-0000A7040000}"/>
    <cellStyle name="_산출근거(광양)_죽림2교-상부-1_죽림1교-상부_구조물주요자재(3공구)_01-소탄교-총괄수량집계표" xfId="787" xr:uid="{00000000-0005-0000-0000-0000A8040000}"/>
    <cellStyle name="_산출근거(광양)_죽림2교-상부-1_죽림1교-상부_구조물주요자재(3공구)_01-소탄교-총괄수량집계표1" xfId="788" xr:uid="{00000000-0005-0000-0000-0000A9040000}"/>
    <cellStyle name="_산출근거(광양)_죽림2교-상부-1_죽림1교-상부_구조물주요자재(3공구)_01-여곡2교-총괄수량집계표" xfId="789" xr:uid="{00000000-0005-0000-0000-0000AA040000}"/>
    <cellStyle name="_산출근거(광양)_죽림2교-상부-1_죽림1교-상부_구조물주요자재(3공구)_01-정선제3교-총괄수량집계표" xfId="2592" xr:uid="{00000000-0005-0000-0000-0000AB040000}"/>
    <cellStyle name="_산출근거(광양)_죽림2교-상부-1_죽림1교-상부_구조물주요자재(3공구)_1.광하1교-주요자재집계표" xfId="790" xr:uid="{00000000-0005-0000-0000-0000AC040000}"/>
    <cellStyle name="_산출근거(광양)_죽림2교-상부-1_죽림1교-상부_구조물주요자재(3공구)_1.광하1교-주요자재집계표_01-소탄교-총괄수량집계표" xfId="791" xr:uid="{00000000-0005-0000-0000-0000AD040000}"/>
    <cellStyle name="_산출근거(광양)_죽림2교-상부-1_죽림1교-상부_구조물주요자재(3공구)_1.광하1교-주요자재집계표_01-소탄교-총괄수량집계표1" xfId="792" xr:uid="{00000000-0005-0000-0000-0000AE040000}"/>
    <cellStyle name="_산출근거(광양)_죽림2교-상부-1_죽림1교-상부_구조물주요자재(3공구)_1.광하1교-주요자재집계표_01-여곡2교-총괄수량집계표" xfId="793" xr:uid="{00000000-0005-0000-0000-0000AF040000}"/>
    <cellStyle name="_산출근거(광양)_죽림2교-상부-1_죽림1교-상부_구조물주요자재(3공구)_1.광하1교-주요자재집계표_01-정선제3교-총괄수량집계표" xfId="2593" xr:uid="{00000000-0005-0000-0000-0000B0040000}"/>
    <cellStyle name="_산출근거(광양)_죽림2교-상부-1_죽림1교-상부_구조물주요자재(3공구)_4.광석교-상부수량집계" xfId="794" xr:uid="{00000000-0005-0000-0000-0000B1040000}"/>
    <cellStyle name="_산출근거(광양)_죽림2교-상부-1_죽림1교-상부_구조물주요자재(3공구)_4.광석교-상부수량집계_01-소탄교-총괄수량집계표" xfId="795" xr:uid="{00000000-0005-0000-0000-0000B2040000}"/>
    <cellStyle name="_산출근거(광양)_죽림2교-상부-1_죽림1교-상부_구조물주요자재(3공구)_4.광석교-상부수량집계_01-소탄교-총괄수량집계표1" xfId="796" xr:uid="{00000000-0005-0000-0000-0000B3040000}"/>
    <cellStyle name="_산출근거(광양)_죽림2교-상부-1_죽림1교-상부_구조물주요자재(3공구)_4.광석교-상부수량집계_01-여곡2교-총괄수량집계표" xfId="797" xr:uid="{00000000-0005-0000-0000-0000B4040000}"/>
    <cellStyle name="_산출근거(광양)_죽림2교-상부-1_죽림1교-상부_구조물주요자재(3공구)_4.광석교-상부수량집계_01-정선제3교-총괄수량집계표" xfId="2594" xr:uid="{00000000-0005-0000-0000-0000B5040000}"/>
    <cellStyle name="_산출근거(광양)_죽림2교-상부-1_죽림1교-상부_구조물주요자재(3공구)_x주요자재집계표" xfId="802" xr:uid="{00000000-0005-0000-0000-0000B6040000}"/>
    <cellStyle name="_산출근거(광양)_죽림2교-상부-1_죽림1교-상부_구조물주요자재(3공구)_x주요자재집계표_01-소탄교-총괄수량집계표" xfId="803" xr:uid="{00000000-0005-0000-0000-0000B7040000}"/>
    <cellStyle name="_산출근거(광양)_죽림2교-상부-1_죽림1교-상부_구조물주요자재(3공구)_x주요자재집계표_01-소탄교-총괄수량집계표1" xfId="804" xr:uid="{00000000-0005-0000-0000-0000B8040000}"/>
    <cellStyle name="_산출근거(광양)_죽림2교-상부-1_죽림1교-상부_구조물주요자재(3공구)_x주요자재집계표_01-여곡2교-총괄수량집계표" xfId="805" xr:uid="{00000000-0005-0000-0000-0000B9040000}"/>
    <cellStyle name="_산출근거(광양)_죽림2교-상부-1_죽림1교-상부_구조물주요자재(3공구)_x주요자재집계표_01-정선제3교-총괄수량집계표" xfId="2595" xr:uid="{00000000-0005-0000-0000-0000BA040000}"/>
    <cellStyle name="_산출근거(광양)_죽림2교-상부-1_죽림1교-상부_구조물주요자재(3공구)_주요자재집계표" xfId="798" xr:uid="{00000000-0005-0000-0000-0000BB040000}"/>
    <cellStyle name="_산출근거(광양)_죽림2교-상부-1_죽림1교-상부_구조물주요자재(3공구)_주요자재집계표_01-소탄교-총괄수량집계표" xfId="799" xr:uid="{00000000-0005-0000-0000-0000BC040000}"/>
    <cellStyle name="_산출근거(광양)_죽림2교-상부-1_죽림1교-상부_구조물주요자재(3공구)_주요자재집계표_01-소탄교-총괄수량집계표1" xfId="800" xr:uid="{00000000-0005-0000-0000-0000BD040000}"/>
    <cellStyle name="_산출근거(광양)_죽림2교-상부-1_죽림1교-상부_구조물주요자재(3공구)_주요자재집계표_01-여곡2교-총괄수량집계표" xfId="801" xr:uid="{00000000-0005-0000-0000-0000BE040000}"/>
    <cellStyle name="_산출근거(광양)_죽림2교-상부-1_죽림1교-상부_구조물주요자재(3공구)_주요자재집계표_01-정선제3교-총괄수량집계표" xfId="2596" xr:uid="{00000000-0005-0000-0000-0000BF040000}"/>
    <cellStyle name="_산출근거(광양)_죽림2교-상부-1_죽림1교-상부_주요자재집계표" xfId="806" xr:uid="{00000000-0005-0000-0000-0000C0040000}"/>
    <cellStyle name="_산출근거(광양)_죽림2교-상부-1_죽림1교-상부_주요자재집계표_01-소탄교-총괄수량집계표" xfId="807" xr:uid="{00000000-0005-0000-0000-0000C1040000}"/>
    <cellStyle name="_산출근거(광양)_죽림2교-상부-1_죽림1교-상부_주요자재집계표_01-소탄교-총괄수량집계표1" xfId="808" xr:uid="{00000000-0005-0000-0000-0000C2040000}"/>
    <cellStyle name="_산출근거(광양)_죽림2교-상부-1_죽림1교-상부_주요자재집계표_01-여곡2교-총괄수량집계표" xfId="809" xr:uid="{00000000-0005-0000-0000-0000C3040000}"/>
    <cellStyle name="_산출근거(광양)_죽림2교-상부-1_죽림1교-상부_주요자재집계표_01-정선제3교-총괄수량집계표" xfId="2597" xr:uid="{00000000-0005-0000-0000-0000C4040000}"/>
    <cellStyle name="_산출근거(목포)" xfId="822" xr:uid="{00000000-0005-0000-0000-0000C5040000}"/>
    <cellStyle name="_산출근거(목포)_01-소탄교-총괄수량집계표" xfId="823" xr:uid="{00000000-0005-0000-0000-0000C6040000}"/>
    <cellStyle name="_산출근거(목포)_01-소탄교-총괄수량집계표1" xfId="824" xr:uid="{00000000-0005-0000-0000-0000C7040000}"/>
    <cellStyle name="_산출근거(목포)_01-여곡2교-총괄수량집계표" xfId="825" xr:uid="{00000000-0005-0000-0000-0000C8040000}"/>
    <cellStyle name="_산출근거(목포)_01-정선제3교-총괄수량집계표" xfId="2598" xr:uid="{00000000-0005-0000-0000-0000C9040000}"/>
    <cellStyle name="_산출근거(목포)_02석굴암교-상부(강재)_04-강재및도장수량" xfId="2599" xr:uid="{00000000-0005-0000-0000-0000CA040000}"/>
    <cellStyle name="_산출근거(목포)_1.광하1교-주요자재집계표" xfId="826" xr:uid="{00000000-0005-0000-0000-0000CB040000}"/>
    <cellStyle name="_산출근거(목포)_1.광하1교-주요자재집계표_01-소탄교-총괄수량집계표" xfId="827" xr:uid="{00000000-0005-0000-0000-0000CC040000}"/>
    <cellStyle name="_산출근거(목포)_1.광하1교-주요자재집계표_01-소탄교-총괄수량집계표1" xfId="828" xr:uid="{00000000-0005-0000-0000-0000CD040000}"/>
    <cellStyle name="_산출근거(목포)_1.광하1교-주요자재집계표_01-여곡2교-총괄수량집계표" xfId="829" xr:uid="{00000000-0005-0000-0000-0000CE040000}"/>
    <cellStyle name="_산출근거(목포)_1.광하1교-주요자재집계표_01-정선제3교-총괄수량집계표" xfId="2600" xr:uid="{00000000-0005-0000-0000-0000CF040000}"/>
    <cellStyle name="_산출근거(목포)_4.광석교-상부수량집계" xfId="830" xr:uid="{00000000-0005-0000-0000-0000D0040000}"/>
    <cellStyle name="_산출근거(목포)_4.광석교-상부수량집계_01-소탄교-총괄수량집계표" xfId="831" xr:uid="{00000000-0005-0000-0000-0000D1040000}"/>
    <cellStyle name="_산출근거(목포)_4.광석교-상부수량집계_01-소탄교-총괄수량집계표1" xfId="832" xr:uid="{00000000-0005-0000-0000-0000D2040000}"/>
    <cellStyle name="_산출근거(목포)_4.광석교-상부수량집계_01-여곡2교-총괄수량집계표" xfId="833" xr:uid="{00000000-0005-0000-0000-0000D3040000}"/>
    <cellStyle name="_산출근거(목포)_4.광석교-상부수량집계_01-정선제3교-총괄수량집계표" xfId="2601" xr:uid="{00000000-0005-0000-0000-0000D4040000}"/>
    <cellStyle name="_산출근거(목포)_HG2-상부수량_02석굴암교-상부(강재)_04-강재및도장수량" xfId="2602" xr:uid="{00000000-0005-0000-0000-0000D5040000}"/>
    <cellStyle name="_산출근거(목포)_HG2-상부수량_상부수량_02석굴암교-상부(강재)_04-강재및도장수량" xfId="2603" xr:uid="{00000000-0005-0000-0000-0000D6040000}"/>
    <cellStyle name="_산출근거(목포)_HG2-상부수량_황길1교-상부수량_02석굴암교-상부(강재)_04-강재및도장수량" xfId="2604" xr:uid="{00000000-0005-0000-0000-0000D7040000}"/>
    <cellStyle name="_산출근거(목포)_HG2-상부수량_황길2교-상부수량_02석굴암교-상부(강재)_04-강재및도장수량" xfId="2605" xr:uid="{00000000-0005-0000-0000-0000D8040000}"/>
    <cellStyle name="_산출근거(목포)_x주요자재집계표" xfId="1070" xr:uid="{00000000-0005-0000-0000-0000D9040000}"/>
    <cellStyle name="_산출근거(목포)_x주요자재집계표_01-소탄교-총괄수량집계표" xfId="1071" xr:uid="{00000000-0005-0000-0000-0000DA040000}"/>
    <cellStyle name="_산출근거(목포)_x주요자재집계표_01-소탄교-총괄수량집계표1" xfId="1072" xr:uid="{00000000-0005-0000-0000-0000DB040000}"/>
    <cellStyle name="_산출근거(목포)_x주요자재집계표_01-여곡2교-총괄수량집계표" xfId="1073" xr:uid="{00000000-0005-0000-0000-0000DC040000}"/>
    <cellStyle name="_산출근거(목포)_x주요자재집계표_01-정선제3교-총괄수량집계표" xfId="2606" xr:uid="{00000000-0005-0000-0000-0000DD040000}"/>
    <cellStyle name="_산출근거(목포)_교량별총괄집계(신리5교)" xfId="834" xr:uid="{00000000-0005-0000-0000-0000DE040000}"/>
    <cellStyle name="_산출근거(목포)_교량별총괄집계(신리5교)_01-소탄교-총괄수량집계표" xfId="835" xr:uid="{00000000-0005-0000-0000-0000DF040000}"/>
    <cellStyle name="_산출근거(목포)_교량별총괄집계(신리5교)_01-소탄교-총괄수량집계표1" xfId="836" xr:uid="{00000000-0005-0000-0000-0000E0040000}"/>
    <cellStyle name="_산출근거(목포)_교량별총괄집계(신리5교)_01-여곡2교-총괄수량집계표" xfId="837" xr:uid="{00000000-0005-0000-0000-0000E1040000}"/>
    <cellStyle name="_산출근거(목포)_교량별총괄집계(신리5교)_01-정선제3교-총괄수량집계표" xfId="2607" xr:uid="{00000000-0005-0000-0000-0000E2040000}"/>
    <cellStyle name="_산출근거(목포)_교량별총괄집계(신리5교)_02석굴암교-상부(강재)_04-강재및도장수량" xfId="2608" xr:uid="{00000000-0005-0000-0000-0000E3040000}"/>
    <cellStyle name="_산출근거(목포)_교량별총괄집계(신리5교)_HG2-상부수량_02석굴암교-상부(강재)_04-강재및도장수량" xfId="2609" xr:uid="{00000000-0005-0000-0000-0000E4040000}"/>
    <cellStyle name="_산출근거(목포)_교량별총괄집계(신리5교)_HG2-상부수량_상부수량_02석굴암교-상부(강재)_04-강재및도장수량" xfId="2610" xr:uid="{00000000-0005-0000-0000-0000E5040000}"/>
    <cellStyle name="_산출근거(목포)_교량별총괄집계(신리5교)_HG2-상부수량_황길1교-상부수량_02석굴암교-상부(강재)_04-강재및도장수량" xfId="2611" xr:uid="{00000000-0005-0000-0000-0000E6040000}"/>
    <cellStyle name="_산출근거(목포)_교량별총괄집계(신리5교)_HG2-상부수량_황길2교-상부수량_02석굴암교-상부(강재)_04-강재및도장수량" xfId="2612" xr:uid="{00000000-0005-0000-0000-0000E7040000}"/>
    <cellStyle name="_산출근거(목포)_구조물주요자재(3공구)" xfId="838" xr:uid="{00000000-0005-0000-0000-0000E8040000}"/>
    <cellStyle name="_산출근거(목포)_구조물주요자재(3공구)_01-소탄교-총괄수량집계표" xfId="839" xr:uid="{00000000-0005-0000-0000-0000E9040000}"/>
    <cellStyle name="_산출근거(목포)_구조물주요자재(3공구)_01-소탄교-총괄수량집계표1" xfId="840" xr:uid="{00000000-0005-0000-0000-0000EA040000}"/>
    <cellStyle name="_산출근거(목포)_구조물주요자재(3공구)_01-여곡2교-총괄수량집계표" xfId="841" xr:uid="{00000000-0005-0000-0000-0000EB040000}"/>
    <cellStyle name="_산출근거(목포)_구조물주요자재(3공구)_01-정선제3교-총괄수량집계표" xfId="2613" xr:uid="{00000000-0005-0000-0000-0000EC040000}"/>
    <cellStyle name="_산출근거(목포)_구조물주요자재(3공구)_1.광하1교-주요자재집계표" xfId="842" xr:uid="{00000000-0005-0000-0000-0000ED040000}"/>
    <cellStyle name="_산출근거(목포)_구조물주요자재(3공구)_1.광하1교-주요자재집계표_01-소탄교-총괄수량집계표" xfId="843" xr:uid="{00000000-0005-0000-0000-0000EE040000}"/>
    <cellStyle name="_산출근거(목포)_구조물주요자재(3공구)_1.광하1교-주요자재집계표_01-소탄교-총괄수량집계표1" xfId="844" xr:uid="{00000000-0005-0000-0000-0000EF040000}"/>
    <cellStyle name="_산출근거(목포)_구조물주요자재(3공구)_1.광하1교-주요자재집계표_01-여곡2교-총괄수량집계표" xfId="845" xr:uid="{00000000-0005-0000-0000-0000F0040000}"/>
    <cellStyle name="_산출근거(목포)_구조물주요자재(3공구)_1.광하1교-주요자재집계표_01-정선제3교-총괄수량집계표" xfId="2614" xr:uid="{00000000-0005-0000-0000-0000F1040000}"/>
    <cellStyle name="_산출근거(목포)_구조물주요자재(3공구)_4.광석교-상부수량집계" xfId="846" xr:uid="{00000000-0005-0000-0000-0000F2040000}"/>
    <cellStyle name="_산출근거(목포)_구조물주요자재(3공구)_4.광석교-상부수량집계_01-소탄교-총괄수량집계표" xfId="847" xr:uid="{00000000-0005-0000-0000-0000F3040000}"/>
    <cellStyle name="_산출근거(목포)_구조물주요자재(3공구)_4.광석교-상부수량집계_01-소탄교-총괄수량집계표1" xfId="848" xr:uid="{00000000-0005-0000-0000-0000F4040000}"/>
    <cellStyle name="_산출근거(목포)_구조물주요자재(3공구)_4.광석교-상부수량집계_01-여곡2교-총괄수량집계표" xfId="849" xr:uid="{00000000-0005-0000-0000-0000F5040000}"/>
    <cellStyle name="_산출근거(목포)_구조물주요자재(3공구)_4.광석교-상부수량집계_01-정선제3교-총괄수량집계표" xfId="2615" xr:uid="{00000000-0005-0000-0000-0000F6040000}"/>
    <cellStyle name="_산출근거(목포)_구조물주요자재(3공구)_x주요자재집계표" xfId="854" xr:uid="{00000000-0005-0000-0000-0000F7040000}"/>
    <cellStyle name="_산출근거(목포)_구조물주요자재(3공구)_x주요자재집계표_01-소탄교-총괄수량집계표" xfId="855" xr:uid="{00000000-0005-0000-0000-0000F8040000}"/>
    <cellStyle name="_산출근거(목포)_구조물주요자재(3공구)_x주요자재집계표_01-소탄교-총괄수량집계표1" xfId="856" xr:uid="{00000000-0005-0000-0000-0000F9040000}"/>
    <cellStyle name="_산출근거(목포)_구조물주요자재(3공구)_x주요자재집계표_01-여곡2교-총괄수량집계표" xfId="857" xr:uid="{00000000-0005-0000-0000-0000FA040000}"/>
    <cellStyle name="_산출근거(목포)_구조물주요자재(3공구)_x주요자재집계표_01-정선제3교-총괄수량집계표" xfId="2616" xr:uid="{00000000-0005-0000-0000-0000FB040000}"/>
    <cellStyle name="_산출근거(목포)_구조물주요자재(3공구)_주요자재집계표" xfId="850" xr:uid="{00000000-0005-0000-0000-0000FC040000}"/>
    <cellStyle name="_산출근거(목포)_구조물주요자재(3공구)_주요자재집계표_01-소탄교-총괄수량집계표" xfId="851" xr:uid="{00000000-0005-0000-0000-0000FD040000}"/>
    <cellStyle name="_산출근거(목포)_구조물주요자재(3공구)_주요자재집계표_01-소탄교-총괄수량집계표1" xfId="852" xr:uid="{00000000-0005-0000-0000-0000FE040000}"/>
    <cellStyle name="_산출근거(목포)_구조물주요자재(3공구)_주요자재집계표_01-여곡2교-총괄수량집계표" xfId="853" xr:uid="{00000000-0005-0000-0000-0000FF040000}"/>
    <cellStyle name="_산출근거(목포)_구조물주요자재(3공구)_주요자재집계표_01-정선제3교-총괄수량집계표" xfId="2617" xr:uid="{00000000-0005-0000-0000-000000050000}"/>
    <cellStyle name="_산출근거(목포)_신리5교 상부" xfId="858" xr:uid="{00000000-0005-0000-0000-000001050000}"/>
    <cellStyle name="_산출근거(목포)_신리5교 상부_01-소탄교-총괄수량집계표" xfId="859" xr:uid="{00000000-0005-0000-0000-000002050000}"/>
    <cellStyle name="_산출근거(목포)_신리5교 상부_01-소탄교-총괄수량집계표1" xfId="860" xr:uid="{00000000-0005-0000-0000-000003050000}"/>
    <cellStyle name="_산출근거(목포)_신리5교 상부_01-여곡2교-총괄수량집계표" xfId="861" xr:uid="{00000000-0005-0000-0000-000004050000}"/>
    <cellStyle name="_산출근거(목포)_신리5교 상부_01-정선제3교-총괄수량집계표" xfId="2618" xr:uid="{00000000-0005-0000-0000-000005050000}"/>
    <cellStyle name="_산출근거(목포)_신리5교 상부_02석굴암교-상부(강재)_04-강재및도장수량" xfId="2619" xr:uid="{00000000-0005-0000-0000-000006050000}"/>
    <cellStyle name="_산출근거(목포)_신리5교 상부_HG2-상부수량_02석굴암교-상부(강재)_04-강재및도장수량" xfId="2620" xr:uid="{00000000-0005-0000-0000-000007050000}"/>
    <cellStyle name="_산출근거(목포)_신리5교 상부_HG2-상부수량_상부수량_02석굴암교-상부(강재)_04-강재및도장수량" xfId="2621" xr:uid="{00000000-0005-0000-0000-000008050000}"/>
    <cellStyle name="_산출근거(목포)_신리5교 상부_HG2-상부수량_황길1교-상부수량_02석굴암교-상부(강재)_04-강재및도장수량" xfId="2622" xr:uid="{00000000-0005-0000-0000-000009050000}"/>
    <cellStyle name="_산출근거(목포)_신리5교 상부_HG2-상부수량_황길2교-상부수량_02석굴암교-상부(강재)_04-강재및도장수량" xfId="2623" xr:uid="{00000000-0005-0000-0000-00000A050000}"/>
    <cellStyle name="_산출근거(목포)_신리6교 상부" xfId="862" xr:uid="{00000000-0005-0000-0000-00000B050000}"/>
    <cellStyle name="_산출근거(목포)_신리6교 상부_01-소탄교-총괄수량집계표" xfId="863" xr:uid="{00000000-0005-0000-0000-00000C050000}"/>
    <cellStyle name="_산출근거(목포)_신리6교 상부_01-소탄교-총괄수량집계표1" xfId="864" xr:uid="{00000000-0005-0000-0000-00000D050000}"/>
    <cellStyle name="_산출근거(목포)_신리6교 상부_01-여곡2교-총괄수량집계표" xfId="865" xr:uid="{00000000-0005-0000-0000-00000E050000}"/>
    <cellStyle name="_산출근거(목포)_신리6교 상부_01-정선제3교-총괄수량집계표" xfId="2624" xr:uid="{00000000-0005-0000-0000-00000F050000}"/>
    <cellStyle name="_산출근거(목포)_신리6교 상부_02석굴암교-상부(강재)_04-강재및도장수량" xfId="2625" xr:uid="{00000000-0005-0000-0000-000010050000}"/>
    <cellStyle name="_산출근거(목포)_신리6교 상부_HG2-상부수량_02석굴암교-상부(강재)_04-강재및도장수량" xfId="2626" xr:uid="{00000000-0005-0000-0000-000011050000}"/>
    <cellStyle name="_산출근거(목포)_신리6교 상부_HG2-상부수량_상부수량_02석굴암교-상부(강재)_04-강재및도장수량" xfId="2627" xr:uid="{00000000-0005-0000-0000-000012050000}"/>
    <cellStyle name="_산출근거(목포)_신리6교 상부_HG2-상부수량_황길1교-상부수량_02석굴암교-상부(강재)_04-강재및도장수량" xfId="2628" xr:uid="{00000000-0005-0000-0000-000013050000}"/>
    <cellStyle name="_산출근거(목포)_신리6교 상부_HG2-상부수량_황길2교-상부수량_02석굴암교-상부(강재)_04-강재및도장수량" xfId="2629" xr:uid="{00000000-0005-0000-0000-000014050000}"/>
    <cellStyle name="_산출근거(목포)_주요자재집계표" xfId="866" xr:uid="{00000000-0005-0000-0000-000015050000}"/>
    <cellStyle name="_산출근거(목포)_주요자재집계표_01-소탄교-총괄수량집계표" xfId="867" xr:uid="{00000000-0005-0000-0000-000016050000}"/>
    <cellStyle name="_산출근거(목포)_주요자재집계표_01-소탄교-총괄수량집계표1" xfId="868" xr:uid="{00000000-0005-0000-0000-000017050000}"/>
    <cellStyle name="_산출근거(목포)_주요자재집계표_01-여곡2교-총괄수량집계표" xfId="869" xr:uid="{00000000-0005-0000-0000-000018050000}"/>
    <cellStyle name="_산출근거(목포)_주요자재집계표_01-정선제3교-총괄수량집계표" xfId="2630" xr:uid="{00000000-0005-0000-0000-000019050000}"/>
    <cellStyle name="_산출근거(목포)_죽림1교-상부" xfId="870" xr:uid="{00000000-0005-0000-0000-00001A050000}"/>
    <cellStyle name="_산출근거(목포)_죽림1교-상부_01-소탄교-총괄수량집계표" xfId="871" xr:uid="{00000000-0005-0000-0000-00001B050000}"/>
    <cellStyle name="_산출근거(목포)_죽림1교-상부_01-소탄교-총괄수량집계표1" xfId="872" xr:uid="{00000000-0005-0000-0000-00001C050000}"/>
    <cellStyle name="_산출근거(목포)_죽림1교-상부_01-여곡2교-총괄수량집계표" xfId="873" xr:uid="{00000000-0005-0000-0000-00001D050000}"/>
    <cellStyle name="_산출근거(목포)_죽림1교-상부_01-정선제3교-총괄수량집계표" xfId="2631" xr:uid="{00000000-0005-0000-0000-00001E050000}"/>
    <cellStyle name="_산출근거(목포)_죽림1교-상부_1.광하1교-주요자재집계표" xfId="874" xr:uid="{00000000-0005-0000-0000-00001F050000}"/>
    <cellStyle name="_산출근거(목포)_죽림1교-상부_1.광하1교-주요자재집계표_01-소탄교-총괄수량집계표" xfId="875" xr:uid="{00000000-0005-0000-0000-000020050000}"/>
    <cellStyle name="_산출근거(목포)_죽림1교-상부_1.광하1교-주요자재집계표_01-소탄교-총괄수량집계표1" xfId="876" xr:uid="{00000000-0005-0000-0000-000021050000}"/>
    <cellStyle name="_산출근거(목포)_죽림1교-상부_1.광하1교-주요자재집계표_01-여곡2교-총괄수량집계표" xfId="877" xr:uid="{00000000-0005-0000-0000-000022050000}"/>
    <cellStyle name="_산출근거(목포)_죽림1교-상부_1.광하1교-주요자재집계표_01-정선제3교-총괄수량집계표" xfId="2632" xr:uid="{00000000-0005-0000-0000-000023050000}"/>
    <cellStyle name="_산출근거(목포)_죽림1교-상부_4.광석교-상부수량집계" xfId="878" xr:uid="{00000000-0005-0000-0000-000024050000}"/>
    <cellStyle name="_산출근거(목포)_죽림1교-상부_4.광석교-상부수량집계_01-소탄교-총괄수량집계표" xfId="879" xr:uid="{00000000-0005-0000-0000-000025050000}"/>
    <cellStyle name="_산출근거(목포)_죽림1교-상부_4.광석교-상부수량집계_01-소탄교-총괄수량집계표1" xfId="880" xr:uid="{00000000-0005-0000-0000-000026050000}"/>
    <cellStyle name="_산출근거(목포)_죽림1교-상부_4.광석교-상부수량집계_01-여곡2교-총괄수량집계표" xfId="881" xr:uid="{00000000-0005-0000-0000-000027050000}"/>
    <cellStyle name="_산출근거(목포)_죽림1교-상부_4.광석교-상부수량집계_01-정선제3교-총괄수량집계표" xfId="2633" xr:uid="{00000000-0005-0000-0000-000028050000}"/>
    <cellStyle name="_산출근거(목포)_죽림1교-상부_x주요자재집계표" xfId="906" xr:uid="{00000000-0005-0000-0000-000029050000}"/>
    <cellStyle name="_산출근거(목포)_죽림1교-상부_x주요자재집계표_01-소탄교-총괄수량집계표" xfId="907" xr:uid="{00000000-0005-0000-0000-00002A050000}"/>
    <cellStyle name="_산출근거(목포)_죽림1교-상부_x주요자재집계표_01-소탄교-총괄수량집계표1" xfId="908" xr:uid="{00000000-0005-0000-0000-00002B050000}"/>
    <cellStyle name="_산출근거(목포)_죽림1교-상부_x주요자재집계표_01-여곡2교-총괄수량집계표" xfId="909" xr:uid="{00000000-0005-0000-0000-00002C050000}"/>
    <cellStyle name="_산출근거(목포)_죽림1교-상부_x주요자재집계표_01-정선제3교-총괄수량집계표" xfId="2634" xr:uid="{00000000-0005-0000-0000-00002D050000}"/>
    <cellStyle name="_산출근거(목포)_죽림1교-상부_구조물주요자재(3공구)" xfId="882" xr:uid="{00000000-0005-0000-0000-00002E050000}"/>
    <cellStyle name="_산출근거(목포)_죽림1교-상부_구조물주요자재(3공구)_01-소탄교-총괄수량집계표" xfId="883" xr:uid="{00000000-0005-0000-0000-00002F050000}"/>
    <cellStyle name="_산출근거(목포)_죽림1교-상부_구조물주요자재(3공구)_01-소탄교-총괄수량집계표1" xfId="884" xr:uid="{00000000-0005-0000-0000-000030050000}"/>
    <cellStyle name="_산출근거(목포)_죽림1교-상부_구조물주요자재(3공구)_01-여곡2교-총괄수량집계표" xfId="885" xr:uid="{00000000-0005-0000-0000-000031050000}"/>
    <cellStyle name="_산출근거(목포)_죽림1교-상부_구조물주요자재(3공구)_01-정선제3교-총괄수량집계표" xfId="2635" xr:uid="{00000000-0005-0000-0000-000032050000}"/>
    <cellStyle name="_산출근거(목포)_죽림1교-상부_구조물주요자재(3공구)_1.광하1교-주요자재집계표" xfId="886" xr:uid="{00000000-0005-0000-0000-000033050000}"/>
    <cellStyle name="_산출근거(목포)_죽림1교-상부_구조물주요자재(3공구)_1.광하1교-주요자재집계표_01-소탄교-총괄수량집계표" xfId="887" xr:uid="{00000000-0005-0000-0000-000034050000}"/>
    <cellStyle name="_산출근거(목포)_죽림1교-상부_구조물주요자재(3공구)_1.광하1교-주요자재집계표_01-소탄교-총괄수량집계표1" xfId="888" xr:uid="{00000000-0005-0000-0000-000035050000}"/>
    <cellStyle name="_산출근거(목포)_죽림1교-상부_구조물주요자재(3공구)_1.광하1교-주요자재집계표_01-여곡2교-총괄수량집계표" xfId="889" xr:uid="{00000000-0005-0000-0000-000036050000}"/>
    <cellStyle name="_산출근거(목포)_죽림1교-상부_구조물주요자재(3공구)_1.광하1교-주요자재집계표_01-정선제3교-총괄수량집계표" xfId="2636" xr:uid="{00000000-0005-0000-0000-000037050000}"/>
    <cellStyle name="_산출근거(목포)_죽림1교-상부_구조물주요자재(3공구)_4.광석교-상부수량집계" xfId="890" xr:uid="{00000000-0005-0000-0000-000038050000}"/>
    <cellStyle name="_산출근거(목포)_죽림1교-상부_구조물주요자재(3공구)_4.광석교-상부수량집계_01-소탄교-총괄수량집계표" xfId="891" xr:uid="{00000000-0005-0000-0000-000039050000}"/>
    <cellStyle name="_산출근거(목포)_죽림1교-상부_구조물주요자재(3공구)_4.광석교-상부수량집계_01-소탄교-총괄수량집계표1" xfId="892" xr:uid="{00000000-0005-0000-0000-00003A050000}"/>
    <cellStyle name="_산출근거(목포)_죽림1교-상부_구조물주요자재(3공구)_4.광석교-상부수량집계_01-여곡2교-총괄수량집계표" xfId="893" xr:uid="{00000000-0005-0000-0000-00003B050000}"/>
    <cellStyle name="_산출근거(목포)_죽림1교-상부_구조물주요자재(3공구)_4.광석교-상부수량집계_01-정선제3교-총괄수량집계표" xfId="2637" xr:uid="{00000000-0005-0000-0000-00003C050000}"/>
    <cellStyle name="_산출근거(목포)_죽림1교-상부_구조물주요자재(3공구)_x주요자재집계표" xfId="898" xr:uid="{00000000-0005-0000-0000-00003D050000}"/>
    <cellStyle name="_산출근거(목포)_죽림1교-상부_구조물주요자재(3공구)_x주요자재집계표_01-소탄교-총괄수량집계표" xfId="899" xr:uid="{00000000-0005-0000-0000-00003E050000}"/>
    <cellStyle name="_산출근거(목포)_죽림1교-상부_구조물주요자재(3공구)_x주요자재집계표_01-소탄교-총괄수량집계표1" xfId="900" xr:uid="{00000000-0005-0000-0000-00003F050000}"/>
    <cellStyle name="_산출근거(목포)_죽림1교-상부_구조물주요자재(3공구)_x주요자재집계표_01-여곡2교-총괄수량집계표" xfId="901" xr:uid="{00000000-0005-0000-0000-000040050000}"/>
    <cellStyle name="_산출근거(목포)_죽림1교-상부_구조물주요자재(3공구)_x주요자재집계표_01-정선제3교-총괄수량집계표" xfId="2638" xr:uid="{00000000-0005-0000-0000-000041050000}"/>
    <cellStyle name="_산출근거(목포)_죽림1교-상부_구조물주요자재(3공구)_주요자재집계표" xfId="894" xr:uid="{00000000-0005-0000-0000-000042050000}"/>
    <cellStyle name="_산출근거(목포)_죽림1교-상부_구조물주요자재(3공구)_주요자재집계표_01-소탄교-총괄수량집계표" xfId="895" xr:uid="{00000000-0005-0000-0000-000043050000}"/>
    <cellStyle name="_산출근거(목포)_죽림1교-상부_구조물주요자재(3공구)_주요자재집계표_01-소탄교-총괄수량집계표1" xfId="896" xr:uid="{00000000-0005-0000-0000-000044050000}"/>
    <cellStyle name="_산출근거(목포)_죽림1교-상부_구조물주요자재(3공구)_주요자재집계표_01-여곡2교-총괄수량집계표" xfId="897" xr:uid="{00000000-0005-0000-0000-000045050000}"/>
    <cellStyle name="_산출근거(목포)_죽림1교-상부_구조물주요자재(3공구)_주요자재집계표_01-정선제3교-총괄수량집계표" xfId="2639" xr:uid="{00000000-0005-0000-0000-000046050000}"/>
    <cellStyle name="_산출근거(목포)_죽림1교-상부_주요자재집계표" xfId="902" xr:uid="{00000000-0005-0000-0000-000047050000}"/>
    <cellStyle name="_산출근거(목포)_죽림1교-상부_주요자재집계표_01-소탄교-총괄수량집계표" xfId="903" xr:uid="{00000000-0005-0000-0000-000048050000}"/>
    <cellStyle name="_산출근거(목포)_죽림1교-상부_주요자재집계표_01-소탄교-총괄수량집계표1" xfId="904" xr:uid="{00000000-0005-0000-0000-000049050000}"/>
    <cellStyle name="_산출근거(목포)_죽림1교-상부_주요자재집계표_01-여곡2교-총괄수량집계표" xfId="905" xr:uid="{00000000-0005-0000-0000-00004A050000}"/>
    <cellStyle name="_산출근거(목포)_죽림1교-상부_주요자재집계표_01-정선제3교-총괄수량집계표" xfId="2640" xr:uid="{00000000-0005-0000-0000-00004B050000}"/>
    <cellStyle name="_산출근거(목포)_죽림2교-상부" xfId="910" xr:uid="{00000000-0005-0000-0000-00004C050000}"/>
    <cellStyle name="_산출근거(목포)_죽림2교-상부_01-소탄교-총괄수량집계표" xfId="911" xr:uid="{00000000-0005-0000-0000-00004D050000}"/>
    <cellStyle name="_산출근거(목포)_죽림2교-상부_01-소탄교-총괄수량집계표1" xfId="912" xr:uid="{00000000-0005-0000-0000-00004E050000}"/>
    <cellStyle name="_산출근거(목포)_죽림2교-상부_01-여곡2교-총괄수량집계표" xfId="913" xr:uid="{00000000-0005-0000-0000-00004F050000}"/>
    <cellStyle name="_산출근거(목포)_죽림2교-상부_01-정선제3교-총괄수량집계표" xfId="2641" xr:uid="{00000000-0005-0000-0000-000050050000}"/>
    <cellStyle name="_산출근거(목포)_죽림2교-상부_1.광하1교-주요자재집계표" xfId="914" xr:uid="{00000000-0005-0000-0000-000051050000}"/>
    <cellStyle name="_산출근거(목포)_죽림2교-상부_1.광하1교-주요자재집계표_01-소탄교-총괄수량집계표" xfId="915" xr:uid="{00000000-0005-0000-0000-000052050000}"/>
    <cellStyle name="_산출근거(목포)_죽림2교-상부_1.광하1교-주요자재집계표_01-소탄교-총괄수량집계표1" xfId="916" xr:uid="{00000000-0005-0000-0000-000053050000}"/>
    <cellStyle name="_산출근거(목포)_죽림2교-상부_1.광하1교-주요자재집계표_01-여곡2교-총괄수량집계표" xfId="917" xr:uid="{00000000-0005-0000-0000-000054050000}"/>
    <cellStyle name="_산출근거(목포)_죽림2교-상부_1.광하1교-주요자재집계표_01-정선제3교-총괄수량집계표" xfId="2642" xr:uid="{00000000-0005-0000-0000-000055050000}"/>
    <cellStyle name="_산출근거(목포)_죽림2교-상부_4.광석교-상부수량집계" xfId="918" xr:uid="{00000000-0005-0000-0000-000056050000}"/>
    <cellStyle name="_산출근거(목포)_죽림2교-상부_4.광석교-상부수량집계_01-소탄교-총괄수량집계표" xfId="919" xr:uid="{00000000-0005-0000-0000-000057050000}"/>
    <cellStyle name="_산출근거(목포)_죽림2교-상부_4.광석교-상부수량집계_01-소탄교-총괄수량집계표1" xfId="920" xr:uid="{00000000-0005-0000-0000-000058050000}"/>
    <cellStyle name="_산출근거(목포)_죽림2교-상부_4.광석교-상부수량집계_01-여곡2교-총괄수량집계표" xfId="921" xr:uid="{00000000-0005-0000-0000-000059050000}"/>
    <cellStyle name="_산출근거(목포)_죽림2교-상부_4.광석교-상부수량집계_01-정선제3교-총괄수량집계표" xfId="2643" xr:uid="{00000000-0005-0000-0000-00005A050000}"/>
    <cellStyle name="_산출근거(목포)_죽림2교-상부_x주요자재집계표" xfId="986" xr:uid="{00000000-0005-0000-0000-00005B050000}"/>
    <cellStyle name="_산출근거(목포)_죽림2교-상부_x주요자재집계표_01-소탄교-총괄수량집계표" xfId="987" xr:uid="{00000000-0005-0000-0000-00005C050000}"/>
    <cellStyle name="_산출근거(목포)_죽림2교-상부_x주요자재집계표_01-소탄교-총괄수량집계표1" xfId="988" xr:uid="{00000000-0005-0000-0000-00005D050000}"/>
    <cellStyle name="_산출근거(목포)_죽림2교-상부_x주요자재집계표_01-여곡2교-총괄수량집계표" xfId="989" xr:uid="{00000000-0005-0000-0000-00005E050000}"/>
    <cellStyle name="_산출근거(목포)_죽림2교-상부_x주요자재집계표_01-정선제3교-총괄수량집계표" xfId="2644" xr:uid="{00000000-0005-0000-0000-00005F050000}"/>
    <cellStyle name="_산출근거(목포)_죽림2교-상부_구조물주요자재(3공구)" xfId="922" xr:uid="{00000000-0005-0000-0000-000060050000}"/>
    <cellStyle name="_산출근거(목포)_죽림2교-상부_구조물주요자재(3공구)_01-소탄교-총괄수량집계표" xfId="923" xr:uid="{00000000-0005-0000-0000-000061050000}"/>
    <cellStyle name="_산출근거(목포)_죽림2교-상부_구조물주요자재(3공구)_01-소탄교-총괄수량집계표1" xfId="924" xr:uid="{00000000-0005-0000-0000-000062050000}"/>
    <cellStyle name="_산출근거(목포)_죽림2교-상부_구조물주요자재(3공구)_01-여곡2교-총괄수량집계표" xfId="925" xr:uid="{00000000-0005-0000-0000-000063050000}"/>
    <cellStyle name="_산출근거(목포)_죽림2교-상부_구조물주요자재(3공구)_01-정선제3교-총괄수량집계표" xfId="2645" xr:uid="{00000000-0005-0000-0000-000064050000}"/>
    <cellStyle name="_산출근거(목포)_죽림2교-상부_구조물주요자재(3공구)_1.광하1교-주요자재집계표" xfId="926" xr:uid="{00000000-0005-0000-0000-000065050000}"/>
    <cellStyle name="_산출근거(목포)_죽림2교-상부_구조물주요자재(3공구)_1.광하1교-주요자재집계표_01-소탄교-총괄수량집계표" xfId="927" xr:uid="{00000000-0005-0000-0000-000066050000}"/>
    <cellStyle name="_산출근거(목포)_죽림2교-상부_구조물주요자재(3공구)_1.광하1교-주요자재집계표_01-소탄교-총괄수량집계표1" xfId="928" xr:uid="{00000000-0005-0000-0000-000067050000}"/>
    <cellStyle name="_산출근거(목포)_죽림2교-상부_구조물주요자재(3공구)_1.광하1교-주요자재집계표_01-여곡2교-총괄수량집계표" xfId="929" xr:uid="{00000000-0005-0000-0000-000068050000}"/>
    <cellStyle name="_산출근거(목포)_죽림2교-상부_구조물주요자재(3공구)_1.광하1교-주요자재집계표_01-정선제3교-총괄수량집계표" xfId="2646" xr:uid="{00000000-0005-0000-0000-000069050000}"/>
    <cellStyle name="_산출근거(목포)_죽림2교-상부_구조물주요자재(3공구)_4.광석교-상부수량집계" xfId="930" xr:uid="{00000000-0005-0000-0000-00006A050000}"/>
    <cellStyle name="_산출근거(목포)_죽림2교-상부_구조물주요자재(3공구)_4.광석교-상부수량집계_01-소탄교-총괄수량집계표" xfId="931" xr:uid="{00000000-0005-0000-0000-00006B050000}"/>
    <cellStyle name="_산출근거(목포)_죽림2교-상부_구조물주요자재(3공구)_4.광석교-상부수량집계_01-소탄교-총괄수량집계표1" xfId="932" xr:uid="{00000000-0005-0000-0000-00006C050000}"/>
    <cellStyle name="_산출근거(목포)_죽림2교-상부_구조물주요자재(3공구)_4.광석교-상부수량집계_01-여곡2교-총괄수량집계표" xfId="933" xr:uid="{00000000-0005-0000-0000-00006D050000}"/>
    <cellStyle name="_산출근거(목포)_죽림2교-상부_구조물주요자재(3공구)_4.광석교-상부수량집계_01-정선제3교-총괄수량집계표" xfId="2647" xr:uid="{00000000-0005-0000-0000-00006E050000}"/>
    <cellStyle name="_산출근거(목포)_죽림2교-상부_구조물주요자재(3공구)_x주요자재집계표" xfId="938" xr:uid="{00000000-0005-0000-0000-00006F050000}"/>
    <cellStyle name="_산출근거(목포)_죽림2교-상부_구조물주요자재(3공구)_x주요자재집계표_01-소탄교-총괄수량집계표" xfId="939" xr:uid="{00000000-0005-0000-0000-000070050000}"/>
    <cellStyle name="_산출근거(목포)_죽림2교-상부_구조물주요자재(3공구)_x주요자재집계표_01-소탄교-총괄수량집계표1" xfId="940" xr:uid="{00000000-0005-0000-0000-000071050000}"/>
    <cellStyle name="_산출근거(목포)_죽림2교-상부_구조물주요자재(3공구)_x주요자재집계표_01-여곡2교-총괄수량집계표" xfId="941" xr:uid="{00000000-0005-0000-0000-000072050000}"/>
    <cellStyle name="_산출근거(목포)_죽림2교-상부_구조물주요자재(3공구)_x주요자재집계표_01-정선제3교-총괄수량집계표" xfId="2648" xr:uid="{00000000-0005-0000-0000-000073050000}"/>
    <cellStyle name="_산출근거(목포)_죽림2교-상부_구조물주요자재(3공구)_주요자재집계표" xfId="934" xr:uid="{00000000-0005-0000-0000-000074050000}"/>
    <cellStyle name="_산출근거(목포)_죽림2교-상부_구조물주요자재(3공구)_주요자재집계표_01-소탄교-총괄수량집계표" xfId="935" xr:uid="{00000000-0005-0000-0000-000075050000}"/>
    <cellStyle name="_산출근거(목포)_죽림2교-상부_구조물주요자재(3공구)_주요자재집계표_01-소탄교-총괄수량집계표1" xfId="936" xr:uid="{00000000-0005-0000-0000-000076050000}"/>
    <cellStyle name="_산출근거(목포)_죽림2교-상부_구조물주요자재(3공구)_주요자재집계표_01-여곡2교-총괄수량집계표" xfId="937" xr:uid="{00000000-0005-0000-0000-000077050000}"/>
    <cellStyle name="_산출근거(목포)_죽림2교-상부_구조물주요자재(3공구)_주요자재집계표_01-정선제3교-총괄수량집계표" xfId="2649" xr:uid="{00000000-0005-0000-0000-000078050000}"/>
    <cellStyle name="_산출근거(목포)_죽림2교-상부_주요자재집계표" xfId="942" xr:uid="{00000000-0005-0000-0000-000079050000}"/>
    <cellStyle name="_산출근거(목포)_죽림2교-상부_주요자재집계표_01-소탄교-총괄수량집계표" xfId="943" xr:uid="{00000000-0005-0000-0000-00007A050000}"/>
    <cellStyle name="_산출근거(목포)_죽림2교-상부_주요자재집계표_01-소탄교-총괄수량집계표1" xfId="944" xr:uid="{00000000-0005-0000-0000-00007B050000}"/>
    <cellStyle name="_산출근거(목포)_죽림2교-상부_주요자재집계표_01-여곡2교-총괄수량집계표" xfId="945" xr:uid="{00000000-0005-0000-0000-00007C050000}"/>
    <cellStyle name="_산출근거(목포)_죽림2교-상부_주요자재집계표_01-정선제3교-총괄수량집계표" xfId="2650" xr:uid="{00000000-0005-0000-0000-00007D050000}"/>
    <cellStyle name="_산출근거(목포)_죽림2교-상부_죽림1교-상부" xfId="946" xr:uid="{00000000-0005-0000-0000-00007E050000}"/>
    <cellStyle name="_산출근거(목포)_죽림2교-상부_죽림1교-상부_01-소탄교-총괄수량집계표" xfId="947" xr:uid="{00000000-0005-0000-0000-00007F050000}"/>
    <cellStyle name="_산출근거(목포)_죽림2교-상부_죽림1교-상부_01-소탄교-총괄수량집계표1" xfId="948" xr:uid="{00000000-0005-0000-0000-000080050000}"/>
    <cellStyle name="_산출근거(목포)_죽림2교-상부_죽림1교-상부_01-여곡2교-총괄수량집계표" xfId="949" xr:uid="{00000000-0005-0000-0000-000081050000}"/>
    <cellStyle name="_산출근거(목포)_죽림2교-상부_죽림1교-상부_01-정선제3교-총괄수량집계표" xfId="2651" xr:uid="{00000000-0005-0000-0000-000082050000}"/>
    <cellStyle name="_산출근거(목포)_죽림2교-상부_죽림1교-상부_1.광하1교-주요자재집계표" xfId="950" xr:uid="{00000000-0005-0000-0000-000083050000}"/>
    <cellStyle name="_산출근거(목포)_죽림2교-상부_죽림1교-상부_1.광하1교-주요자재집계표_01-소탄교-총괄수량집계표" xfId="951" xr:uid="{00000000-0005-0000-0000-000084050000}"/>
    <cellStyle name="_산출근거(목포)_죽림2교-상부_죽림1교-상부_1.광하1교-주요자재집계표_01-소탄교-총괄수량집계표1" xfId="952" xr:uid="{00000000-0005-0000-0000-000085050000}"/>
    <cellStyle name="_산출근거(목포)_죽림2교-상부_죽림1교-상부_1.광하1교-주요자재집계표_01-여곡2교-총괄수량집계표" xfId="953" xr:uid="{00000000-0005-0000-0000-000086050000}"/>
    <cellStyle name="_산출근거(목포)_죽림2교-상부_죽림1교-상부_1.광하1교-주요자재집계표_01-정선제3교-총괄수량집계표" xfId="2652" xr:uid="{00000000-0005-0000-0000-000087050000}"/>
    <cellStyle name="_산출근거(목포)_죽림2교-상부_죽림1교-상부_4.광석교-상부수량집계" xfId="954" xr:uid="{00000000-0005-0000-0000-000088050000}"/>
    <cellStyle name="_산출근거(목포)_죽림2교-상부_죽림1교-상부_4.광석교-상부수량집계_01-소탄교-총괄수량집계표" xfId="955" xr:uid="{00000000-0005-0000-0000-000089050000}"/>
    <cellStyle name="_산출근거(목포)_죽림2교-상부_죽림1교-상부_4.광석교-상부수량집계_01-소탄교-총괄수량집계표1" xfId="956" xr:uid="{00000000-0005-0000-0000-00008A050000}"/>
    <cellStyle name="_산출근거(목포)_죽림2교-상부_죽림1교-상부_4.광석교-상부수량집계_01-여곡2교-총괄수량집계표" xfId="957" xr:uid="{00000000-0005-0000-0000-00008B050000}"/>
    <cellStyle name="_산출근거(목포)_죽림2교-상부_죽림1교-상부_4.광석교-상부수량집계_01-정선제3교-총괄수량집계표" xfId="2653" xr:uid="{00000000-0005-0000-0000-00008C050000}"/>
    <cellStyle name="_산출근거(목포)_죽림2교-상부_죽림1교-상부_x주요자재집계표" xfId="982" xr:uid="{00000000-0005-0000-0000-00008D050000}"/>
    <cellStyle name="_산출근거(목포)_죽림2교-상부_죽림1교-상부_x주요자재집계표_01-소탄교-총괄수량집계표" xfId="983" xr:uid="{00000000-0005-0000-0000-00008E050000}"/>
    <cellStyle name="_산출근거(목포)_죽림2교-상부_죽림1교-상부_x주요자재집계표_01-소탄교-총괄수량집계표1" xfId="984" xr:uid="{00000000-0005-0000-0000-00008F050000}"/>
    <cellStyle name="_산출근거(목포)_죽림2교-상부_죽림1교-상부_x주요자재집계표_01-여곡2교-총괄수량집계표" xfId="985" xr:uid="{00000000-0005-0000-0000-000090050000}"/>
    <cellStyle name="_산출근거(목포)_죽림2교-상부_죽림1교-상부_x주요자재집계표_01-정선제3교-총괄수량집계표" xfId="2654" xr:uid="{00000000-0005-0000-0000-000091050000}"/>
    <cellStyle name="_산출근거(목포)_죽림2교-상부_죽림1교-상부_구조물주요자재(3공구)" xfId="958" xr:uid="{00000000-0005-0000-0000-000092050000}"/>
    <cellStyle name="_산출근거(목포)_죽림2교-상부_죽림1교-상부_구조물주요자재(3공구)_01-소탄교-총괄수량집계표" xfId="959" xr:uid="{00000000-0005-0000-0000-000093050000}"/>
    <cellStyle name="_산출근거(목포)_죽림2교-상부_죽림1교-상부_구조물주요자재(3공구)_01-소탄교-총괄수량집계표1" xfId="960" xr:uid="{00000000-0005-0000-0000-000094050000}"/>
    <cellStyle name="_산출근거(목포)_죽림2교-상부_죽림1교-상부_구조물주요자재(3공구)_01-여곡2교-총괄수량집계표" xfId="961" xr:uid="{00000000-0005-0000-0000-000095050000}"/>
    <cellStyle name="_산출근거(목포)_죽림2교-상부_죽림1교-상부_구조물주요자재(3공구)_01-정선제3교-총괄수량집계표" xfId="2655" xr:uid="{00000000-0005-0000-0000-000096050000}"/>
    <cellStyle name="_산출근거(목포)_죽림2교-상부_죽림1교-상부_구조물주요자재(3공구)_1.광하1교-주요자재집계표" xfId="962" xr:uid="{00000000-0005-0000-0000-000097050000}"/>
    <cellStyle name="_산출근거(목포)_죽림2교-상부_죽림1교-상부_구조물주요자재(3공구)_1.광하1교-주요자재집계표_01-소탄교-총괄수량집계표" xfId="963" xr:uid="{00000000-0005-0000-0000-000098050000}"/>
    <cellStyle name="_산출근거(목포)_죽림2교-상부_죽림1교-상부_구조물주요자재(3공구)_1.광하1교-주요자재집계표_01-소탄교-총괄수량집계표1" xfId="964" xr:uid="{00000000-0005-0000-0000-000099050000}"/>
    <cellStyle name="_산출근거(목포)_죽림2교-상부_죽림1교-상부_구조물주요자재(3공구)_1.광하1교-주요자재집계표_01-여곡2교-총괄수량집계표" xfId="965" xr:uid="{00000000-0005-0000-0000-00009A050000}"/>
    <cellStyle name="_산출근거(목포)_죽림2교-상부_죽림1교-상부_구조물주요자재(3공구)_1.광하1교-주요자재집계표_01-정선제3교-총괄수량집계표" xfId="2656" xr:uid="{00000000-0005-0000-0000-00009B050000}"/>
    <cellStyle name="_산출근거(목포)_죽림2교-상부_죽림1교-상부_구조물주요자재(3공구)_4.광석교-상부수량집계" xfId="966" xr:uid="{00000000-0005-0000-0000-00009C050000}"/>
    <cellStyle name="_산출근거(목포)_죽림2교-상부_죽림1교-상부_구조물주요자재(3공구)_4.광석교-상부수량집계_01-소탄교-총괄수량집계표" xfId="967" xr:uid="{00000000-0005-0000-0000-00009D050000}"/>
    <cellStyle name="_산출근거(목포)_죽림2교-상부_죽림1교-상부_구조물주요자재(3공구)_4.광석교-상부수량집계_01-소탄교-총괄수량집계표1" xfId="968" xr:uid="{00000000-0005-0000-0000-00009E050000}"/>
    <cellStyle name="_산출근거(목포)_죽림2교-상부_죽림1교-상부_구조물주요자재(3공구)_4.광석교-상부수량집계_01-여곡2교-총괄수량집계표" xfId="969" xr:uid="{00000000-0005-0000-0000-00009F050000}"/>
    <cellStyle name="_산출근거(목포)_죽림2교-상부_죽림1교-상부_구조물주요자재(3공구)_4.광석교-상부수량집계_01-정선제3교-총괄수량집계표" xfId="2657" xr:uid="{00000000-0005-0000-0000-0000A0050000}"/>
    <cellStyle name="_산출근거(목포)_죽림2교-상부_죽림1교-상부_구조물주요자재(3공구)_x주요자재집계표" xfId="974" xr:uid="{00000000-0005-0000-0000-0000A1050000}"/>
    <cellStyle name="_산출근거(목포)_죽림2교-상부_죽림1교-상부_구조물주요자재(3공구)_x주요자재집계표_01-소탄교-총괄수량집계표" xfId="975" xr:uid="{00000000-0005-0000-0000-0000A2050000}"/>
    <cellStyle name="_산출근거(목포)_죽림2교-상부_죽림1교-상부_구조물주요자재(3공구)_x주요자재집계표_01-소탄교-총괄수량집계표1" xfId="976" xr:uid="{00000000-0005-0000-0000-0000A3050000}"/>
    <cellStyle name="_산출근거(목포)_죽림2교-상부_죽림1교-상부_구조물주요자재(3공구)_x주요자재집계표_01-여곡2교-총괄수량집계표" xfId="977" xr:uid="{00000000-0005-0000-0000-0000A4050000}"/>
    <cellStyle name="_산출근거(목포)_죽림2교-상부_죽림1교-상부_구조물주요자재(3공구)_x주요자재집계표_01-정선제3교-총괄수량집계표" xfId="2658" xr:uid="{00000000-0005-0000-0000-0000A5050000}"/>
    <cellStyle name="_산출근거(목포)_죽림2교-상부_죽림1교-상부_구조물주요자재(3공구)_주요자재집계표" xfId="970" xr:uid="{00000000-0005-0000-0000-0000A6050000}"/>
    <cellStyle name="_산출근거(목포)_죽림2교-상부_죽림1교-상부_구조물주요자재(3공구)_주요자재집계표_01-소탄교-총괄수량집계표" xfId="971" xr:uid="{00000000-0005-0000-0000-0000A7050000}"/>
    <cellStyle name="_산출근거(목포)_죽림2교-상부_죽림1교-상부_구조물주요자재(3공구)_주요자재집계표_01-소탄교-총괄수량집계표1" xfId="972" xr:uid="{00000000-0005-0000-0000-0000A8050000}"/>
    <cellStyle name="_산출근거(목포)_죽림2교-상부_죽림1교-상부_구조물주요자재(3공구)_주요자재집계표_01-여곡2교-총괄수량집계표" xfId="973" xr:uid="{00000000-0005-0000-0000-0000A9050000}"/>
    <cellStyle name="_산출근거(목포)_죽림2교-상부_죽림1교-상부_구조물주요자재(3공구)_주요자재집계표_01-정선제3교-총괄수량집계표" xfId="2659" xr:uid="{00000000-0005-0000-0000-0000AA050000}"/>
    <cellStyle name="_산출근거(목포)_죽림2교-상부_죽림1교-상부_주요자재집계표" xfId="978" xr:uid="{00000000-0005-0000-0000-0000AB050000}"/>
    <cellStyle name="_산출근거(목포)_죽림2교-상부_죽림1교-상부_주요자재집계표_01-소탄교-총괄수량집계표" xfId="979" xr:uid="{00000000-0005-0000-0000-0000AC050000}"/>
    <cellStyle name="_산출근거(목포)_죽림2교-상부_죽림1교-상부_주요자재집계표_01-소탄교-총괄수량집계표1" xfId="980" xr:uid="{00000000-0005-0000-0000-0000AD050000}"/>
    <cellStyle name="_산출근거(목포)_죽림2교-상부_죽림1교-상부_주요자재집계표_01-여곡2교-총괄수량집계표" xfId="981" xr:uid="{00000000-0005-0000-0000-0000AE050000}"/>
    <cellStyle name="_산출근거(목포)_죽림2교-상부_죽림1교-상부_주요자재집계표_01-정선제3교-총괄수량집계표" xfId="2660" xr:uid="{00000000-0005-0000-0000-0000AF050000}"/>
    <cellStyle name="_산출근거(목포)_죽림2교-상부-1" xfId="990" xr:uid="{00000000-0005-0000-0000-0000B0050000}"/>
    <cellStyle name="_산출근거(목포)_죽림2교-상부-1_01-소탄교-총괄수량집계표" xfId="991" xr:uid="{00000000-0005-0000-0000-0000B1050000}"/>
    <cellStyle name="_산출근거(목포)_죽림2교-상부-1_01-소탄교-총괄수량집계표1" xfId="992" xr:uid="{00000000-0005-0000-0000-0000B2050000}"/>
    <cellStyle name="_산출근거(목포)_죽림2교-상부-1_01-여곡2교-총괄수량집계표" xfId="993" xr:uid="{00000000-0005-0000-0000-0000B3050000}"/>
    <cellStyle name="_산출근거(목포)_죽림2교-상부-1_01-정선제3교-총괄수량집계표" xfId="2661" xr:uid="{00000000-0005-0000-0000-0000B4050000}"/>
    <cellStyle name="_산출근거(목포)_죽림2교-상부-1_1.광하1교-주요자재집계표" xfId="994" xr:uid="{00000000-0005-0000-0000-0000B5050000}"/>
    <cellStyle name="_산출근거(목포)_죽림2교-상부-1_1.광하1교-주요자재집계표_01-소탄교-총괄수량집계표" xfId="995" xr:uid="{00000000-0005-0000-0000-0000B6050000}"/>
    <cellStyle name="_산출근거(목포)_죽림2교-상부-1_1.광하1교-주요자재집계표_01-소탄교-총괄수량집계표1" xfId="996" xr:uid="{00000000-0005-0000-0000-0000B7050000}"/>
    <cellStyle name="_산출근거(목포)_죽림2교-상부-1_1.광하1교-주요자재집계표_01-여곡2교-총괄수량집계표" xfId="997" xr:uid="{00000000-0005-0000-0000-0000B8050000}"/>
    <cellStyle name="_산출근거(목포)_죽림2교-상부-1_1.광하1교-주요자재집계표_01-정선제3교-총괄수량집계표" xfId="2662" xr:uid="{00000000-0005-0000-0000-0000B9050000}"/>
    <cellStyle name="_산출근거(목포)_죽림2교-상부-1_4.광석교-상부수량집계" xfId="998" xr:uid="{00000000-0005-0000-0000-0000BA050000}"/>
    <cellStyle name="_산출근거(목포)_죽림2교-상부-1_4.광석교-상부수량집계_01-소탄교-총괄수량집계표" xfId="999" xr:uid="{00000000-0005-0000-0000-0000BB050000}"/>
    <cellStyle name="_산출근거(목포)_죽림2교-상부-1_4.광석교-상부수량집계_01-소탄교-총괄수량집계표1" xfId="1000" xr:uid="{00000000-0005-0000-0000-0000BC050000}"/>
    <cellStyle name="_산출근거(목포)_죽림2교-상부-1_4.광석교-상부수량집계_01-여곡2교-총괄수량집계표" xfId="1001" xr:uid="{00000000-0005-0000-0000-0000BD050000}"/>
    <cellStyle name="_산출근거(목포)_죽림2교-상부-1_4.광석교-상부수량집계_01-정선제3교-총괄수량집계표" xfId="2663" xr:uid="{00000000-0005-0000-0000-0000BE050000}"/>
    <cellStyle name="_산출근거(목포)_죽림2교-상부-1_x주요자재집계표" xfId="1066" xr:uid="{00000000-0005-0000-0000-0000BF050000}"/>
    <cellStyle name="_산출근거(목포)_죽림2교-상부-1_x주요자재집계표_01-소탄교-총괄수량집계표" xfId="1067" xr:uid="{00000000-0005-0000-0000-0000C0050000}"/>
    <cellStyle name="_산출근거(목포)_죽림2교-상부-1_x주요자재집계표_01-소탄교-총괄수량집계표1" xfId="1068" xr:uid="{00000000-0005-0000-0000-0000C1050000}"/>
    <cellStyle name="_산출근거(목포)_죽림2교-상부-1_x주요자재집계표_01-여곡2교-총괄수량집계표" xfId="1069" xr:uid="{00000000-0005-0000-0000-0000C2050000}"/>
    <cellStyle name="_산출근거(목포)_죽림2교-상부-1_x주요자재집계표_01-정선제3교-총괄수량집계표" xfId="2664" xr:uid="{00000000-0005-0000-0000-0000C3050000}"/>
    <cellStyle name="_산출근거(목포)_죽림2교-상부-1_구조물주요자재(3공구)" xfId="1002" xr:uid="{00000000-0005-0000-0000-0000C4050000}"/>
    <cellStyle name="_산출근거(목포)_죽림2교-상부-1_구조물주요자재(3공구)_01-소탄교-총괄수량집계표" xfId="1003" xr:uid="{00000000-0005-0000-0000-0000C5050000}"/>
    <cellStyle name="_산출근거(목포)_죽림2교-상부-1_구조물주요자재(3공구)_01-소탄교-총괄수량집계표1" xfId="1004" xr:uid="{00000000-0005-0000-0000-0000C6050000}"/>
    <cellStyle name="_산출근거(목포)_죽림2교-상부-1_구조물주요자재(3공구)_01-여곡2교-총괄수량집계표" xfId="1005" xr:uid="{00000000-0005-0000-0000-0000C7050000}"/>
    <cellStyle name="_산출근거(목포)_죽림2교-상부-1_구조물주요자재(3공구)_01-정선제3교-총괄수량집계표" xfId="2665" xr:uid="{00000000-0005-0000-0000-0000C8050000}"/>
    <cellStyle name="_산출근거(목포)_죽림2교-상부-1_구조물주요자재(3공구)_1.광하1교-주요자재집계표" xfId="1006" xr:uid="{00000000-0005-0000-0000-0000C9050000}"/>
    <cellStyle name="_산출근거(목포)_죽림2교-상부-1_구조물주요자재(3공구)_1.광하1교-주요자재집계표_01-소탄교-총괄수량집계표" xfId="1007" xr:uid="{00000000-0005-0000-0000-0000CA050000}"/>
    <cellStyle name="_산출근거(목포)_죽림2교-상부-1_구조물주요자재(3공구)_1.광하1교-주요자재집계표_01-소탄교-총괄수량집계표1" xfId="1008" xr:uid="{00000000-0005-0000-0000-0000CB050000}"/>
    <cellStyle name="_산출근거(목포)_죽림2교-상부-1_구조물주요자재(3공구)_1.광하1교-주요자재집계표_01-여곡2교-총괄수량집계표" xfId="1009" xr:uid="{00000000-0005-0000-0000-0000CC050000}"/>
    <cellStyle name="_산출근거(목포)_죽림2교-상부-1_구조물주요자재(3공구)_1.광하1교-주요자재집계표_01-정선제3교-총괄수량집계표" xfId="2666" xr:uid="{00000000-0005-0000-0000-0000CD050000}"/>
    <cellStyle name="_산출근거(목포)_죽림2교-상부-1_구조물주요자재(3공구)_4.광석교-상부수량집계" xfId="1010" xr:uid="{00000000-0005-0000-0000-0000CE050000}"/>
    <cellStyle name="_산출근거(목포)_죽림2교-상부-1_구조물주요자재(3공구)_4.광석교-상부수량집계_01-소탄교-총괄수량집계표" xfId="1011" xr:uid="{00000000-0005-0000-0000-0000CF050000}"/>
    <cellStyle name="_산출근거(목포)_죽림2교-상부-1_구조물주요자재(3공구)_4.광석교-상부수량집계_01-소탄교-총괄수량집계표1" xfId="1012" xr:uid="{00000000-0005-0000-0000-0000D0050000}"/>
    <cellStyle name="_산출근거(목포)_죽림2교-상부-1_구조물주요자재(3공구)_4.광석교-상부수량집계_01-여곡2교-총괄수량집계표" xfId="1013" xr:uid="{00000000-0005-0000-0000-0000D1050000}"/>
    <cellStyle name="_산출근거(목포)_죽림2교-상부-1_구조물주요자재(3공구)_4.광석교-상부수량집계_01-정선제3교-총괄수량집계표" xfId="2667" xr:uid="{00000000-0005-0000-0000-0000D2050000}"/>
    <cellStyle name="_산출근거(목포)_죽림2교-상부-1_구조물주요자재(3공구)_x주요자재집계표" xfId="1018" xr:uid="{00000000-0005-0000-0000-0000D3050000}"/>
    <cellStyle name="_산출근거(목포)_죽림2교-상부-1_구조물주요자재(3공구)_x주요자재집계표_01-소탄교-총괄수량집계표" xfId="1019" xr:uid="{00000000-0005-0000-0000-0000D4050000}"/>
    <cellStyle name="_산출근거(목포)_죽림2교-상부-1_구조물주요자재(3공구)_x주요자재집계표_01-소탄교-총괄수량집계표1" xfId="1020" xr:uid="{00000000-0005-0000-0000-0000D5050000}"/>
    <cellStyle name="_산출근거(목포)_죽림2교-상부-1_구조물주요자재(3공구)_x주요자재집계표_01-여곡2교-총괄수량집계표" xfId="1021" xr:uid="{00000000-0005-0000-0000-0000D6050000}"/>
    <cellStyle name="_산출근거(목포)_죽림2교-상부-1_구조물주요자재(3공구)_x주요자재집계표_01-정선제3교-총괄수량집계표" xfId="2668" xr:uid="{00000000-0005-0000-0000-0000D7050000}"/>
    <cellStyle name="_산출근거(목포)_죽림2교-상부-1_구조물주요자재(3공구)_주요자재집계표" xfId="1014" xr:uid="{00000000-0005-0000-0000-0000D8050000}"/>
    <cellStyle name="_산출근거(목포)_죽림2교-상부-1_구조물주요자재(3공구)_주요자재집계표_01-소탄교-총괄수량집계표" xfId="1015" xr:uid="{00000000-0005-0000-0000-0000D9050000}"/>
    <cellStyle name="_산출근거(목포)_죽림2교-상부-1_구조물주요자재(3공구)_주요자재집계표_01-소탄교-총괄수량집계표1" xfId="1016" xr:uid="{00000000-0005-0000-0000-0000DA050000}"/>
    <cellStyle name="_산출근거(목포)_죽림2교-상부-1_구조물주요자재(3공구)_주요자재집계표_01-여곡2교-총괄수량집계표" xfId="1017" xr:uid="{00000000-0005-0000-0000-0000DB050000}"/>
    <cellStyle name="_산출근거(목포)_죽림2교-상부-1_구조물주요자재(3공구)_주요자재집계표_01-정선제3교-총괄수량집계표" xfId="2669" xr:uid="{00000000-0005-0000-0000-0000DC050000}"/>
    <cellStyle name="_산출근거(목포)_죽림2교-상부-1_주요자재집계표" xfId="1022" xr:uid="{00000000-0005-0000-0000-0000DD050000}"/>
    <cellStyle name="_산출근거(목포)_죽림2교-상부-1_주요자재집계표_01-소탄교-총괄수량집계표" xfId="1023" xr:uid="{00000000-0005-0000-0000-0000DE050000}"/>
    <cellStyle name="_산출근거(목포)_죽림2교-상부-1_주요자재집계표_01-소탄교-총괄수량집계표1" xfId="1024" xr:uid="{00000000-0005-0000-0000-0000DF050000}"/>
    <cellStyle name="_산출근거(목포)_죽림2교-상부-1_주요자재집계표_01-여곡2교-총괄수량집계표" xfId="1025" xr:uid="{00000000-0005-0000-0000-0000E0050000}"/>
    <cellStyle name="_산출근거(목포)_죽림2교-상부-1_주요자재집계표_01-정선제3교-총괄수량집계표" xfId="2670" xr:uid="{00000000-0005-0000-0000-0000E1050000}"/>
    <cellStyle name="_산출근거(목포)_죽림2교-상부-1_죽림1교-상부" xfId="1026" xr:uid="{00000000-0005-0000-0000-0000E2050000}"/>
    <cellStyle name="_산출근거(목포)_죽림2교-상부-1_죽림1교-상부_01-소탄교-총괄수량집계표" xfId="1027" xr:uid="{00000000-0005-0000-0000-0000E3050000}"/>
    <cellStyle name="_산출근거(목포)_죽림2교-상부-1_죽림1교-상부_01-소탄교-총괄수량집계표1" xfId="1028" xr:uid="{00000000-0005-0000-0000-0000E4050000}"/>
    <cellStyle name="_산출근거(목포)_죽림2교-상부-1_죽림1교-상부_01-여곡2교-총괄수량집계표" xfId="1029" xr:uid="{00000000-0005-0000-0000-0000E5050000}"/>
    <cellStyle name="_산출근거(목포)_죽림2교-상부-1_죽림1교-상부_01-정선제3교-총괄수량집계표" xfId="2671" xr:uid="{00000000-0005-0000-0000-0000E6050000}"/>
    <cellStyle name="_산출근거(목포)_죽림2교-상부-1_죽림1교-상부_1.광하1교-주요자재집계표" xfId="1030" xr:uid="{00000000-0005-0000-0000-0000E7050000}"/>
    <cellStyle name="_산출근거(목포)_죽림2교-상부-1_죽림1교-상부_1.광하1교-주요자재집계표_01-소탄교-총괄수량집계표" xfId="1031" xr:uid="{00000000-0005-0000-0000-0000E8050000}"/>
    <cellStyle name="_산출근거(목포)_죽림2교-상부-1_죽림1교-상부_1.광하1교-주요자재집계표_01-소탄교-총괄수량집계표1" xfId="1032" xr:uid="{00000000-0005-0000-0000-0000E9050000}"/>
    <cellStyle name="_산출근거(목포)_죽림2교-상부-1_죽림1교-상부_1.광하1교-주요자재집계표_01-여곡2교-총괄수량집계표" xfId="1033" xr:uid="{00000000-0005-0000-0000-0000EA050000}"/>
    <cellStyle name="_산출근거(목포)_죽림2교-상부-1_죽림1교-상부_1.광하1교-주요자재집계표_01-정선제3교-총괄수량집계표" xfId="2672" xr:uid="{00000000-0005-0000-0000-0000EB050000}"/>
    <cellStyle name="_산출근거(목포)_죽림2교-상부-1_죽림1교-상부_4.광석교-상부수량집계" xfId="1034" xr:uid="{00000000-0005-0000-0000-0000EC050000}"/>
    <cellStyle name="_산출근거(목포)_죽림2교-상부-1_죽림1교-상부_4.광석교-상부수량집계_01-소탄교-총괄수량집계표" xfId="1035" xr:uid="{00000000-0005-0000-0000-0000ED050000}"/>
    <cellStyle name="_산출근거(목포)_죽림2교-상부-1_죽림1교-상부_4.광석교-상부수량집계_01-소탄교-총괄수량집계표1" xfId="1036" xr:uid="{00000000-0005-0000-0000-0000EE050000}"/>
    <cellStyle name="_산출근거(목포)_죽림2교-상부-1_죽림1교-상부_4.광석교-상부수량집계_01-여곡2교-총괄수량집계표" xfId="1037" xr:uid="{00000000-0005-0000-0000-0000EF050000}"/>
    <cellStyle name="_산출근거(목포)_죽림2교-상부-1_죽림1교-상부_4.광석교-상부수량집계_01-정선제3교-총괄수량집계표" xfId="2673" xr:uid="{00000000-0005-0000-0000-0000F0050000}"/>
    <cellStyle name="_산출근거(목포)_죽림2교-상부-1_죽림1교-상부_x주요자재집계표" xfId="1062" xr:uid="{00000000-0005-0000-0000-0000F1050000}"/>
    <cellStyle name="_산출근거(목포)_죽림2교-상부-1_죽림1교-상부_x주요자재집계표_01-소탄교-총괄수량집계표" xfId="1063" xr:uid="{00000000-0005-0000-0000-0000F2050000}"/>
    <cellStyle name="_산출근거(목포)_죽림2교-상부-1_죽림1교-상부_x주요자재집계표_01-소탄교-총괄수량집계표1" xfId="1064" xr:uid="{00000000-0005-0000-0000-0000F3050000}"/>
    <cellStyle name="_산출근거(목포)_죽림2교-상부-1_죽림1교-상부_x주요자재집계표_01-여곡2교-총괄수량집계표" xfId="1065" xr:uid="{00000000-0005-0000-0000-0000F4050000}"/>
    <cellStyle name="_산출근거(목포)_죽림2교-상부-1_죽림1교-상부_x주요자재집계표_01-정선제3교-총괄수량집계표" xfId="2674" xr:uid="{00000000-0005-0000-0000-0000F5050000}"/>
    <cellStyle name="_산출근거(목포)_죽림2교-상부-1_죽림1교-상부_구조물주요자재(3공구)" xfId="1038" xr:uid="{00000000-0005-0000-0000-0000F6050000}"/>
    <cellStyle name="_산출근거(목포)_죽림2교-상부-1_죽림1교-상부_구조물주요자재(3공구)_01-소탄교-총괄수량집계표" xfId="1039" xr:uid="{00000000-0005-0000-0000-0000F7050000}"/>
    <cellStyle name="_산출근거(목포)_죽림2교-상부-1_죽림1교-상부_구조물주요자재(3공구)_01-소탄교-총괄수량집계표1" xfId="1040" xr:uid="{00000000-0005-0000-0000-0000F8050000}"/>
    <cellStyle name="_산출근거(목포)_죽림2교-상부-1_죽림1교-상부_구조물주요자재(3공구)_01-여곡2교-총괄수량집계표" xfId="1041" xr:uid="{00000000-0005-0000-0000-0000F9050000}"/>
    <cellStyle name="_산출근거(목포)_죽림2교-상부-1_죽림1교-상부_구조물주요자재(3공구)_01-정선제3교-총괄수량집계표" xfId="2675" xr:uid="{00000000-0005-0000-0000-0000FA050000}"/>
    <cellStyle name="_산출근거(목포)_죽림2교-상부-1_죽림1교-상부_구조물주요자재(3공구)_1.광하1교-주요자재집계표" xfId="1042" xr:uid="{00000000-0005-0000-0000-0000FB050000}"/>
    <cellStyle name="_산출근거(목포)_죽림2교-상부-1_죽림1교-상부_구조물주요자재(3공구)_1.광하1교-주요자재집계표_01-소탄교-총괄수량집계표" xfId="1043" xr:uid="{00000000-0005-0000-0000-0000FC050000}"/>
    <cellStyle name="_산출근거(목포)_죽림2교-상부-1_죽림1교-상부_구조물주요자재(3공구)_1.광하1교-주요자재집계표_01-소탄교-총괄수량집계표1" xfId="1044" xr:uid="{00000000-0005-0000-0000-0000FD050000}"/>
    <cellStyle name="_산출근거(목포)_죽림2교-상부-1_죽림1교-상부_구조물주요자재(3공구)_1.광하1교-주요자재집계표_01-여곡2교-총괄수량집계표" xfId="1045" xr:uid="{00000000-0005-0000-0000-0000FE050000}"/>
    <cellStyle name="_산출근거(목포)_죽림2교-상부-1_죽림1교-상부_구조물주요자재(3공구)_1.광하1교-주요자재집계표_01-정선제3교-총괄수량집계표" xfId="2676" xr:uid="{00000000-0005-0000-0000-0000FF050000}"/>
    <cellStyle name="_산출근거(목포)_죽림2교-상부-1_죽림1교-상부_구조물주요자재(3공구)_4.광석교-상부수량집계" xfId="1046" xr:uid="{00000000-0005-0000-0000-000000060000}"/>
    <cellStyle name="_산출근거(목포)_죽림2교-상부-1_죽림1교-상부_구조물주요자재(3공구)_4.광석교-상부수량집계_01-소탄교-총괄수량집계표" xfId="1047" xr:uid="{00000000-0005-0000-0000-000001060000}"/>
    <cellStyle name="_산출근거(목포)_죽림2교-상부-1_죽림1교-상부_구조물주요자재(3공구)_4.광석교-상부수량집계_01-소탄교-총괄수량집계표1" xfId="1048" xr:uid="{00000000-0005-0000-0000-000002060000}"/>
    <cellStyle name="_산출근거(목포)_죽림2교-상부-1_죽림1교-상부_구조물주요자재(3공구)_4.광석교-상부수량집계_01-여곡2교-총괄수량집계표" xfId="1049" xr:uid="{00000000-0005-0000-0000-000003060000}"/>
    <cellStyle name="_산출근거(목포)_죽림2교-상부-1_죽림1교-상부_구조물주요자재(3공구)_4.광석교-상부수량집계_01-정선제3교-총괄수량집계표" xfId="2677" xr:uid="{00000000-0005-0000-0000-000004060000}"/>
    <cellStyle name="_산출근거(목포)_죽림2교-상부-1_죽림1교-상부_구조물주요자재(3공구)_x주요자재집계표" xfId="1054" xr:uid="{00000000-0005-0000-0000-000005060000}"/>
    <cellStyle name="_산출근거(목포)_죽림2교-상부-1_죽림1교-상부_구조물주요자재(3공구)_x주요자재집계표_01-소탄교-총괄수량집계표" xfId="1055" xr:uid="{00000000-0005-0000-0000-000006060000}"/>
    <cellStyle name="_산출근거(목포)_죽림2교-상부-1_죽림1교-상부_구조물주요자재(3공구)_x주요자재집계표_01-소탄교-총괄수량집계표1" xfId="1056" xr:uid="{00000000-0005-0000-0000-000007060000}"/>
    <cellStyle name="_산출근거(목포)_죽림2교-상부-1_죽림1교-상부_구조물주요자재(3공구)_x주요자재집계표_01-여곡2교-총괄수량집계표" xfId="1057" xr:uid="{00000000-0005-0000-0000-000008060000}"/>
    <cellStyle name="_산출근거(목포)_죽림2교-상부-1_죽림1교-상부_구조물주요자재(3공구)_x주요자재집계표_01-정선제3교-총괄수량집계표" xfId="2678" xr:uid="{00000000-0005-0000-0000-000009060000}"/>
    <cellStyle name="_산출근거(목포)_죽림2교-상부-1_죽림1교-상부_구조물주요자재(3공구)_주요자재집계표" xfId="1050" xr:uid="{00000000-0005-0000-0000-00000A060000}"/>
    <cellStyle name="_산출근거(목포)_죽림2교-상부-1_죽림1교-상부_구조물주요자재(3공구)_주요자재집계표_01-소탄교-총괄수량집계표" xfId="1051" xr:uid="{00000000-0005-0000-0000-00000B060000}"/>
    <cellStyle name="_산출근거(목포)_죽림2교-상부-1_죽림1교-상부_구조물주요자재(3공구)_주요자재집계표_01-소탄교-총괄수량집계표1" xfId="1052" xr:uid="{00000000-0005-0000-0000-00000C060000}"/>
    <cellStyle name="_산출근거(목포)_죽림2교-상부-1_죽림1교-상부_구조물주요자재(3공구)_주요자재집계표_01-여곡2교-총괄수량집계표" xfId="1053" xr:uid="{00000000-0005-0000-0000-00000D060000}"/>
    <cellStyle name="_산출근거(목포)_죽림2교-상부-1_죽림1교-상부_구조물주요자재(3공구)_주요자재집계표_01-정선제3교-총괄수량집계표" xfId="2679" xr:uid="{00000000-0005-0000-0000-00000E060000}"/>
    <cellStyle name="_산출근거(목포)_죽림2교-상부-1_죽림1교-상부_주요자재집계표" xfId="1058" xr:uid="{00000000-0005-0000-0000-00000F060000}"/>
    <cellStyle name="_산출근거(목포)_죽림2교-상부-1_죽림1교-상부_주요자재집계표_01-소탄교-총괄수량집계표" xfId="1059" xr:uid="{00000000-0005-0000-0000-000010060000}"/>
    <cellStyle name="_산출근거(목포)_죽림2교-상부-1_죽림1교-상부_주요자재집계표_01-소탄교-총괄수량집계표1" xfId="1060" xr:uid="{00000000-0005-0000-0000-000011060000}"/>
    <cellStyle name="_산출근거(목포)_죽림2교-상부-1_죽림1교-상부_주요자재집계표_01-여곡2교-총괄수량집계표" xfId="1061" xr:uid="{00000000-0005-0000-0000-000012060000}"/>
    <cellStyle name="_산출근거(목포)_죽림2교-상부-1_죽림1교-상부_주요자재집계표_01-정선제3교-총괄수량집계표" xfId="2680" xr:uid="{00000000-0005-0000-0000-000013060000}"/>
    <cellStyle name="_삼성(구조물공)" xfId="2681" xr:uid="{00000000-0005-0000-0000-000014060000}"/>
    <cellStyle name="_삼성(구조물공)_04-선릉(구조물공)" xfId="2682" xr:uid="{00000000-0005-0000-0000-000015060000}"/>
    <cellStyle name="_삼성(구조물공)_온직교(구조물공)-1" xfId="2683" xr:uid="{00000000-0005-0000-0000-000016060000}"/>
    <cellStyle name="_삼성(구조물공)_외부ES#8 " xfId="2684" xr:uid="{00000000-0005-0000-0000-000017060000}"/>
    <cellStyle name="_삼성(구조물공)_용두교(구조물공)" xfId="2685" xr:uid="{00000000-0005-0000-0000-000018060000}"/>
    <cellStyle name="_상방부력" xfId="2686" xr:uid="{00000000-0005-0000-0000-000019060000}"/>
    <cellStyle name="_상방부력_05U(5823)" xfId="2687" xr:uid="{00000000-0005-0000-0000-00001A060000}"/>
    <cellStyle name="_상방부력_05U(5823)_역t옹벽" xfId="2688" xr:uid="{00000000-0005-0000-0000-00001B060000}"/>
    <cellStyle name="_상방부력_05U(5823)_역t옹벽_옹벽" xfId="2689" xr:uid="{00000000-0005-0000-0000-00001C060000}"/>
    <cellStyle name="_상방부력_05U(5823)_역t옹벽_옹벽_옹벽" xfId="2690" xr:uid="{00000000-0005-0000-0000-00001D060000}"/>
    <cellStyle name="_상방부력_05U(5823)_옹벽" xfId="2691" xr:uid="{00000000-0005-0000-0000-00001E060000}"/>
    <cellStyle name="_상방부력_05U(5823)_옹벽 (version 4)" xfId="2692" xr:uid="{00000000-0005-0000-0000-00001F060000}"/>
    <cellStyle name="_상방부력_05U(5823)_옹벽 (version 4)_옹벽" xfId="2693" xr:uid="{00000000-0005-0000-0000-000020060000}"/>
    <cellStyle name="_상방부력_05U(5823)_옹벽 (version 4)_옹벽_옹벽" xfId="2694" xr:uid="{00000000-0005-0000-0000-000021060000}"/>
    <cellStyle name="_상방부력_U-12" xfId="2695" xr:uid="{00000000-0005-0000-0000-000022060000}"/>
    <cellStyle name="_상방부력_U-12_역t옹벽" xfId="2696" xr:uid="{00000000-0005-0000-0000-000023060000}"/>
    <cellStyle name="_상방부력_U-12_역t옹벽_옹벽" xfId="2697" xr:uid="{00000000-0005-0000-0000-000024060000}"/>
    <cellStyle name="_상방부력_U-12_역t옹벽_옹벽_옹벽" xfId="2698" xr:uid="{00000000-0005-0000-0000-000025060000}"/>
    <cellStyle name="_상방부력_U-12_옹벽" xfId="2699" xr:uid="{00000000-0005-0000-0000-000026060000}"/>
    <cellStyle name="_상방부력_U-12_옹벽 (version 4)" xfId="2700" xr:uid="{00000000-0005-0000-0000-000027060000}"/>
    <cellStyle name="_상방부력_U-12_옹벽 (version 4)_옹벽" xfId="2701" xr:uid="{00000000-0005-0000-0000-000028060000}"/>
    <cellStyle name="_상방부력_U-12_옹벽 (version 4)_옹벽_옹벽" xfId="2702" xr:uid="{00000000-0005-0000-0000-000029060000}"/>
    <cellStyle name="_상방부력_U-13" xfId="2703" xr:uid="{00000000-0005-0000-0000-00002A060000}"/>
    <cellStyle name="_상방부력_U-13_역t옹벽" xfId="2704" xr:uid="{00000000-0005-0000-0000-00002B060000}"/>
    <cellStyle name="_상방부력_U-13_역t옹벽_옹벽" xfId="2705" xr:uid="{00000000-0005-0000-0000-00002C060000}"/>
    <cellStyle name="_상방부력_U-13_역t옹벽_옹벽_옹벽" xfId="2706" xr:uid="{00000000-0005-0000-0000-00002D060000}"/>
    <cellStyle name="_상방부력_U-13_옹벽" xfId="2707" xr:uid="{00000000-0005-0000-0000-00002E060000}"/>
    <cellStyle name="_상방부력_U-13_옹벽 (version 4)" xfId="2708" xr:uid="{00000000-0005-0000-0000-00002F060000}"/>
    <cellStyle name="_상방부력_U-13_옹벽 (version 4)_옹벽" xfId="2709" xr:uid="{00000000-0005-0000-0000-000030060000}"/>
    <cellStyle name="_상방부력_U-13_옹벽 (version 4)_옹벽_옹벽" xfId="2710" xr:uid="{00000000-0005-0000-0000-000031060000}"/>
    <cellStyle name="_상방부력_U-14" xfId="2711" xr:uid="{00000000-0005-0000-0000-000032060000}"/>
    <cellStyle name="_상방부력_U-14_역t옹벽" xfId="2712" xr:uid="{00000000-0005-0000-0000-000033060000}"/>
    <cellStyle name="_상방부력_U-14_역t옹벽_옹벽" xfId="2713" xr:uid="{00000000-0005-0000-0000-000034060000}"/>
    <cellStyle name="_상방부력_U-14_역t옹벽_옹벽_옹벽" xfId="2714" xr:uid="{00000000-0005-0000-0000-000035060000}"/>
    <cellStyle name="_상방부력_U-14_옹벽" xfId="2715" xr:uid="{00000000-0005-0000-0000-000036060000}"/>
    <cellStyle name="_상방부력_U-14_옹벽 (version 4)" xfId="2716" xr:uid="{00000000-0005-0000-0000-000037060000}"/>
    <cellStyle name="_상방부력_U-14_옹벽 (version 4)_옹벽" xfId="2717" xr:uid="{00000000-0005-0000-0000-000038060000}"/>
    <cellStyle name="_상방부력_U-14_옹벽 (version 4)_옹벽_옹벽" xfId="2718" xr:uid="{00000000-0005-0000-0000-000039060000}"/>
    <cellStyle name="_상방부력_U-14-1" xfId="2719" xr:uid="{00000000-0005-0000-0000-00003A060000}"/>
    <cellStyle name="_상방부력_U-14-1_역t옹벽" xfId="2720" xr:uid="{00000000-0005-0000-0000-00003B060000}"/>
    <cellStyle name="_상방부력_U-14-1_역t옹벽_옹벽" xfId="2721" xr:uid="{00000000-0005-0000-0000-00003C060000}"/>
    <cellStyle name="_상방부력_U-14-1_역t옹벽_옹벽_옹벽" xfId="2722" xr:uid="{00000000-0005-0000-0000-00003D060000}"/>
    <cellStyle name="_상방부력_U-14-1_옹벽" xfId="2723" xr:uid="{00000000-0005-0000-0000-00003E060000}"/>
    <cellStyle name="_상방부력_U-14-1_옹벽 (version 4)" xfId="2724" xr:uid="{00000000-0005-0000-0000-00003F060000}"/>
    <cellStyle name="_상방부력_U-14-1_옹벽 (version 4)_옹벽" xfId="2725" xr:uid="{00000000-0005-0000-0000-000040060000}"/>
    <cellStyle name="_상방부력_U-14-1_옹벽 (version 4)_옹벽_옹벽" xfId="2726" xr:uid="{00000000-0005-0000-0000-000041060000}"/>
    <cellStyle name="_상방부력_역t옹벽" xfId="2727" xr:uid="{00000000-0005-0000-0000-000042060000}"/>
    <cellStyle name="_상방부력_역t옹벽_옹벽" xfId="2728" xr:uid="{00000000-0005-0000-0000-000043060000}"/>
    <cellStyle name="_상방부력_역t옹벽_옹벽_옹벽" xfId="2729" xr:uid="{00000000-0005-0000-0000-000044060000}"/>
    <cellStyle name="_상방부력_옹벽" xfId="2730" xr:uid="{00000000-0005-0000-0000-000045060000}"/>
    <cellStyle name="_상방부력_옹벽 (version 4)" xfId="2731" xr:uid="{00000000-0005-0000-0000-000046060000}"/>
    <cellStyle name="_상방부력_옹벽 (version 4)_옹벽" xfId="2732" xr:uid="{00000000-0005-0000-0000-000047060000}"/>
    <cellStyle name="_상방부력_옹벽 (version 4)_옹벽_옹벽" xfId="2733" xr:uid="{00000000-0005-0000-0000-000048060000}"/>
    <cellStyle name="_상부수량산출서(상현교)" xfId="2734" xr:uid="{00000000-0005-0000-0000-000049060000}"/>
    <cellStyle name="_상품새마을1교(2경간-라멘)0602" xfId="2735" xr:uid="{00000000-0005-0000-0000-00004A060000}"/>
    <cellStyle name="_새터교수량-철근수량참고_02석굴암교-상부(강재)_04-강재및도장수량" xfId="2736" xr:uid="{00000000-0005-0000-0000-00004B060000}"/>
    <cellStyle name="_석축공" xfId="1074" xr:uid="{00000000-0005-0000-0000-00004C060000}"/>
    <cellStyle name="_선단2교-상부(IPC)수량(0608)" xfId="2737" xr:uid="{00000000-0005-0000-0000-00004D060000}"/>
    <cellStyle name="_선릉(구조물공)" xfId="2738" xr:uid="{00000000-0005-0000-0000-00004E060000}"/>
    <cellStyle name="_선릉(구조물공)_04-선릉(구조물공)" xfId="2739" xr:uid="{00000000-0005-0000-0000-00004F060000}"/>
    <cellStyle name="_선릉(구조물공)_온직교(구조물공)-1" xfId="2740" xr:uid="{00000000-0005-0000-0000-000050060000}"/>
    <cellStyle name="_선릉(구조물공)_외부ES#8 " xfId="2741" xr:uid="{00000000-0005-0000-0000-000051060000}"/>
    <cellStyle name="_선릉(구조물공)_용두교(구조물공)" xfId="2742" xr:uid="{00000000-0005-0000-0000-000052060000}"/>
    <cellStyle name="_성덕2교수량" xfId="1075" xr:uid="{00000000-0005-0000-0000-000053060000}"/>
    <cellStyle name="_성덕2교수량_02석굴암교-상부(강재)_04-강재및도장수량" xfId="2743" xr:uid="{00000000-0005-0000-0000-000054060000}"/>
    <cellStyle name="_성덕2교수량_구만교-슬래브수량" xfId="1076" xr:uid="{00000000-0005-0000-0000-000055060000}"/>
    <cellStyle name="_성덕2교수량_구만교-슬래브수량_구만교-슬래브수량" xfId="1077" xr:uid="{00000000-0005-0000-0000-000056060000}"/>
    <cellStyle name="_성덕2교수량_구만교-슬래브수량_구만교-슬래브수량_천기3교-슬래브수량" xfId="1078" xr:uid="{00000000-0005-0000-0000-000057060000}"/>
    <cellStyle name="_성덕2교수량_구만교-슬래브수량_구만교-슬래브수량_하수교-슬래브수량" xfId="1079" xr:uid="{00000000-0005-0000-0000-000058060000}"/>
    <cellStyle name="_성덕2교수량_구만교-슬래브수량_하수교-슬래브수량" xfId="1080" xr:uid="{00000000-0005-0000-0000-000059060000}"/>
    <cellStyle name="_성덕2교수량_마연교-구조물수량_02석굴암교-상부(강재)_04-강재및도장수량" xfId="2744" xr:uid="{00000000-0005-0000-0000-00005A060000}"/>
    <cellStyle name="_성덕2교수량_산정교-구조물수량_02석굴암교-상부(강재)_04-강재및도장수량" xfId="2745" xr:uid="{00000000-0005-0000-0000-00005B060000}"/>
    <cellStyle name="_성덕2교수량_산촌교-구조물수량_02석굴암교-상부(강재)_04-강재및도장수량" xfId="2746" xr:uid="{00000000-0005-0000-0000-00005C060000}"/>
    <cellStyle name="_성덕2교수량_새터교수량-철근수량참고_02석굴암교-상부(강재)_04-강재및도장수량" xfId="2747" xr:uid="{00000000-0005-0000-0000-00005D060000}"/>
    <cellStyle name="_성덕2교수량_신월교-구조물수량_02석굴암교-상부(강재)_04-강재및도장수량" xfId="2748" xr:uid="{00000000-0005-0000-0000-00005E060000}"/>
    <cellStyle name="_성덕2교수량_제2연육교-슬래브수량" xfId="1081" xr:uid="{00000000-0005-0000-0000-00005F060000}"/>
    <cellStyle name="_성덕2교수량_천기3교-슬래브수량" xfId="1082" xr:uid="{00000000-0005-0000-0000-000060060000}"/>
    <cellStyle name="_성덕2교수량_초리1교-구조물수량_02석굴암교-상부(강재)_04-강재및도장수량" xfId="2749" xr:uid="{00000000-0005-0000-0000-000061060000}"/>
    <cellStyle name="_성덕2교수량_평화교-구조물수량_02석굴암교-상부(강재)_04-강재및도장수량" xfId="2750" xr:uid="{00000000-0005-0000-0000-000062060000}"/>
    <cellStyle name="_수 량 연화.내감" xfId="2751" xr:uid="{00000000-0005-0000-0000-000063060000}"/>
    <cellStyle name="_수 량 연화.내감_01교량공(큰들)" xfId="2752" xr:uid="{00000000-0005-0000-0000-000064060000}"/>
    <cellStyle name="_수 량 연화.내감_03교량공" xfId="2753" xr:uid="{00000000-0005-0000-0000-000065060000}"/>
    <cellStyle name="_수 량 연화.내감_구조물공수량산출" xfId="2754" xr:uid="{00000000-0005-0000-0000-000066060000}"/>
    <cellStyle name="_수 량 연화.내감_구조물공수량산출_01교량공(큰들)" xfId="2755" xr:uid="{00000000-0005-0000-0000-000067060000}"/>
    <cellStyle name="_수 량 연화.내감_구조물공수량산출_03교량공" xfId="2756" xr:uid="{00000000-0005-0000-0000-000068060000}"/>
    <cellStyle name="_수 량 연화.내감_구조물공수량산출_가시설수량산출" xfId="2757" xr:uid="{00000000-0005-0000-0000-000069060000}"/>
    <cellStyle name="_수 량 연화.내감_구조물공수량산출_가시설수량산출_01교량공(큰들)" xfId="2758" xr:uid="{00000000-0005-0000-0000-00006A060000}"/>
    <cellStyle name="_수 량 연화.내감_구조물공수량산출_가시설수량산출_03교량공" xfId="2759" xr:uid="{00000000-0005-0000-0000-00006B060000}"/>
    <cellStyle name="_수 량 연화.내감_구조물공수량산출_가시설수량산출_약실교교량수량산출서" xfId="2760" xr:uid="{00000000-0005-0000-0000-00006C060000}"/>
    <cellStyle name="_수 량 연화.내감_구조물공수량산출_가시설수량산출_약실교교량수량산출서_01교량공(큰들)" xfId="2761" xr:uid="{00000000-0005-0000-0000-00006D060000}"/>
    <cellStyle name="_수 량 연화.내감_구조물공수량산출_가시설수량산출_약실교교량수량산출서_03교량공" xfId="2762" xr:uid="{00000000-0005-0000-0000-00006E060000}"/>
    <cellStyle name="_수 량 연화.내감_구조물공수량산출_가시설수량산출_큰들교교량수량산출서" xfId="2763" xr:uid="{00000000-0005-0000-0000-00006F060000}"/>
    <cellStyle name="_수 량 연화.내감_구조물공수량산출_가시설수량산출_큰마교교량수량산출서" xfId="2764" xr:uid="{00000000-0005-0000-0000-000070060000}"/>
    <cellStyle name="_수 량 연화.내감_구조물공수량산출_가시설수량산출_큰마교교량수량산출서_01교량공(큰들)" xfId="2765" xr:uid="{00000000-0005-0000-0000-000071060000}"/>
    <cellStyle name="_수 량 연화.내감_구조물공수량산출_가시설수량산출_큰마교교량수량산출서_03교량공" xfId="2766" xr:uid="{00000000-0005-0000-0000-000072060000}"/>
    <cellStyle name="_수 량 연화.내감_구조물공수량산출_구조물공수량산출" xfId="2767" xr:uid="{00000000-0005-0000-0000-000073060000}"/>
    <cellStyle name="_수 량 연화.내감_구조물공수량산출_구조물공수량산출_01교량공(큰들)" xfId="2768" xr:uid="{00000000-0005-0000-0000-000074060000}"/>
    <cellStyle name="_수 량 연화.내감_구조물공수량산출_구조물공수량산출_03교량공" xfId="2769" xr:uid="{00000000-0005-0000-0000-000075060000}"/>
    <cellStyle name="_수 량 연화.내감_구조물공수량산출_구조물공수량산출_약실교교량수량산출서" xfId="2770" xr:uid="{00000000-0005-0000-0000-000076060000}"/>
    <cellStyle name="_수 량 연화.내감_구조물공수량산출_구조물공수량산출_약실교교량수량산출서_01교량공(큰들)" xfId="2771" xr:uid="{00000000-0005-0000-0000-000077060000}"/>
    <cellStyle name="_수 량 연화.내감_구조물공수량산출_구조물공수량산출_약실교교량수량산출서_03교량공" xfId="2772" xr:uid="{00000000-0005-0000-0000-000078060000}"/>
    <cellStyle name="_수 량 연화.내감_구조물공수량산출_구조물공수량산출_큰들교교량수량산출서" xfId="2773" xr:uid="{00000000-0005-0000-0000-000079060000}"/>
    <cellStyle name="_수 량 연화.내감_구조물공수량산출_구조물공수량산출_큰마교교량수량산출서" xfId="2774" xr:uid="{00000000-0005-0000-0000-00007A060000}"/>
    <cellStyle name="_수 량 연화.내감_구조물공수량산출_구조물공수량산출_큰마교교량수량산출서_01교량공(큰들)" xfId="2775" xr:uid="{00000000-0005-0000-0000-00007B060000}"/>
    <cellStyle name="_수 량 연화.내감_구조물공수량산출_구조물공수량산출_큰마교교량수량산출서_03교량공" xfId="2776" xr:uid="{00000000-0005-0000-0000-00007C060000}"/>
    <cellStyle name="_수 량 연화.내감_구조물공수량산출_약실교교량수량산출서" xfId="2777" xr:uid="{00000000-0005-0000-0000-00007D060000}"/>
    <cellStyle name="_수 량 연화.내감_구조물공수량산출_약실교교량수량산출서_01교량공(큰들)" xfId="2778" xr:uid="{00000000-0005-0000-0000-00007E060000}"/>
    <cellStyle name="_수 량 연화.내감_구조물공수량산출_약실교교량수량산출서_03교량공" xfId="2779" xr:uid="{00000000-0005-0000-0000-00007F060000}"/>
    <cellStyle name="_수 량 연화.내감_구조물공수량산출_큰들교교량수량산출서" xfId="2780" xr:uid="{00000000-0005-0000-0000-000080060000}"/>
    <cellStyle name="_수 량 연화.내감_구조물공수량산출_큰마교교량수량산출서" xfId="2781" xr:uid="{00000000-0005-0000-0000-000081060000}"/>
    <cellStyle name="_수 량 연화.내감_구조물공수량산출_큰마교교량수량산출서_01교량공(큰들)" xfId="2782" xr:uid="{00000000-0005-0000-0000-000082060000}"/>
    <cellStyle name="_수 량 연화.내감_구조물공수량산출_큰마교교량수량산출서_03교량공" xfId="2783" xr:uid="{00000000-0005-0000-0000-000083060000}"/>
    <cellStyle name="_수 량 연화.내감_약실교교량수량산출서" xfId="2784" xr:uid="{00000000-0005-0000-0000-000084060000}"/>
    <cellStyle name="_수 량 연화.내감_약실교교량수량산출서_01교량공(큰들)" xfId="2785" xr:uid="{00000000-0005-0000-0000-000085060000}"/>
    <cellStyle name="_수 량 연화.내감_약실교교량수량산출서_03교량공" xfId="2786" xr:uid="{00000000-0005-0000-0000-000086060000}"/>
    <cellStyle name="_수 량 연화.내감_큰들교교량수량산출서" xfId="2787" xr:uid="{00000000-0005-0000-0000-000087060000}"/>
    <cellStyle name="_수 량 연화.내감_큰마교교량수량산출서" xfId="2788" xr:uid="{00000000-0005-0000-0000-000088060000}"/>
    <cellStyle name="_수 량 연화.내감_큰마교교량수량산출서_01교량공(큰들)" xfId="2789" xr:uid="{00000000-0005-0000-0000-000089060000}"/>
    <cellStyle name="_수 량 연화.내감_큰마교교량수량산출서_03교량공" xfId="2790" xr:uid="{00000000-0005-0000-0000-00008A060000}"/>
    <cellStyle name="_수량산출 구눌하수도" xfId="2791" xr:uid="{00000000-0005-0000-0000-00008B060000}"/>
    <cellStyle name="_수량산출 구눌하수도_01교량공(큰들)" xfId="2792" xr:uid="{00000000-0005-0000-0000-00008C060000}"/>
    <cellStyle name="_수량산출 구눌하수도_03교량공" xfId="2793" xr:uid="{00000000-0005-0000-0000-00008D060000}"/>
    <cellStyle name="_수량산출 구눌하수도_구조물공수량산출" xfId="2794" xr:uid="{00000000-0005-0000-0000-00008E060000}"/>
    <cellStyle name="_수량산출 구눌하수도_구조물공수량산출_01교량공(큰들)" xfId="2795" xr:uid="{00000000-0005-0000-0000-00008F060000}"/>
    <cellStyle name="_수량산출 구눌하수도_구조물공수량산출_03교량공" xfId="2796" xr:uid="{00000000-0005-0000-0000-000090060000}"/>
    <cellStyle name="_수량산출 구눌하수도_구조물공수량산출_가시설수량산출" xfId="2797" xr:uid="{00000000-0005-0000-0000-000091060000}"/>
    <cellStyle name="_수량산출 구눌하수도_구조물공수량산출_가시설수량산출_01교량공(큰들)" xfId="2798" xr:uid="{00000000-0005-0000-0000-000092060000}"/>
    <cellStyle name="_수량산출 구눌하수도_구조물공수량산출_가시설수량산출_03교량공" xfId="2799" xr:uid="{00000000-0005-0000-0000-000093060000}"/>
    <cellStyle name="_수량산출 구눌하수도_구조물공수량산출_가시설수량산출_약실교교량수량산출서" xfId="2800" xr:uid="{00000000-0005-0000-0000-000094060000}"/>
    <cellStyle name="_수량산출 구눌하수도_구조물공수량산출_가시설수량산출_약실교교량수량산출서_01교량공(큰들)" xfId="2801" xr:uid="{00000000-0005-0000-0000-000095060000}"/>
    <cellStyle name="_수량산출 구눌하수도_구조물공수량산출_가시설수량산출_약실교교량수량산출서_03교량공" xfId="2802" xr:uid="{00000000-0005-0000-0000-000096060000}"/>
    <cellStyle name="_수량산출 구눌하수도_구조물공수량산출_가시설수량산출_큰들교교량수량산출서" xfId="2803" xr:uid="{00000000-0005-0000-0000-000097060000}"/>
    <cellStyle name="_수량산출 구눌하수도_구조물공수량산출_가시설수량산출_큰마교교량수량산출서" xfId="2804" xr:uid="{00000000-0005-0000-0000-000098060000}"/>
    <cellStyle name="_수량산출 구눌하수도_구조물공수량산출_가시설수량산출_큰마교교량수량산출서_01교량공(큰들)" xfId="2805" xr:uid="{00000000-0005-0000-0000-000099060000}"/>
    <cellStyle name="_수량산출 구눌하수도_구조물공수량산출_가시설수량산출_큰마교교량수량산출서_03교량공" xfId="2806" xr:uid="{00000000-0005-0000-0000-00009A060000}"/>
    <cellStyle name="_수량산출 구눌하수도_구조물공수량산출_구조물공수량산출" xfId="2807" xr:uid="{00000000-0005-0000-0000-00009B060000}"/>
    <cellStyle name="_수량산출 구눌하수도_구조물공수량산출_구조물공수량산출_01교량공(큰들)" xfId="2808" xr:uid="{00000000-0005-0000-0000-00009C060000}"/>
    <cellStyle name="_수량산출 구눌하수도_구조물공수량산출_구조물공수량산출_03교량공" xfId="2809" xr:uid="{00000000-0005-0000-0000-00009D060000}"/>
    <cellStyle name="_수량산출 구눌하수도_구조물공수량산출_구조물공수량산출_약실교교량수량산출서" xfId="2810" xr:uid="{00000000-0005-0000-0000-00009E060000}"/>
    <cellStyle name="_수량산출 구눌하수도_구조물공수량산출_구조물공수량산출_약실교교량수량산출서_01교량공(큰들)" xfId="2811" xr:uid="{00000000-0005-0000-0000-00009F060000}"/>
    <cellStyle name="_수량산출 구눌하수도_구조물공수량산출_구조물공수량산출_약실교교량수량산출서_03교량공" xfId="2812" xr:uid="{00000000-0005-0000-0000-0000A0060000}"/>
    <cellStyle name="_수량산출 구눌하수도_구조물공수량산출_구조물공수량산출_큰들교교량수량산출서" xfId="2813" xr:uid="{00000000-0005-0000-0000-0000A1060000}"/>
    <cellStyle name="_수량산출 구눌하수도_구조물공수량산출_구조물공수량산출_큰마교교량수량산출서" xfId="2814" xr:uid="{00000000-0005-0000-0000-0000A2060000}"/>
    <cellStyle name="_수량산출 구눌하수도_구조물공수량산출_구조물공수량산출_큰마교교량수량산출서_01교량공(큰들)" xfId="2815" xr:uid="{00000000-0005-0000-0000-0000A3060000}"/>
    <cellStyle name="_수량산출 구눌하수도_구조물공수량산출_구조물공수량산출_큰마교교량수량산출서_03교량공" xfId="2816" xr:uid="{00000000-0005-0000-0000-0000A4060000}"/>
    <cellStyle name="_수량산출 구눌하수도_구조물공수량산출_약실교교량수량산출서" xfId="2817" xr:uid="{00000000-0005-0000-0000-0000A5060000}"/>
    <cellStyle name="_수량산출 구눌하수도_구조물공수량산출_약실교교량수량산출서_01교량공(큰들)" xfId="2818" xr:uid="{00000000-0005-0000-0000-0000A6060000}"/>
    <cellStyle name="_수량산출 구눌하수도_구조물공수량산출_약실교교량수량산출서_03교량공" xfId="2819" xr:uid="{00000000-0005-0000-0000-0000A7060000}"/>
    <cellStyle name="_수량산출 구눌하수도_구조물공수량산출_큰들교교량수량산출서" xfId="2820" xr:uid="{00000000-0005-0000-0000-0000A8060000}"/>
    <cellStyle name="_수량산출 구눌하수도_구조물공수량산출_큰마교교량수량산출서" xfId="2821" xr:uid="{00000000-0005-0000-0000-0000A9060000}"/>
    <cellStyle name="_수량산출 구눌하수도_구조물공수량산출_큰마교교량수량산출서_01교량공(큰들)" xfId="2822" xr:uid="{00000000-0005-0000-0000-0000AA060000}"/>
    <cellStyle name="_수량산출 구눌하수도_구조물공수량산출_큰마교교량수량산출서_03교량공" xfId="2823" xr:uid="{00000000-0005-0000-0000-0000AB060000}"/>
    <cellStyle name="_수량산출 구눌하수도_약실교교량수량산출서" xfId="2824" xr:uid="{00000000-0005-0000-0000-0000AC060000}"/>
    <cellStyle name="_수량산출 구눌하수도_약실교교량수량산출서_01교량공(큰들)" xfId="2825" xr:uid="{00000000-0005-0000-0000-0000AD060000}"/>
    <cellStyle name="_수량산출 구눌하수도_약실교교량수량산출서_03교량공" xfId="2826" xr:uid="{00000000-0005-0000-0000-0000AE060000}"/>
    <cellStyle name="_수량산출 구눌하수도_큰들교교량수량산출서" xfId="2827" xr:uid="{00000000-0005-0000-0000-0000AF060000}"/>
    <cellStyle name="_수량산출 구눌하수도_큰마교교량수량산출서" xfId="2828" xr:uid="{00000000-0005-0000-0000-0000B0060000}"/>
    <cellStyle name="_수량산출 구눌하수도_큰마교교량수량산출서_01교량공(큰들)" xfId="2829" xr:uid="{00000000-0005-0000-0000-0000B1060000}"/>
    <cellStyle name="_수량산출 구눌하수도_큰마교교량수량산출서_03교량공" xfId="2830" xr:uid="{00000000-0005-0000-0000-0000B2060000}"/>
    <cellStyle name="_수백교상부" xfId="1083" xr:uid="{00000000-0005-0000-0000-0000B3060000}"/>
    <cellStyle name="_시례2교 상부수량(본체도로)" xfId="2831" xr:uid="{00000000-0005-0000-0000-0000B4060000}"/>
    <cellStyle name="_시례2교 상부수량(부체도로)" xfId="2832" xr:uid="{00000000-0005-0000-0000-0000B5060000}"/>
    <cellStyle name="_신대교- 상부수량산출서" xfId="2833" xr:uid="{00000000-0005-0000-0000-0000B6060000}"/>
    <cellStyle name="_신대교-상부수량산출서" xfId="2834" xr:uid="{00000000-0005-0000-0000-0000B7060000}"/>
    <cellStyle name="_신리1교-상부" xfId="1084" xr:uid="{00000000-0005-0000-0000-0000B8060000}"/>
    <cellStyle name="_신리1교-상부_01-소탄교-총괄수량집계표" xfId="1085" xr:uid="{00000000-0005-0000-0000-0000B9060000}"/>
    <cellStyle name="_신리1교-상부_01-소탄교-총괄수량집계표1" xfId="1086" xr:uid="{00000000-0005-0000-0000-0000BA060000}"/>
    <cellStyle name="_신리1교-상부_01-여곡2교-총괄수량집계표" xfId="1087" xr:uid="{00000000-0005-0000-0000-0000BB060000}"/>
    <cellStyle name="_신리1교-상부_01-정선제3교-총괄수량집계표" xfId="2835" xr:uid="{00000000-0005-0000-0000-0000BC060000}"/>
    <cellStyle name="_신리1교-상부_1.광하1교-주요자재집계표" xfId="1088" xr:uid="{00000000-0005-0000-0000-0000BD060000}"/>
    <cellStyle name="_신리1교-상부_1.광하1교-주요자재집계표_01-소탄교-총괄수량집계표" xfId="1089" xr:uid="{00000000-0005-0000-0000-0000BE060000}"/>
    <cellStyle name="_신리1교-상부_1.광하1교-주요자재집계표_01-소탄교-총괄수량집계표1" xfId="1090" xr:uid="{00000000-0005-0000-0000-0000BF060000}"/>
    <cellStyle name="_신리1교-상부_1.광하1교-주요자재집계표_01-여곡2교-총괄수량집계표" xfId="1091" xr:uid="{00000000-0005-0000-0000-0000C0060000}"/>
    <cellStyle name="_신리1교-상부_1.광하1교-주요자재집계표_01-정선제3교-총괄수량집계표" xfId="2836" xr:uid="{00000000-0005-0000-0000-0000C1060000}"/>
    <cellStyle name="_신리1교-상부_4.광석교-상부수량집계" xfId="1092" xr:uid="{00000000-0005-0000-0000-0000C2060000}"/>
    <cellStyle name="_신리1교-상부_4.광석교-상부수량집계_01-소탄교-총괄수량집계표" xfId="1093" xr:uid="{00000000-0005-0000-0000-0000C3060000}"/>
    <cellStyle name="_신리1교-상부_4.광석교-상부수량집계_01-소탄교-총괄수량집계표1" xfId="1094" xr:uid="{00000000-0005-0000-0000-0000C4060000}"/>
    <cellStyle name="_신리1교-상부_4.광석교-상부수량집계_01-여곡2교-총괄수량집계표" xfId="1095" xr:uid="{00000000-0005-0000-0000-0000C5060000}"/>
    <cellStyle name="_신리1교-상부_4.광석교-상부수량집계_01-정선제3교-총괄수량집계표" xfId="2837" xr:uid="{00000000-0005-0000-0000-0000C6060000}"/>
    <cellStyle name="_신리1교-상부_x주요자재집계표" xfId="1120" xr:uid="{00000000-0005-0000-0000-0000C7060000}"/>
    <cellStyle name="_신리1교-상부_x주요자재집계표_01-소탄교-총괄수량집계표" xfId="1121" xr:uid="{00000000-0005-0000-0000-0000C8060000}"/>
    <cellStyle name="_신리1교-상부_x주요자재집계표_01-소탄교-총괄수량집계표1" xfId="1122" xr:uid="{00000000-0005-0000-0000-0000C9060000}"/>
    <cellStyle name="_신리1교-상부_x주요자재집계표_01-여곡2교-총괄수량집계표" xfId="1123" xr:uid="{00000000-0005-0000-0000-0000CA060000}"/>
    <cellStyle name="_신리1교-상부_x주요자재집계표_01-정선제3교-총괄수량집계표" xfId="2838" xr:uid="{00000000-0005-0000-0000-0000CB060000}"/>
    <cellStyle name="_신리1교-상부_구조물주요자재(3공구)" xfId="1096" xr:uid="{00000000-0005-0000-0000-0000CC060000}"/>
    <cellStyle name="_신리1교-상부_구조물주요자재(3공구)_01-소탄교-총괄수량집계표" xfId="1097" xr:uid="{00000000-0005-0000-0000-0000CD060000}"/>
    <cellStyle name="_신리1교-상부_구조물주요자재(3공구)_01-소탄교-총괄수량집계표1" xfId="1098" xr:uid="{00000000-0005-0000-0000-0000CE060000}"/>
    <cellStyle name="_신리1교-상부_구조물주요자재(3공구)_01-여곡2교-총괄수량집계표" xfId="1099" xr:uid="{00000000-0005-0000-0000-0000CF060000}"/>
    <cellStyle name="_신리1교-상부_구조물주요자재(3공구)_01-정선제3교-총괄수량집계표" xfId="2839" xr:uid="{00000000-0005-0000-0000-0000D0060000}"/>
    <cellStyle name="_신리1교-상부_구조물주요자재(3공구)_1.광하1교-주요자재집계표" xfId="1100" xr:uid="{00000000-0005-0000-0000-0000D1060000}"/>
    <cellStyle name="_신리1교-상부_구조물주요자재(3공구)_1.광하1교-주요자재집계표_01-소탄교-총괄수량집계표" xfId="1101" xr:uid="{00000000-0005-0000-0000-0000D2060000}"/>
    <cellStyle name="_신리1교-상부_구조물주요자재(3공구)_1.광하1교-주요자재집계표_01-소탄교-총괄수량집계표1" xfId="1102" xr:uid="{00000000-0005-0000-0000-0000D3060000}"/>
    <cellStyle name="_신리1교-상부_구조물주요자재(3공구)_1.광하1교-주요자재집계표_01-여곡2교-총괄수량집계표" xfId="1103" xr:uid="{00000000-0005-0000-0000-0000D4060000}"/>
    <cellStyle name="_신리1교-상부_구조물주요자재(3공구)_1.광하1교-주요자재집계표_01-정선제3교-총괄수량집계표" xfId="2840" xr:uid="{00000000-0005-0000-0000-0000D5060000}"/>
    <cellStyle name="_신리1교-상부_구조물주요자재(3공구)_4.광석교-상부수량집계" xfId="1104" xr:uid="{00000000-0005-0000-0000-0000D6060000}"/>
    <cellStyle name="_신리1교-상부_구조물주요자재(3공구)_4.광석교-상부수량집계_01-소탄교-총괄수량집계표" xfId="1105" xr:uid="{00000000-0005-0000-0000-0000D7060000}"/>
    <cellStyle name="_신리1교-상부_구조물주요자재(3공구)_4.광석교-상부수량집계_01-소탄교-총괄수량집계표1" xfId="1106" xr:uid="{00000000-0005-0000-0000-0000D8060000}"/>
    <cellStyle name="_신리1교-상부_구조물주요자재(3공구)_4.광석교-상부수량집계_01-여곡2교-총괄수량집계표" xfId="1107" xr:uid="{00000000-0005-0000-0000-0000D9060000}"/>
    <cellStyle name="_신리1교-상부_구조물주요자재(3공구)_4.광석교-상부수량집계_01-정선제3교-총괄수량집계표" xfId="2841" xr:uid="{00000000-0005-0000-0000-0000DA060000}"/>
    <cellStyle name="_신리1교-상부_구조물주요자재(3공구)_x주요자재집계표" xfId="1112" xr:uid="{00000000-0005-0000-0000-0000DB060000}"/>
    <cellStyle name="_신리1교-상부_구조물주요자재(3공구)_x주요자재집계표_01-소탄교-총괄수량집계표" xfId="1113" xr:uid="{00000000-0005-0000-0000-0000DC060000}"/>
    <cellStyle name="_신리1교-상부_구조물주요자재(3공구)_x주요자재집계표_01-소탄교-총괄수량집계표1" xfId="1114" xr:uid="{00000000-0005-0000-0000-0000DD060000}"/>
    <cellStyle name="_신리1교-상부_구조물주요자재(3공구)_x주요자재집계표_01-여곡2교-총괄수량집계표" xfId="1115" xr:uid="{00000000-0005-0000-0000-0000DE060000}"/>
    <cellStyle name="_신리1교-상부_구조물주요자재(3공구)_x주요자재집계표_01-정선제3교-총괄수량집계표" xfId="2842" xr:uid="{00000000-0005-0000-0000-0000DF060000}"/>
    <cellStyle name="_신리1교-상부_구조물주요자재(3공구)_주요자재집계표" xfId="1108" xr:uid="{00000000-0005-0000-0000-0000E0060000}"/>
    <cellStyle name="_신리1교-상부_구조물주요자재(3공구)_주요자재집계표_01-소탄교-총괄수량집계표" xfId="1109" xr:uid="{00000000-0005-0000-0000-0000E1060000}"/>
    <cellStyle name="_신리1교-상부_구조물주요자재(3공구)_주요자재집계표_01-소탄교-총괄수량집계표1" xfId="1110" xr:uid="{00000000-0005-0000-0000-0000E2060000}"/>
    <cellStyle name="_신리1교-상부_구조물주요자재(3공구)_주요자재집계표_01-여곡2교-총괄수량집계표" xfId="1111" xr:uid="{00000000-0005-0000-0000-0000E3060000}"/>
    <cellStyle name="_신리1교-상부_구조물주요자재(3공구)_주요자재집계표_01-정선제3교-총괄수량집계표" xfId="2843" xr:uid="{00000000-0005-0000-0000-0000E4060000}"/>
    <cellStyle name="_신리1교-상부_주요자재집계표" xfId="1116" xr:uid="{00000000-0005-0000-0000-0000E5060000}"/>
    <cellStyle name="_신리1교-상부_주요자재집계표_01-소탄교-총괄수량집계표" xfId="1117" xr:uid="{00000000-0005-0000-0000-0000E6060000}"/>
    <cellStyle name="_신리1교-상부_주요자재집계표_01-소탄교-총괄수량집계표1" xfId="1118" xr:uid="{00000000-0005-0000-0000-0000E7060000}"/>
    <cellStyle name="_신리1교-상부_주요자재집계표_01-여곡2교-총괄수량집계표" xfId="1119" xr:uid="{00000000-0005-0000-0000-0000E8060000}"/>
    <cellStyle name="_신리1교-상부_주요자재집계표_01-정선제3교-총괄수량집계표" xfId="2844" xr:uid="{00000000-0005-0000-0000-0000E9060000}"/>
    <cellStyle name="_신리5교 상부" xfId="1124" xr:uid="{00000000-0005-0000-0000-0000EA060000}"/>
    <cellStyle name="_신리5교 상부_01-소탄교-총괄수량집계표" xfId="1125" xr:uid="{00000000-0005-0000-0000-0000EB060000}"/>
    <cellStyle name="_신리5교 상부_01-소탄교-총괄수량집계표1" xfId="1126" xr:uid="{00000000-0005-0000-0000-0000EC060000}"/>
    <cellStyle name="_신리5교 상부_01-여곡2교-총괄수량집계표" xfId="1127" xr:uid="{00000000-0005-0000-0000-0000ED060000}"/>
    <cellStyle name="_신리5교 상부_01-정선제3교-총괄수량집계표" xfId="2845" xr:uid="{00000000-0005-0000-0000-0000EE060000}"/>
    <cellStyle name="_신리5교 상부_02석굴암교-상부(강재)_04-강재및도장수량" xfId="2846" xr:uid="{00000000-0005-0000-0000-0000EF060000}"/>
    <cellStyle name="_신리5교 상부_HG2-상부수량_02석굴암교-상부(강재)_04-강재및도장수량" xfId="2847" xr:uid="{00000000-0005-0000-0000-0000F0060000}"/>
    <cellStyle name="_신리5교 상부_HG2-상부수량_상부수량_02석굴암교-상부(강재)_04-강재및도장수량" xfId="2848" xr:uid="{00000000-0005-0000-0000-0000F1060000}"/>
    <cellStyle name="_신리5교 상부_HG2-상부수량_황길1교-상부수량_02석굴암교-상부(강재)_04-강재및도장수량" xfId="2849" xr:uid="{00000000-0005-0000-0000-0000F2060000}"/>
    <cellStyle name="_신리5교 상부_HG2-상부수량_황길2교-상부수량_02석굴암교-상부(강재)_04-강재및도장수량" xfId="2850" xr:uid="{00000000-0005-0000-0000-0000F3060000}"/>
    <cellStyle name="_신리5교교대" xfId="1128" xr:uid="{00000000-0005-0000-0000-0000F4060000}"/>
    <cellStyle name="_신리5교교대토공" xfId="1129" xr:uid="{00000000-0005-0000-0000-0000F5060000}"/>
    <cellStyle name="_신리6교 상부" xfId="1130" xr:uid="{00000000-0005-0000-0000-0000F6060000}"/>
    <cellStyle name="_신리6교 상부_01-소탄교-총괄수량집계표" xfId="1131" xr:uid="{00000000-0005-0000-0000-0000F7060000}"/>
    <cellStyle name="_신리6교 상부_01-소탄교-총괄수량집계표1" xfId="1132" xr:uid="{00000000-0005-0000-0000-0000F8060000}"/>
    <cellStyle name="_신리6교 상부_01-여곡2교-총괄수량집계표" xfId="1133" xr:uid="{00000000-0005-0000-0000-0000F9060000}"/>
    <cellStyle name="_신리6교 상부_01-정선제3교-총괄수량집계표" xfId="2851" xr:uid="{00000000-0005-0000-0000-0000FA060000}"/>
    <cellStyle name="_신리6교 상부_02석굴암교-상부(강재)_04-강재및도장수량" xfId="2852" xr:uid="{00000000-0005-0000-0000-0000FB060000}"/>
    <cellStyle name="_신리6교 상부_HG2-상부수량_02석굴암교-상부(강재)_04-강재및도장수량" xfId="2853" xr:uid="{00000000-0005-0000-0000-0000FC060000}"/>
    <cellStyle name="_신리6교 상부_HG2-상부수량_상부수량_02석굴암교-상부(강재)_04-강재및도장수량" xfId="2854" xr:uid="{00000000-0005-0000-0000-0000FD060000}"/>
    <cellStyle name="_신리6교 상부_HG2-상부수량_황길1교-상부수량_02석굴암교-상부(강재)_04-강재및도장수량" xfId="2855" xr:uid="{00000000-0005-0000-0000-0000FE060000}"/>
    <cellStyle name="_신리6교 상부_HG2-상부수량_황길2교-상부수량_02석굴암교-상부(강재)_04-강재및도장수량" xfId="2856" xr:uid="{00000000-0005-0000-0000-0000FF060000}"/>
    <cellStyle name="_신사(구조물공)" xfId="2857" xr:uid="{00000000-0005-0000-0000-000000070000}"/>
    <cellStyle name="_신사(구조물공)_04-선릉(구조물공)" xfId="2858" xr:uid="{00000000-0005-0000-0000-000001070000}"/>
    <cellStyle name="_신사(구조물공)_온직교(구조물공)-1" xfId="2859" xr:uid="{00000000-0005-0000-0000-000002070000}"/>
    <cellStyle name="_신사(구조물공)_외부ES#8 " xfId="2860" xr:uid="{00000000-0005-0000-0000-000003070000}"/>
    <cellStyle name="_신사(구조물공)_용두교(구조물공)" xfId="2861" xr:uid="{00000000-0005-0000-0000-000004070000}"/>
    <cellStyle name="_신월교-구조물수량_02석굴암교-상부(강재)_04-강재및도장수량" xfId="2862" xr:uid="{00000000-0005-0000-0000-000005070000}"/>
    <cellStyle name="_압구정(구조물공)" xfId="2863" xr:uid="{00000000-0005-0000-0000-000006070000}"/>
    <cellStyle name="_압구정(구조물공)_04-선릉(구조물공)" xfId="2864" xr:uid="{00000000-0005-0000-0000-000007070000}"/>
    <cellStyle name="_압구정(구조물공)_온직교(구조물공)-1" xfId="2865" xr:uid="{00000000-0005-0000-0000-000008070000}"/>
    <cellStyle name="_압구정(구조물공)_외부ES#8 " xfId="2866" xr:uid="{00000000-0005-0000-0000-000009070000}"/>
    <cellStyle name="_압구정(구조물공)_용두교(구조물공)" xfId="2867" xr:uid="{00000000-0005-0000-0000-00000A070000}"/>
    <cellStyle name="_약실교교량수량산출서" xfId="2868" xr:uid="{00000000-0005-0000-0000-00000B070000}"/>
    <cellStyle name="_약실교교량수량산출서_01교량공(큰들)" xfId="2869" xr:uid="{00000000-0005-0000-0000-00000C070000}"/>
    <cellStyle name="_약실교교량수량산출서_03교량공" xfId="2870" xr:uid="{00000000-0005-0000-0000-00000D070000}"/>
    <cellStyle name="_양지교교대수량" xfId="2871" xr:uid="{00000000-0005-0000-0000-00000E070000}"/>
    <cellStyle name="_양지교상부수량" xfId="2872" xr:uid="{00000000-0005-0000-0000-00000F070000}"/>
    <cellStyle name="_양지교수량총괄" xfId="2873" xr:uid="{00000000-0005-0000-0000-000010070000}"/>
    <cellStyle name="_양지교수량총괄집계표" xfId="2874" xr:uid="{00000000-0005-0000-0000-000011070000}"/>
    <cellStyle name="_어천2교-수량" xfId="2875" xr:uid="{00000000-0005-0000-0000-000012070000}"/>
    <cellStyle name="_어천3교-수량" xfId="2876" xr:uid="{00000000-0005-0000-0000-000013070000}"/>
    <cellStyle name="_역L형 옹벽" xfId="2877" xr:uid="{00000000-0005-0000-0000-000014070000}"/>
    <cellStyle name="_역t옹벽" xfId="2878" xr:uid="{00000000-0005-0000-0000-000015070000}"/>
    <cellStyle name="_역t옹벽_옹벽" xfId="2879" xr:uid="{00000000-0005-0000-0000-000016070000}"/>
    <cellStyle name="_역t옹벽_옹벽_옹벽" xfId="2880" xr:uid="{00000000-0005-0000-0000-000017070000}"/>
    <cellStyle name="_역삼(구조물공)" xfId="2881" xr:uid="{00000000-0005-0000-0000-000018070000}"/>
    <cellStyle name="_역삼(구조물공)_04-선릉(구조물공)" xfId="2882" xr:uid="{00000000-0005-0000-0000-000019070000}"/>
    <cellStyle name="_역삼(구조물공)_온직교(구조물공)-1" xfId="2883" xr:uid="{00000000-0005-0000-0000-00001A070000}"/>
    <cellStyle name="_역삼(구조물공)_외부ES#8 " xfId="2884" xr:uid="{00000000-0005-0000-0000-00001B070000}"/>
    <cellStyle name="_역삼(구조물공)_용두교(구조물공)" xfId="2885" xr:uid="{00000000-0005-0000-0000-00001C070000}"/>
    <cellStyle name="_역삼(구조물공수정)" xfId="2886" xr:uid="{00000000-0005-0000-0000-00001D070000}"/>
    <cellStyle name="_역삼(구조물공수정)_04-선릉(구조물공)" xfId="2887" xr:uid="{00000000-0005-0000-0000-00001E070000}"/>
    <cellStyle name="_역삼(구조물공수정)_온직교(구조물공)-1" xfId="2888" xr:uid="{00000000-0005-0000-0000-00001F070000}"/>
    <cellStyle name="_역삼(구조물공수정)_외부ES#8 " xfId="2889" xr:uid="{00000000-0005-0000-0000-000020070000}"/>
    <cellStyle name="_역삼(구조물공수정)_용두교(구조물공)" xfId="2890" xr:uid="{00000000-0005-0000-0000-000021070000}"/>
    <cellStyle name="_연평교라멘수량" xfId="2891" xr:uid="{00000000-0005-0000-0000-000022070000}"/>
    <cellStyle name="_옹벽" xfId="2892" xr:uid="{00000000-0005-0000-0000-000023070000}"/>
    <cellStyle name="_옹벽 (version 4)" xfId="2893" xr:uid="{00000000-0005-0000-0000-000024070000}"/>
    <cellStyle name="_옹벽 (version 4)_옹벽" xfId="2894" xr:uid="{00000000-0005-0000-0000-000025070000}"/>
    <cellStyle name="_옹벽 (version 4)_옹벽_옹벽" xfId="2895" xr:uid="{00000000-0005-0000-0000-000026070000}"/>
    <cellStyle name="_용정2p3(아포)" xfId="2896" xr:uid="{00000000-0005-0000-0000-000027070000}"/>
    <cellStyle name="_운암교-상부(PSC)수량(0728)" xfId="2897" xr:uid="{00000000-0005-0000-0000-000028070000}"/>
    <cellStyle name="_원암1교 총괄수량집계관련" xfId="2898" xr:uid="{00000000-0005-0000-0000-000029070000}"/>
    <cellStyle name="_원암1교일반수량" xfId="2899" xr:uid="{00000000-0005-0000-0000-00002A070000}"/>
    <cellStyle name="_원암2교 내역적용수량" xfId="2900" xr:uid="{00000000-0005-0000-0000-00002B070000}"/>
    <cellStyle name="_원암2교 총괄수량집계" xfId="2901" xr:uid="{00000000-0005-0000-0000-00002C070000}"/>
    <cellStyle name="_원암2교 하부일반수량" xfId="2902" xr:uid="{00000000-0005-0000-0000-00002D070000}"/>
    <cellStyle name="_원암2교상부수량" xfId="2903" xr:uid="{00000000-0005-0000-0000-00002E070000}"/>
    <cellStyle name="_원암2교하부토공집계" xfId="2904" xr:uid="{00000000-0005-0000-0000-00002F070000}"/>
    <cellStyle name="_유촌1교-철근수량산출" xfId="2905" xr:uid="{00000000-0005-0000-0000-000030070000}"/>
    <cellStyle name="_유촌2교-교각수량" xfId="2906" xr:uid="{00000000-0005-0000-0000-000031070000}"/>
    <cellStyle name="_음성방향-p1" xfId="2907" xr:uid="{00000000-0005-0000-0000-000032070000}"/>
    <cellStyle name="_일반수량집계" xfId="2908" xr:uid="{00000000-0005-0000-0000-000033070000}"/>
    <cellStyle name="_잠원(구조물공)" xfId="2909" xr:uid="{00000000-0005-0000-0000-000034070000}"/>
    <cellStyle name="_잠원(구조물공)_04-선릉(구조물공)" xfId="2910" xr:uid="{00000000-0005-0000-0000-000035070000}"/>
    <cellStyle name="_잠원(구조물공)_온직교(구조물공)-1" xfId="2911" xr:uid="{00000000-0005-0000-0000-000036070000}"/>
    <cellStyle name="_잠원(구조물공)_외부ES#8 " xfId="2912" xr:uid="{00000000-0005-0000-0000-000037070000}"/>
    <cellStyle name="_잠원(구조물공)_용두교(구조물공)" xfId="2913" xr:uid="{00000000-0005-0000-0000-000038070000}"/>
    <cellStyle name="_장열교집계표" xfId="2914" xr:uid="{00000000-0005-0000-0000-000039070000}"/>
    <cellStyle name="_전체분자재집계표" xfId="2915" xr:uid="{00000000-0005-0000-0000-00003A070000}"/>
    <cellStyle name="_전체분자재집계표_01교량공(큰들)" xfId="2916" xr:uid="{00000000-0005-0000-0000-00003B070000}"/>
    <cellStyle name="_전체분자재집계표_03교량공" xfId="2917" xr:uid="{00000000-0005-0000-0000-00003C070000}"/>
    <cellStyle name="_전체분자재집계표_구조물공수량산출" xfId="2918" xr:uid="{00000000-0005-0000-0000-00003D070000}"/>
    <cellStyle name="_전체분자재집계표_구조물공수량산출_01교량공(큰들)" xfId="2919" xr:uid="{00000000-0005-0000-0000-00003E070000}"/>
    <cellStyle name="_전체분자재집계표_구조물공수량산출_03교량공" xfId="2920" xr:uid="{00000000-0005-0000-0000-00003F070000}"/>
    <cellStyle name="_전체분자재집계표_구조물공수량산출_가시설수량산출" xfId="2921" xr:uid="{00000000-0005-0000-0000-000040070000}"/>
    <cellStyle name="_전체분자재집계표_구조물공수량산출_가시설수량산출_01교량공(큰들)" xfId="2922" xr:uid="{00000000-0005-0000-0000-000041070000}"/>
    <cellStyle name="_전체분자재집계표_구조물공수량산출_가시설수량산출_03교량공" xfId="2923" xr:uid="{00000000-0005-0000-0000-000042070000}"/>
    <cellStyle name="_전체분자재집계표_구조물공수량산출_가시설수량산출_약실교교량수량산출서" xfId="2924" xr:uid="{00000000-0005-0000-0000-000043070000}"/>
    <cellStyle name="_전체분자재집계표_구조물공수량산출_가시설수량산출_약실교교량수량산출서_01교량공(큰들)" xfId="2925" xr:uid="{00000000-0005-0000-0000-000044070000}"/>
    <cellStyle name="_전체분자재집계표_구조물공수량산출_가시설수량산출_약실교교량수량산출서_03교량공" xfId="2926" xr:uid="{00000000-0005-0000-0000-000045070000}"/>
    <cellStyle name="_전체분자재집계표_구조물공수량산출_가시설수량산출_큰들교교량수량산출서" xfId="2927" xr:uid="{00000000-0005-0000-0000-000046070000}"/>
    <cellStyle name="_전체분자재집계표_구조물공수량산출_가시설수량산출_큰마교교량수량산출서" xfId="2928" xr:uid="{00000000-0005-0000-0000-000047070000}"/>
    <cellStyle name="_전체분자재집계표_구조물공수량산출_가시설수량산출_큰마교교량수량산출서_01교량공(큰들)" xfId="2929" xr:uid="{00000000-0005-0000-0000-000048070000}"/>
    <cellStyle name="_전체분자재집계표_구조물공수량산출_가시설수량산출_큰마교교량수량산출서_03교량공" xfId="2930" xr:uid="{00000000-0005-0000-0000-000049070000}"/>
    <cellStyle name="_전체분자재집계표_구조물공수량산출_구조물공수량산출" xfId="2931" xr:uid="{00000000-0005-0000-0000-00004A070000}"/>
    <cellStyle name="_전체분자재집계표_구조물공수량산출_구조물공수량산출_01교량공(큰들)" xfId="2932" xr:uid="{00000000-0005-0000-0000-00004B070000}"/>
    <cellStyle name="_전체분자재집계표_구조물공수량산출_구조물공수량산출_03교량공" xfId="2933" xr:uid="{00000000-0005-0000-0000-00004C070000}"/>
    <cellStyle name="_전체분자재집계표_구조물공수량산출_구조물공수량산출_약실교교량수량산출서" xfId="2934" xr:uid="{00000000-0005-0000-0000-00004D070000}"/>
    <cellStyle name="_전체분자재집계표_구조물공수량산출_구조물공수량산출_약실교교량수량산출서_01교량공(큰들)" xfId="2935" xr:uid="{00000000-0005-0000-0000-00004E070000}"/>
    <cellStyle name="_전체분자재집계표_구조물공수량산출_구조물공수량산출_약실교교량수량산출서_03교량공" xfId="2936" xr:uid="{00000000-0005-0000-0000-00004F070000}"/>
    <cellStyle name="_전체분자재집계표_구조물공수량산출_구조물공수량산출_큰들교교량수량산출서" xfId="2937" xr:uid="{00000000-0005-0000-0000-000050070000}"/>
    <cellStyle name="_전체분자재집계표_구조물공수량산출_구조물공수량산출_큰마교교량수량산출서" xfId="2938" xr:uid="{00000000-0005-0000-0000-000051070000}"/>
    <cellStyle name="_전체분자재집계표_구조물공수량산출_구조물공수량산출_큰마교교량수량산출서_01교량공(큰들)" xfId="2939" xr:uid="{00000000-0005-0000-0000-000052070000}"/>
    <cellStyle name="_전체분자재집계표_구조물공수량산출_구조물공수량산출_큰마교교량수량산출서_03교량공" xfId="2940" xr:uid="{00000000-0005-0000-0000-000053070000}"/>
    <cellStyle name="_전체분자재집계표_구조물공수량산출_약실교교량수량산출서" xfId="2941" xr:uid="{00000000-0005-0000-0000-000054070000}"/>
    <cellStyle name="_전체분자재집계표_구조물공수량산출_약실교교량수량산출서_01교량공(큰들)" xfId="2942" xr:uid="{00000000-0005-0000-0000-000055070000}"/>
    <cellStyle name="_전체분자재집계표_구조물공수량산출_약실교교량수량산출서_03교량공" xfId="2943" xr:uid="{00000000-0005-0000-0000-000056070000}"/>
    <cellStyle name="_전체분자재집계표_구조물공수량산출_큰들교교량수량산출서" xfId="2944" xr:uid="{00000000-0005-0000-0000-000057070000}"/>
    <cellStyle name="_전체분자재집계표_구조물공수량산출_큰마교교량수량산출서" xfId="2945" xr:uid="{00000000-0005-0000-0000-000058070000}"/>
    <cellStyle name="_전체분자재집계표_구조물공수량산출_큰마교교량수량산출서_01교량공(큰들)" xfId="2946" xr:uid="{00000000-0005-0000-0000-000059070000}"/>
    <cellStyle name="_전체분자재집계표_구조물공수량산출_큰마교교량수량산출서_03교량공" xfId="2947" xr:uid="{00000000-0005-0000-0000-00005A070000}"/>
    <cellStyle name="_전체분자재집계표_약실교교량수량산출서" xfId="2948" xr:uid="{00000000-0005-0000-0000-00005B070000}"/>
    <cellStyle name="_전체분자재집계표_약실교교량수량산출서_01교량공(큰들)" xfId="2949" xr:uid="{00000000-0005-0000-0000-00005C070000}"/>
    <cellStyle name="_전체분자재집계표_약실교교량수량산출서_03교량공" xfId="2950" xr:uid="{00000000-0005-0000-0000-00005D070000}"/>
    <cellStyle name="_전체분자재집계표_큰들교교량수량산출서" xfId="2951" xr:uid="{00000000-0005-0000-0000-00005E070000}"/>
    <cellStyle name="_전체분자재집계표_큰마교교량수량산출서" xfId="2952" xr:uid="{00000000-0005-0000-0000-00005F070000}"/>
    <cellStyle name="_전체분자재집계표_큰마교교량수량산출서_01교량공(큰들)" xfId="2953" xr:uid="{00000000-0005-0000-0000-000060070000}"/>
    <cellStyle name="_전체분자재집계표_큰마교교량수량산출서_03교량공" xfId="2954" xr:uid="{00000000-0005-0000-0000-000061070000}"/>
    <cellStyle name="_제1교" xfId="2955" xr:uid="{00000000-0005-0000-0000-000062070000}"/>
    <cellStyle name="_죽림1교-상부" xfId="1134" xr:uid="{00000000-0005-0000-0000-000063070000}"/>
    <cellStyle name="_죽림1교-상부_01-소탄교-총괄수량집계표" xfId="1135" xr:uid="{00000000-0005-0000-0000-000064070000}"/>
    <cellStyle name="_죽림1교-상부_01-소탄교-총괄수량집계표1" xfId="1136" xr:uid="{00000000-0005-0000-0000-000065070000}"/>
    <cellStyle name="_죽림1교-상부_01-여곡2교-총괄수량집계표" xfId="1137" xr:uid="{00000000-0005-0000-0000-000066070000}"/>
    <cellStyle name="_죽림1교-상부_01-정선제3교-총괄수량집계표" xfId="2956" xr:uid="{00000000-0005-0000-0000-000067070000}"/>
    <cellStyle name="_죽림1교-상부_1.광하1교-주요자재집계표" xfId="1138" xr:uid="{00000000-0005-0000-0000-000068070000}"/>
    <cellStyle name="_죽림1교-상부_1.광하1교-주요자재집계표_01-소탄교-총괄수량집계표" xfId="1139" xr:uid="{00000000-0005-0000-0000-000069070000}"/>
    <cellStyle name="_죽림1교-상부_1.광하1교-주요자재집계표_01-소탄교-총괄수량집계표1" xfId="1140" xr:uid="{00000000-0005-0000-0000-00006A070000}"/>
    <cellStyle name="_죽림1교-상부_1.광하1교-주요자재집계표_01-여곡2교-총괄수량집계표" xfId="1141" xr:uid="{00000000-0005-0000-0000-00006B070000}"/>
    <cellStyle name="_죽림1교-상부_1.광하1교-주요자재집계표_01-정선제3교-총괄수량집계표" xfId="2957" xr:uid="{00000000-0005-0000-0000-00006C070000}"/>
    <cellStyle name="_죽림1교-상부_4.광석교-상부수량집계" xfId="1142" xr:uid="{00000000-0005-0000-0000-00006D070000}"/>
    <cellStyle name="_죽림1교-상부_4.광석교-상부수량집계_01-소탄교-총괄수량집계표" xfId="1143" xr:uid="{00000000-0005-0000-0000-00006E070000}"/>
    <cellStyle name="_죽림1교-상부_4.광석교-상부수량집계_01-소탄교-총괄수량집계표1" xfId="1144" xr:uid="{00000000-0005-0000-0000-00006F070000}"/>
    <cellStyle name="_죽림1교-상부_4.광석교-상부수량집계_01-여곡2교-총괄수량집계표" xfId="1145" xr:uid="{00000000-0005-0000-0000-000070070000}"/>
    <cellStyle name="_죽림1교-상부_4.광석교-상부수량집계_01-정선제3교-총괄수량집계표" xfId="2958" xr:uid="{00000000-0005-0000-0000-000071070000}"/>
    <cellStyle name="_죽림1교-상부_x주요자재집계표" xfId="1170" xr:uid="{00000000-0005-0000-0000-000072070000}"/>
    <cellStyle name="_죽림1교-상부_x주요자재집계표_01-소탄교-총괄수량집계표" xfId="1171" xr:uid="{00000000-0005-0000-0000-000073070000}"/>
    <cellStyle name="_죽림1교-상부_x주요자재집계표_01-소탄교-총괄수량집계표1" xfId="1172" xr:uid="{00000000-0005-0000-0000-000074070000}"/>
    <cellStyle name="_죽림1교-상부_x주요자재집계표_01-여곡2교-총괄수량집계표" xfId="1173" xr:uid="{00000000-0005-0000-0000-000075070000}"/>
    <cellStyle name="_죽림1교-상부_x주요자재집계표_01-정선제3교-총괄수량집계표" xfId="2959" xr:uid="{00000000-0005-0000-0000-000076070000}"/>
    <cellStyle name="_죽림1교-상부_구조물주요자재(3공구)" xfId="1146" xr:uid="{00000000-0005-0000-0000-000077070000}"/>
    <cellStyle name="_죽림1교-상부_구조물주요자재(3공구)_01-소탄교-총괄수량집계표" xfId="1147" xr:uid="{00000000-0005-0000-0000-000078070000}"/>
    <cellStyle name="_죽림1교-상부_구조물주요자재(3공구)_01-소탄교-총괄수량집계표1" xfId="1148" xr:uid="{00000000-0005-0000-0000-000079070000}"/>
    <cellStyle name="_죽림1교-상부_구조물주요자재(3공구)_01-여곡2교-총괄수량집계표" xfId="1149" xr:uid="{00000000-0005-0000-0000-00007A070000}"/>
    <cellStyle name="_죽림1교-상부_구조물주요자재(3공구)_01-정선제3교-총괄수량집계표" xfId="2960" xr:uid="{00000000-0005-0000-0000-00007B070000}"/>
    <cellStyle name="_죽림1교-상부_구조물주요자재(3공구)_1.광하1교-주요자재집계표" xfId="1150" xr:uid="{00000000-0005-0000-0000-00007C070000}"/>
    <cellStyle name="_죽림1교-상부_구조물주요자재(3공구)_1.광하1교-주요자재집계표_01-소탄교-총괄수량집계표" xfId="1151" xr:uid="{00000000-0005-0000-0000-00007D070000}"/>
    <cellStyle name="_죽림1교-상부_구조물주요자재(3공구)_1.광하1교-주요자재집계표_01-소탄교-총괄수량집계표1" xfId="1152" xr:uid="{00000000-0005-0000-0000-00007E070000}"/>
    <cellStyle name="_죽림1교-상부_구조물주요자재(3공구)_1.광하1교-주요자재집계표_01-여곡2교-총괄수량집계표" xfId="1153" xr:uid="{00000000-0005-0000-0000-00007F070000}"/>
    <cellStyle name="_죽림1교-상부_구조물주요자재(3공구)_1.광하1교-주요자재집계표_01-정선제3교-총괄수량집계표" xfId="2961" xr:uid="{00000000-0005-0000-0000-000080070000}"/>
    <cellStyle name="_죽림1교-상부_구조물주요자재(3공구)_4.광석교-상부수량집계" xfId="1154" xr:uid="{00000000-0005-0000-0000-000081070000}"/>
    <cellStyle name="_죽림1교-상부_구조물주요자재(3공구)_4.광석교-상부수량집계_01-소탄교-총괄수량집계표" xfId="1155" xr:uid="{00000000-0005-0000-0000-000082070000}"/>
    <cellStyle name="_죽림1교-상부_구조물주요자재(3공구)_4.광석교-상부수량집계_01-소탄교-총괄수량집계표1" xfId="1156" xr:uid="{00000000-0005-0000-0000-000083070000}"/>
    <cellStyle name="_죽림1교-상부_구조물주요자재(3공구)_4.광석교-상부수량집계_01-여곡2교-총괄수량집계표" xfId="1157" xr:uid="{00000000-0005-0000-0000-000084070000}"/>
    <cellStyle name="_죽림1교-상부_구조물주요자재(3공구)_4.광석교-상부수량집계_01-정선제3교-총괄수량집계표" xfId="2962" xr:uid="{00000000-0005-0000-0000-000085070000}"/>
    <cellStyle name="_죽림1교-상부_구조물주요자재(3공구)_x주요자재집계표" xfId="1162" xr:uid="{00000000-0005-0000-0000-000086070000}"/>
    <cellStyle name="_죽림1교-상부_구조물주요자재(3공구)_x주요자재집계표_01-소탄교-총괄수량집계표" xfId="1163" xr:uid="{00000000-0005-0000-0000-000087070000}"/>
    <cellStyle name="_죽림1교-상부_구조물주요자재(3공구)_x주요자재집계표_01-소탄교-총괄수량집계표1" xfId="1164" xr:uid="{00000000-0005-0000-0000-000088070000}"/>
    <cellStyle name="_죽림1교-상부_구조물주요자재(3공구)_x주요자재집계표_01-여곡2교-총괄수량집계표" xfId="1165" xr:uid="{00000000-0005-0000-0000-000089070000}"/>
    <cellStyle name="_죽림1교-상부_구조물주요자재(3공구)_x주요자재집계표_01-정선제3교-총괄수량집계표" xfId="2963" xr:uid="{00000000-0005-0000-0000-00008A070000}"/>
    <cellStyle name="_죽림1교-상부_구조물주요자재(3공구)_주요자재집계표" xfId="1158" xr:uid="{00000000-0005-0000-0000-00008B070000}"/>
    <cellStyle name="_죽림1교-상부_구조물주요자재(3공구)_주요자재집계표_01-소탄교-총괄수량집계표" xfId="1159" xr:uid="{00000000-0005-0000-0000-00008C070000}"/>
    <cellStyle name="_죽림1교-상부_구조물주요자재(3공구)_주요자재집계표_01-소탄교-총괄수량집계표1" xfId="1160" xr:uid="{00000000-0005-0000-0000-00008D070000}"/>
    <cellStyle name="_죽림1교-상부_구조물주요자재(3공구)_주요자재집계표_01-여곡2교-총괄수량집계표" xfId="1161" xr:uid="{00000000-0005-0000-0000-00008E070000}"/>
    <cellStyle name="_죽림1교-상부_구조물주요자재(3공구)_주요자재집계표_01-정선제3교-총괄수량집계표" xfId="2964" xr:uid="{00000000-0005-0000-0000-00008F070000}"/>
    <cellStyle name="_죽림1교-상부_주요자재집계표" xfId="1166" xr:uid="{00000000-0005-0000-0000-000090070000}"/>
    <cellStyle name="_죽림1교-상부_주요자재집계표_01-소탄교-총괄수량집계표" xfId="1167" xr:uid="{00000000-0005-0000-0000-000091070000}"/>
    <cellStyle name="_죽림1교-상부_주요자재집계표_01-소탄교-총괄수량집계표1" xfId="1168" xr:uid="{00000000-0005-0000-0000-000092070000}"/>
    <cellStyle name="_죽림1교-상부_주요자재집계표_01-여곡2교-총괄수량집계표" xfId="1169" xr:uid="{00000000-0005-0000-0000-000093070000}"/>
    <cellStyle name="_죽림1교-상부_주요자재집계표_01-정선제3교-총괄수량집계표" xfId="2965" xr:uid="{00000000-0005-0000-0000-000094070000}"/>
    <cellStyle name="_죽림2교-상부" xfId="1174" xr:uid="{00000000-0005-0000-0000-000095070000}"/>
    <cellStyle name="_죽림2교-상부_01-소탄교-총괄수량집계표" xfId="1175" xr:uid="{00000000-0005-0000-0000-000096070000}"/>
    <cellStyle name="_죽림2교-상부_01-소탄교-총괄수량집계표1" xfId="1176" xr:uid="{00000000-0005-0000-0000-000097070000}"/>
    <cellStyle name="_죽림2교-상부_01-여곡2교-총괄수량집계표" xfId="1177" xr:uid="{00000000-0005-0000-0000-000098070000}"/>
    <cellStyle name="_죽림2교-상부_01-정선제3교-총괄수량집계표" xfId="2966" xr:uid="{00000000-0005-0000-0000-000099070000}"/>
    <cellStyle name="_죽림2교-상부_1.광하1교-주요자재집계표" xfId="1178" xr:uid="{00000000-0005-0000-0000-00009A070000}"/>
    <cellStyle name="_죽림2교-상부_1.광하1교-주요자재집계표_01-소탄교-총괄수량집계표" xfId="1179" xr:uid="{00000000-0005-0000-0000-00009B070000}"/>
    <cellStyle name="_죽림2교-상부_1.광하1교-주요자재집계표_01-소탄교-총괄수량집계표1" xfId="1180" xr:uid="{00000000-0005-0000-0000-00009C070000}"/>
    <cellStyle name="_죽림2교-상부_1.광하1교-주요자재집계표_01-여곡2교-총괄수량집계표" xfId="1181" xr:uid="{00000000-0005-0000-0000-00009D070000}"/>
    <cellStyle name="_죽림2교-상부_1.광하1교-주요자재집계표_01-정선제3교-총괄수량집계표" xfId="2967" xr:uid="{00000000-0005-0000-0000-00009E070000}"/>
    <cellStyle name="_죽림2교-상부_4.광석교-상부수량집계" xfId="1182" xr:uid="{00000000-0005-0000-0000-00009F070000}"/>
    <cellStyle name="_죽림2교-상부_4.광석교-상부수량집계_01-소탄교-총괄수량집계표" xfId="1183" xr:uid="{00000000-0005-0000-0000-0000A0070000}"/>
    <cellStyle name="_죽림2교-상부_4.광석교-상부수량집계_01-소탄교-총괄수량집계표1" xfId="1184" xr:uid="{00000000-0005-0000-0000-0000A1070000}"/>
    <cellStyle name="_죽림2교-상부_4.광석교-상부수량집계_01-여곡2교-총괄수량집계표" xfId="1185" xr:uid="{00000000-0005-0000-0000-0000A2070000}"/>
    <cellStyle name="_죽림2교-상부_4.광석교-상부수량집계_01-정선제3교-총괄수량집계표" xfId="2968" xr:uid="{00000000-0005-0000-0000-0000A3070000}"/>
    <cellStyle name="_죽림2교-상부_x주요자재집계표" xfId="1250" xr:uid="{00000000-0005-0000-0000-0000A4070000}"/>
    <cellStyle name="_죽림2교-상부_x주요자재집계표_01-소탄교-총괄수량집계표" xfId="1251" xr:uid="{00000000-0005-0000-0000-0000A5070000}"/>
    <cellStyle name="_죽림2교-상부_x주요자재집계표_01-소탄교-총괄수량집계표1" xfId="1252" xr:uid="{00000000-0005-0000-0000-0000A6070000}"/>
    <cellStyle name="_죽림2교-상부_x주요자재집계표_01-여곡2교-총괄수량집계표" xfId="1253" xr:uid="{00000000-0005-0000-0000-0000A7070000}"/>
    <cellStyle name="_죽림2교-상부_x주요자재집계표_01-정선제3교-총괄수량집계표" xfId="2969" xr:uid="{00000000-0005-0000-0000-0000A8070000}"/>
    <cellStyle name="_죽림2교-상부_구조물주요자재(3공구)" xfId="1186" xr:uid="{00000000-0005-0000-0000-0000A9070000}"/>
    <cellStyle name="_죽림2교-상부_구조물주요자재(3공구)_01-소탄교-총괄수량집계표" xfId="1187" xr:uid="{00000000-0005-0000-0000-0000AA070000}"/>
    <cellStyle name="_죽림2교-상부_구조물주요자재(3공구)_01-소탄교-총괄수량집계표1" xfId="1188" xr:uid="{00000000-0005-0000-0000-0000AB070000}"/>
    <cellStyle name="_죽림2교-상부_구조물주요자재(3공구)_01-여곡2교-총괄수량집계표" xfId="1189" xr:uid="{00000000-0005-0000-0000-0000AC070000}"/>
    <cellStyle name="_죽림2교-상부_구조물주요자재(3공구)_01-정선제3교-총괄수량집계표" xfId="2970" xr:uid="{00000000-0005-0000-0000-0000AD070000}"/>
    <cellStyle name="_죽림2교-상부_구조물주요자재(3공구)_1.광하1교-주요자재집계표" xfId="1190" xr:uid="{00000000-0005-0000-0000-0000AE070000}"/>
    <cellStyle name="_죽림2교-상부_구조물주요자재(3공구)_1.광하1교-주요자재집계표_01-소탄교-총괄수량집계표" xfId="1191" xr:uid="{00000000-0005-0000-0000-0000AF070000}"/>
    <cellStyle name="_죽림2교-상부_구조물주요자재(3공구)_1.광하1교-주요자재집계표_01-소탄교-총괄수량집계표1" xfId="1192" xr:uid="{00000000-0005-0000-0000-0000B0070000}"/>
    <cellStyle name="_죽림2교-상부_구조물주요자재(3공구)_1.광하1교-주요자재집계표_01-여곡2교-총괄수량집계표" xfId="1193" xr:uid="{00000000-0005-0000-0000-0000B1070000}"/>
    <cellStyle name="_죽림2교-상부_구조물주요자재(3공구)_1.광하1교-주요자재집계표_01-정선제3교-총괄수량집계표" xfId="2971" xr:uid="{00000000-0005-0000-0000-0000B2070000}"/>
    <cellStyle name="_죽림2교-상부_구조물주요자재(3공구)_4.광석교-상부수량집계" xfId="1194" xr:uid="{00000000-0005-0000-0000-0000B3070000}"/>
    <cellStyle name="_죽림2교-상부_구조물주요자재(3공구)_4.광석교-상부수량집계_01-소탄교-총괄수량집계표" xfId="1195" xr:uid="{00000000-0005-0000-0000-0000B4070000}"/>
    <cellStyle name="_죽림2교-상부_구조물주요자재(3공구)_4.광석교-상부수량집계_01-소탄교-총괄수량집계표1" xfId="1196" xr:uid="{00000000-0005-0000-0000-0000B5070000}"/>
    <cellStyle name="_죽림2교-상부_구조물주요자재(3공구)_4.광석교-상부수량집계_01-여곡2교-총괄수량집계표" xfId="1197" xr:uid="{00000000-0005-0000-0000-0000B6070000}"/>
    <cellStyle name="_죽림2교-상부_구조물주요자재(3공구)_4.광석교-상부수량집계_01-정선제3교-총괄수량집계표" xfId="2972" xr:uid="{00000000-0005-0000-0000-0000B7070000}"/>
    <cellStyle name="_죽림2교-상부_구조물주요자재(3공구)_x주요자재집계표" xfId="1202" xr:uid="{00000000-0005-0000-0000-0000B8070000}"/>
    <cellStyle name="_죽림2교-상부_구조물주요자재(3공구)_x주요자재집계표_01-소탄교-총괄수량집계표" xfId="1203" xr:uid="{00000000-0005-0000-0000-0000B9070000}"/>
    <cellStyle name="_죽림2교-상부_구조물주요자재(3공구)_x주요자재집계표_01-소탄교-총괄수량집계표1" xfId="1204" xr:uid="{00000000-0005-0000-0000-0000BA070000}"/>
    <cellStyle name="_죽림2교-상부_구조물주요자재(3공구)_x주요자재집계표_01-여곡2교-총괄수량집계표" xfId="1205" xr:uid="{00000000-0005-0000-0000-0000BB070000}"/>
    <cellStyle name="_죽림2교-상부_구조물주요자재(3공구)_x주요자재집계표_01-정선제3교-총괄수량집계표" xfId="2973" xr:uid="{00000000-0005-0000-0000-0000BC070000}"/>
    <cellStyle name="_죽림2교-상부_구조물주요자재(3공구)_주요자재집계표" xfId="1198" xr:uid="{00000000-0005-0000-0000-0000BD070000}"/>
    <cellStyle name="_죽림2교-상부_구조물주요자재(3공구)_주요자재집계표_01-소탄교-총괄수량집계표" xfId="1199" xr:uid="{00000000-0005-0000-0000-0000BE070000}"/>
    <cellStyle name="_죽림2교-상부_구조물주요자재(3공구)_주요자재집계표_01-소탄교-총괄수량집계표1" xfId="1200" xr:uid="{00000000-0005-0000-0000-0000BF070000}"/>
    <cellStyle name="_죽림2교-상부_구조물주요자재(3공구)_주요자재집계표_01-여곡2교-총괄수량집계표" xfId="1201" xr:uid="{00000000-0005-0000-0000-0000C0070000}"/>
    <cellStyle name="_죽림2교-상부_구조물주요자재(3공구)_주요자재집계표_01-정선제3교-총괄수량집계표" xfId="2974" xr:uid="{00000000-0005-0000-0000-0000C1070000}"/>
    <cellStyle name="_죽림2교-상부_주요자재집계표" xfId="1206" xr:uid="{00000000-0005-0000-0000-0000C2070000}"/>
    <cellStyle name="_죽림2교-상부_주요자재집계표_01-소탄교-총괄수량집계표" xfId="1207" xr:uid="{00000000-0005-0000-0000-0000C3070000}"/>
    <cellStyle name="_죽림2교-상부_주요자재집계표_01-소탄교-총괄수량집계표1" xfId="1208" xr:uid="{00000000-0005-0000-0000-0000C4070000}"/>
    <cellStyle name="_죽림2교-상부_주요자재집계표_01-여곡2교-총괄수량집계표" xfId="1209" xr:uid="{00000000-0005-0000-0000-0000C5070000}"/>
    <cellStyle name="_죽림2교-상부_주요자재집계표_01-정선제3교-총괄수량집계표" xfId="2975" xr:uid="{00000000-0005-0000-0000-0000C6070000}"/>
    <cellStyle name="_죽림2교-상부_죽림1교-상부" xfId="1210" xr:uid="{00000000-0005-0000-0000-0000C7070000}"/>
    <cellStyle name="_죽림2교-상부_죽림1교-상부_01-소탄교-총괄수량집계표" xfId="1211" xr:uid="{00000000-0005-0000-0000-0000C8070000}"/>
    <cellStyle name="_죽림2교-상부_죽림1교-상부_01-소탄교-총괄수량집계표1" xfId="1212" xr:uid="{00000000-0005-0000-0000-0000C9070000}"/>
    <cellStyle name="_죽림2교-상부_죽림1교-상부_01-여곡2교-총괄수량집계표" xfId="1213" xr:uid="{00000000-0005-0000-0000-0000CA070000}"/>
    <cellStyle name="_죽림2교-상부_죽림1교-상부_01-정선제3교-총괄수량집계표" xfId="2976" xr:uid="{00000000-0005-0000-0000-0000CB070000}"/>
    <cellStyle name="_죽림2교-상부_죽림1교-상부_1.광하1교-주요자재집계표" xfId="1214" xr:uid="{00000000-0005-0000-0000-0000CC070000}"/>
    <cellStyle name="_죽림2교-상부_죽림1교-상부_1.광하1교-주요자재집계표_01-소탄교-총괄수량집계표" xfId="1215" xr:uid="{00000000-0005-0000-0000-0000CD070000}"/>
    <cellStyle name="_죽림2교-상부_죽림1교-상부_1.광하1교-주요자재집계표_01-소탄교-총괄수량집계표1" xfId="1216" xr:uid="{00000000-0005-0000-0000-0000CE070000}"/>
    <cellStyle name="_죽림2교-상부_죽림1교-상부_1.광하1교-주요자재집계표_01-여곡2교-총괄수량집계표" xfId="1217" xr:uid="{00000000-0005-0000-0000-0000CF070000}"/>
    <cellStyle name="_죽림2교-상부_죽림1교-상부_1.광하1교-주요자재집계표_01-정선제3교-총괄수량집계표" xfId="2977" xr:uid="{00000000-0005-0000-0000-0000D0070000}"/>
    <cellStyle name="_죽림2교-상부_죽림1교-상부_4.광석교-상부수량집계" xfId="1218" xr:uid="{00000000-0005-0000-0000-0000D1070000}"/>
    <cellStyle name="_죽림2교-상부_죽림1교-상부_4.광석교-상부수량집계_01-소탄교-총괄수량집계표" xfId="1219" xr:uid="{00000000-0005-0000-0000-0000D2070000}"/>
    <cellStyle name="_죽림2교-상부_죽림1교-상부_4.광석교-상부수량집계_01-소탄교-총괄수량집계표1" xfId="1220" xr:uid="{00000000-0005-0000-0000-0000D3070000}"/>
    <cellStyle name="_죽림2교-상부_죽림1교-상부_4.광석교-상부수량집계_01-여곡2교-총괄수량집계표" xfId="1221" xr:uid="{00000000-0005-0000-0000-0000D4070000}"/>
    <cellStyle name="_죽림2교-상부_죽림1교-상부_4.광석교-상부수량집계_01-정선제3교-총괄수량집계표" xfId="2978" xr:uid="{00000000-0005-0000-0000-0000D5070000}"/>
    <cellStyle name="_죽림2교-상부_죽림1교-상부_x주요자재집계표" xfId="1246" xr:uid="{00000000-0005-0000-0000-0000D6070000}"/>
    <cellStyle name="_죽림2교-상부_죽림1교-상부_x주요자재집계표_01-소탄교-총괄수량집계표" xfId="1247" xr:uid="{00000000-0005-0000-0000-0000D7070000}"/>
    <cellStyle name="_죽림2교-상부_죽림1교-상부_x주요자재집계표_01-소탄교-총괄수량집계표1" xfId="1248" xr:uid="{00000000-0005-0000-0000-0000D8070000}"/>
    <cellStyle name="_죽림2교-상부_죽림1교-상부_x주요자재집계표_01-여곡2교-총괄수량집계표" xfId="1249" xr:uid="{00000000-0005-0000-0000-0000D9070000}"/>
    <cellStyle name="_죽림2교-상부_죽림1교-상부_x주요자재집계표_01-정선제3교-총괄수량집계표" xfId="2979" xr:uid="{00000000-0005-0000-0000-0000DA070000}"/>
    <cellStyle name="_죽림2교-상부_죽림1교-상부_구조물주요자재(3공구)" xfId="1222" xr:uid="{00000000-0005-0000-0000-0000DB070000}"/>
    <cellStyle name="_죽림2교-상부_죽림1교-상부_구조물주요자재(3공구)_01-소탄교-총괄수량집계표" xfId="1223" xr:uid="{00000000-0005-0000-0000-0000DC070000}"/>
    <cellStyle name="_죽림2교-상부_죽림1교-상부_구조물주요자재(3공구)_01-소탄교-총괄수량집계표1" xfId="1224" xr:uid="{00000000-0005-0000-0000-0000DD070000}"/>
    <cellStyle name="_죽림2교-상부_죽림1교-상부_구조물주요자재(3공구)_01-여곡2교-총괄수량집계표" xfId="1225" xr:uid="{00000000-0005-0000-0000-0000DE070000}"/>
    <cellStyle name="_죽림2교-상부_죽림1교-상부_구조물주요자재(3공구)_01-정선제3교-총괄수량집계표" xfId="2980" xr:uid="{00000000-0005-0000-0000-0000DF070000}"/>
    <cellStyle name="_죽림2교-상부_죽림1교-상부_구조물주요자재(3공구)_1.광하1교-주요자재집계표" xfId="1226" xr:uid="{00000000-0005-0000-0000-0000E0070000}"/>
    <cellStyle name="_죽림2교-상부_죽림1교-상부_구조물주요자재(3공구)_1.광하1교-주요자재집계표_01-소탄교-총괄수량집계표" xfId="1227" xr:uid="{00000000-0005-0000-0000-0000E1070000}"/>
    <cellStyle name="_죽림2교-상부_죽림1교-상부_구조물주요자재(3공구)_1.광하1교-주요자재집계표_01-소탄교-총괄수량집계표1" xfId="1228" xr:uid="{00000000-0005-0000-0000-0000E2070000}"/>
    <cellStyle name="_죽림2교-상부_죽림1교-상부_구조물주요자재(3공구)_1.광하1교-주요자재집계표_01-여곡2교-총괄수량집계표" xfId="1229" xr:uid="{00000000-0005-0000-0000-0000E3070000}"/>
    <cellStyle name="_죽림2교-상부_죽림1교-상부_구조물주요자재(3공구)_1.광하1교-주요자재집계표_01-정선제3교-총괄수량집계표" xfId="2981" xr:uid="{00000000-0005-0000-0000-0000E4070000}"/>
    <cellStyle name="_죽림2교-상부_죽림1교-상부_구조물주요자재(3공구)_4.광석교-상부수량집계" xfId="1230" xr:uid="{00000000-0005-0000-0000-0000E5070000}"/>
    <cellStyle name="_죽림2교-상부_죽림1교-상부_구조물주요자재(3공구)_4.광석교-상부수량집계_01-소탄교-총괄수량집계표" xfId="1231" xr:uid="{00000000-0005-0000-0000-0000E6070000}"/>
    <cellStyle name="_죽림2교-상부_죽림1교-상부_구조물주요자재(3공구)_4.광석교-상부수량집계_01-소탄교-총괄수량집계표1" xfId="1232" xr:uid="{00000000-0005-0000-0000-0000E7070000}"/>
    <cellStyle name="_죽림2교-상부_죽림1교-상부_구조물주요자재(3공구)_4.광석교-상부수량집계_01-여곡2교-총괄수량집계표" xfId="1233" xr:uid="{00000000-0005-0000-0000-0000E8070000}"/>
    <cellStyle name="_죽림2교-상부_죽림1교-상부_구조물주요자재(3공구)_4.광석교-상부수량집계_01-정선제3교-총괄수량집계표" xfId="2982" xr:uid="{00000000-0005-0000-0000-0000E9070000}"/>
    <cellStyle name="_죽림2교-상부_죽림1교-상부_구조물주요자재(3공구)_x주요자재집계표" xfId="1238" xr:uid="{00000000-0005-0000-0000-0000EA070000}"/>
    <cellStyle name="_죽림2교-상부_죽림1교-상부_구조물주요자재(3공구)_x주요자재집계표_01-소탄교-총괄수량집계표" xfId="1239" xr:uid="{00000000-0005-0000-0000-0000EB070000}"/>
    <cellStyle name="_죽림2교-상부_죽림1교-상부_구조물주요자재(3공구)_x주요자재집계표_01-소탄교-총괄수량집계표1" xfId="1240" xr:uid="{00000000-0005-0000-0000-0000EC070000}"/>
    <cellStyle name="_죽림2교-상부_죽림1교-상부_구조물주요자재(3공구)_x주요자재집계표_01-여곡2교-총괄수량집계표" xfId="1241" xr:uid="{00000000-0005-0000-0000-0000ED070000}"/>
    <cellStyle name="_죽림2교-상부_죽림1교-상부_구조물주요자재(3공구)_x주요자재집계표_01-정선제3교-총괄수량집계표" xfId="2983" xr:uid="{00000000-0005-0000-0000-0000EE070000}"/>
    <cellStyle name="_죽림2교-상부_죽림1교-상부_구조물주요자재(3공구)_주요자재집계표" xfId="1234" xr:uid="{00000000-0005-0000-0000-0000EF070000}"/>
    <cellStyle name="_죽림2교-상부_죽림1교-상부_구조물주요자재(3공구)_주요자재집계표_01-소탄교-총괄수량집계표" xfId="1235" xr:uid="{00000000-0005-0000-0000-0000F0070000}"/>
    <cellStyle name="_죽림2교-상부_죽림1교-상부_구조물주요자재(3공구)_주요자재집계표_01-소탄교-총괄수량집계표1" xfId="1236" xr:uid="{00000000-0005-0000-0000-0000F1070000}"/>
    <cellStyle name="_죽림2교-상부_죽림1교-상부_구조물주요자재(3공구)_주요자재집계표_01-여곡2교-총괄수량집계표" xfId="1237" xr:uid="{00000000-0005-0000-0000-0000F2070000}"/>
    <cellStyle name="_죽림2교-상부_죽림1교-상부_구조물주요자재(3공구)_주요자재집계표_01-정선제3교-총괄수량집계표" xfId="2984" xr:uid="{00000000-0005-0000-0000-0000F3070000}"/>
    <cellStyle name="_죽림2교-상부_죽림1교-상부_주요자재집계표" xfId="1242" xr:uid="{00000000-0005-0000-0000-0000F4070000}"/>
    <cellStyle name="_죽림2교-상부_죽림1교-상부_주요자재집계표_01-소탄교-총괄수량집계표" xfId="1243" xr:uid="{00000000-0005-0000-0000-0000F5070000}"/>
    <cellStyle name="_죽림2교-상부_죽림1교-상부_주요자재집계표_01-소탄교-총괄수량집계표1" xfId="1244" xr:uid="{00000000-0005-0000-0000-0000F6070000}"/>
    <cellStyle name="_죽림2교-상부_죽림1교-상부_주요자재집계표_01-여곡2교-총괄수량집계표" xfId="1245" xr:uid="{00000000-0005-0000-0000-0000F7070000}"/>
    <cellStyle name="_죽림2교-상부_죽림1교-상부_주요자재집계표_01-정선제3교-총괄수량집계표" xfId="2985" xr:uid="{00000000-0005-0000-0000-0000F8070000}"/>
    <cellStyle name="_죽림2교-상부-1" xfId="1254" xr:uid="{00000000-0005-0000-0000-0000F9070000}"/>
    <cellStyle name="_죽림2교-상부-1_01-소탄교-총괄수량집계표" xfId="1255" xr:uid="{00000000-0005-0000-0000-0000FA070000}"/>
    <cellStyle name="_죽림2교-상부-1_01-소탄교-총괄수량집계표1" xfId="1256" xr:uid="{00000000-0005-0000-0000-0000FB070000}"/>
    <cellStyle name="_죽림2교-상부-1_01-여곡2교-총괄수량집계표" xfId="1257" xr:uid="{00000000-0005-0000-0000-0000FC070000}"/>
    <cellStyle name="_죽림2교-상부-1_01-정선제3교-총괄수량집계표" xfId="2986" xr:uid="{00000000-0005-0000-0000-0000FD070000}"/>
    <cellStyle name="_죽림2교-상부-1_1.광하1교-주요자재집계표" xfId="1258" xr:uid="{00000000-0005-0000-0000-0000FE070000}"/>
    <cellStyle name="_죽림2교-상부-1_1.광하1교-주요자재집계표_01-소탄교-총괄수량집계표" xfId="1259" xr:uid="{00000000-0005-0000-0000-0000FF070000}"/>
    <cellStyle name="_죽림2교-상부-1_1.광하1교-주요자재집계표_01-소탄교-총괄수량집계표1" xfId="1260" xr:uid="{00000000-0005-0000-0000-000000080000}"/>
    <cellStyle name="_죽림2교-상부-1_1.광하1교-주요자재집계표_01-여곡2교-총괄수량집계표" xfId="1261" xr:uid="{00000000-0005-0000-0000-000001080000}"/>
    <cellStyle name="_죽림2교-상부-1_1.광하1교-주요자재집계표_01-정선제3교-총괄수량집계표" xfId="2987" xr:uid="{00000000-0005-0000-0000-000002080000}"/>
    <cellStyle name="_죽림2교-상부-1_4.광석교-상부수량집계" xfId="1262" xr:uid="{00000000-0005-0000-0000-000003080000}"/>
    <cellStyle name="_죽림2교-상부-1_4.광석교-상부수량집계_01-소탄교-총괄수량집계표" xfId="1263" xr:uid="{00000000-0005-0000-0000-000004080000}"/>
    <cellStyle name="_죽림2교-상부-1_4.광석교-상부수량집계_01-소탄교-총괄수량집계표1" xfId="1264" xr:uid="{00000000-0005-0000-0000-000005080000}"/>
    <cellStyle name="_죽림2교-상부-1_4.광석교-상부수량집계_01-여곡2교-총괄수량집계표" xfId="1265" xr:uid="{00000000-0005-0000-0000-000006080000}"/>
    <cellStyle name="_죽림2교-상부-1_4.광석교-상부수량집계_01-정선제3교-총괄수량집계표" xfId="2988" xr:uid="{00000000-0005-0000-0000-000007080000}"/>
    <cellStyle name="_죽림2교-상부-1_x주요자재집계표" xfId="1330" xr:uid="{00000000-0005-0000-0000-000008080000}"/>
    <cellStyle name="_죽림2교-상부-1_x주요자재집계표_01-소탄교-총괄수량집계표" xfId="1331" xr:uid="{00000000-0005-0000-0000-000009080000}"/>
    <cellStyle name="_죽림2교-상부-1_x주요자재집계표_01-소탄교-총괄수량집계표1" xfId="1332" xr:uid="{00000000-0005-0000-0000-00000A080000}"/>
    <cellStyle name="_죽림2교-상부-1_x주요자재집계표_01-여곡2교-총괄수량집계표" xfId="1333" xr:uid="{00000000-0005-0000-0000-00000B080000}"/>
    <cellStyle name="_죽림2교-상부-1_x주요자재집계표_01-정선제3교-총괄수량집계표" xfId="2989" xr:uid="{00000000-0005-0000-0000-00000C080000}"/>
    <cellStyle name="_죽림2교-상부-1_구조물주요자재(3공구)" xfId="1266" xr:uid="{00000000-0005-0000-0000-00000D080000}"/>
    <cellStyle name="_죽림2교-상부-1_구조물주요자재(3공구)_01-소탄교-총괄수량집계표" xfId="1267" xr:uid="{00000000-0005-0000-0000-00000E080000}"/>
    <cellStyle name="_죽림2교-상부-1_구조물주요자재(3공구)_01-소탄교-총괄수량집계표1" xfId="1268" xr:uid="{00000000-0005-0000-0000-00000F080000}"/>
    <cellStyle name="_죽림2교-상부-1_구조물주요자재(3공구)_01-여곡2교-총괄수량집계표" xfId="1269" xr:uid="{00000000-0005-0000-0000-000010080000}"/>
    <cellStyle name="_죽림2교-상부-1_구조물주요자재(3공구)_01-정선제3교-총괄수량집계표" xfId="2990" xr:uid="{00000000-0005-0000-0000-000011080000}"/>
    <cellStyle name="_죽림2교-상부-1_구조물주요자재(3공구)_1.광하1교-주요자재집계표" xfId="1270" xr:uid="{00000000-0005-0000-0000-000012080000}"/>
    <cellStyle name="_죽림2교-상부-1_구조물주요자재(3공구)_1.광하1교-주요자재집계표_01-소탄교-총괄수량집계표" xfId="1271" xr:uid="{00000000-0005-0000-0000-000013080000}"/>
    <cellStyle name="_죽림2교-상부-1_구조물주요자재(3공구)_1.광하1교-주요자재집계표_01-소탄교-총괄수량집계표1" xfId="1272" xr:uid="{00000000-0005-0000-0000-000014080000}"/>
    <cellStyle name="_죽림2교-상부-1_구조물주요자재(3공구)_1.광하1교-주요자재집계표_01-여곡2교-총괄수량집계표" xfId="1273" xr:uid="{00000000-0005-0000-0000-000015080000}"/>
    <cellStyle name="_죽림2교-상부-1_구조물주요자재(3공구)_1.광하1교-주요자재집계표_01-정선제3교-총괄수량집계표" xfId="2991" xr:uid="{00000000-0005-0000-0000-000016080000}"/>
    <cellStyle name="_죽림2교-상부-1_구조물주요자재(3공구)_4.광석교-상부수량집계" xfId="1274" xr:uid="{00000000-0005-0000-0000-000017080000}"/>
    <cellStyle name="_죽림2교-상부-1_구조물주요자재(3공구)_4.광석교-상부수량집계_01-소탄교-총괄수량집계표" xfId="1275" xr:uid="{00000000-0005-0000-0000-000018080000}"/>
    <cellStyle name="_죽림2교-상부-1_구조물주요자재(3공구)_4.광석교-상부수량집계_01-소탄교-총괄수량집계표1" xfId="1276" xr:uid="{00000000-0005-0000-0000-000019080000}"/>
    <cellStyle name="_죽림2교-상부-1_구조물주요자재(3공구)_4.광석교-상부수량집계_01-여곡2교-총괄수량집계표" xfId="1277" xr:uid="{00000000-0005-0000-0000-00001A080000}"/>
    <cellStyle name="_죽림2교-상부-1_구조물주요자재(3공구)_4.광석교-상부수량집계_01-정선제3교-총괄수량집계표" xfId="2992" xr:uid="{00000000-0005-0000-0000-00001B080000}"/>
    <cellStyle name="_죽림2교-상부-1_구조물주요자재(3공구)_x주요자재집계표" xfId="1282" xr:uid="{00000000-0005-0000-0000-00001C080000}"/>
    <cellStyle name="_죽림2교-상부-1_구조물주요자재(3공구)_x주요자재집계표_01-소탄교-총괄수량집계표" xfId="1283" xr:uid="{00000000-0005-0000-0000-00001D080000}"/>
    <cellStyle name="_죽림2교-상부-1_구조물주요자재(3공구)_x주요자재집계표_01-소탄교-총괄수량집계표1" xfId="1284" xr:uid="{00000000-0005-0000-0000-00001E080000}"/>
    <cellStyle name="_죽림2교-상부-1_구조물주요자재(3공구)_x주요자재집계표_01-여곡2교-총괄수량집계표" xfId="1285" xr:uid="{00000000-0005-0000-0000-00001F080000}"/>
    <cellStyle name="_죽림2교-상부-1_구조물주요자재(3공구)_x주요자재집계표_01-정선제3교-총괄수량집계표" xfId="2993" xr:uid="{00000000-0005-0000-0000-000020080000}"/>
    <cellStyle name="_죽림2교-상부-1_구조물주요자재(3공구)_주요자재집계표" xfId="1278" xr:uid="{00000000-0005-0000-0000-000021080000}"/>
    <cellStyle name="_죽림2교-상부-1_구조물주요자재(3공구)_주요자재집계표_01-소탄교-총괄수량집계표" xfId="1279" xr:uid="{00000000-0005-0000-0000-000022080000}"/>
    <cellStyle name="_죽림2교-상부-1_구조물주요자재(3공구)_주요자재집계표_01-소탄교-총괄수량집계표1" xfId="1280" xr:uid="{00000000-0005-0000-0000-000023080000}"/>
    <cellStyle name="_죽림2교-상부-1_구조물주요자재(3공구)_주요자재집계표_01-여곡2교-총괄수량집계표" xfId="1281" xr:uid="{00000000-0005-0000-0000-000024080000}"/>
    <cellStyle name="_죽림2교-상부-1_구조물주요자재(3공구)_주요자재집계표_01-정선제3교-총괄수량집계표" xfId="2994" xr:uid="{00000000-0005-0000-0000-000025080000}"/>
    <cellStyle name="_죽림2교-상부-1_주요자재집계표" xfId="1286" xr:uid="{00000000-0005-0000-0000-000026080000}"/>
    <cellStyle name="_죽림2교-상부-1_주요자재집계표_01-소탄교-총괄수량집계표" xfId="1287" xr:uid="{00000000-0005-0000-0000-000027080000}"/>
    <cellStyle name="_죽림2교-상부-1_주요자재집계표_01-소탄교-총괄수량집계표1" xfId="1288" xr:uid="{00000000-0005-0000-0000-000028080000}"/>
    <cellStyle name="_죽림2교-상부-1_주요자재집계표_01-여곡2교-총괄수량집계표" xfId="1289" xr:uid="{00000000-0005-0000-0000-000029080000}"/>
    <cellStyle name="_죽림2교-상부-1_주요자재집계표_01-정선제3교-총괄수량집계표" xfId="2995" xr:uid="{00000000-0005-0000-0000-00002A080000}"/>
    <cellStyle name="_죽림2교-상부-1_죽림1교-상부" xfId="1290" xr:uid="{00000000-0005-0000-0000-00002B080000}"/>
    <cellStyle name="_죽림2교-상부-1_죽림1교-상부_01-소탄교-총괄수량집계표" xfId="1291" xr:uid="{00000000-0005-0000-0000-00002C080000}"/>
    <cellStyle name="_죽림2교-상부-1_죽림1교-상부_01-소탄교-총괄수량집계표1" xfId="1292" xr:uid="{00000000-0005-0000-0000-00002D080000}"/>
    <cellStyle name="_죽림2교-상부-1_죽림1교-상부_01-여곡2교-총괄수량집계표" xfId="1293" xr:uid="{00000000-0005-0000-0000-00002E080000}"/>
    <cellStyle name="_죽림2교-상부-1_죽림1교-상부_01-정선제3교-총괄수량집계표" xfId="2996" xr:uid="{00000000-0005-0000-0000-00002F080000}"/>
    <cellStyle name="_죽림2교-상부-1_죽림1교-상부_1.광하1교-주요자재집계표" xfId="1294" xr:uid="{00000000-0005-0000-0000-000030080000}"/>
    <cellStyle name="_죽림2교-상부-1_죽림1교-상부_1.광하1교-주요자재집계표_01-소탄교-총괄수량집계표" xfId="1295" xr:uid="{00000000-0005-0000-0000-000031080000}"/>
    <cellStyle name="_죽림2교-상부-1_죽림1교-상부_1.광하1교-주요자재집계표_01-소탄교-총괄수량집계표1" xfId="1296" xr:uid="{00000000-0005-0000-0000-000032080000}"/>
    <cellStyle name="_죽림2교-상부-1_죽림1교-상부_1.광하1교-주요자재집계표_01-여곡2교-총괄수량집계표" xfId="1297" xr:uid="{00000000-0005-0000-0000-000033080000}"/>
    <cellStyle name="_죽림2교-상부-1_죽림1교-상부_1.광하1교-주요자재집계표_01-정선제3교-총괄수량집계표" xfId="2997" xr:uid="{00000000-0005-0000-0000-000034080000}"/>
    <cellStyle name="_죽림2교-상부-1_죽림1교-상부_4.광석교-상부수량집계" xfId="1298" xr:uid="{00000000-0005-0000-0000-000035080000}"/>
    <cellStyle name="_죽림2교-상부-1_죽림1교-상부_4.광석교-상부수량집계_01-소탄교-총괄수량집계표" xfId="1299" xr:uid="{00000000-0005-0000-0000-000036080000}"/>
    <cellStyle name="_죽림2교-상부-1_죽림1교-상부_4.광석교-상부수량집계_01-소탄교-총괄수량집계표1" xfId="1300" xr:uid="{00000000-0005-0000-0000-000037080000}"/>
    <cellStyle name="_죽림2교-상부-1_죽림1교-상부_4.광석교-상부수량집계_01-여곡2교-총괄수량집계표" xfId="1301" xr:uid="{00000000-0005-0000-0000-000038080000}"/>
    <cellStyle name="_죽림2교-상부-1_죽림1교-상부_4.광석교-상부수량집계_01-정선제3교-총괄수량집계표" xfId="2998" xr:uid="{00000000-0005-0000-0000-000039080000}"/>
    <cellStyle name="_죽림2교-상부-1_죽림1교-상부_x주요자재집계표" xfId="1326" xr:uid="{00000000-0005-0000-0000-00003A080000}"/>
    <cellStyle name="_죽림2교-상부-1_죽림1교-상부_x주요자재집계표_01-소탄교-총괄수량집계표" xfId="1327" xr:uid="{00000000-0005-0000-0000-00003B080000}"/>
    <cellStyle name="_죽림2교-상부-1_죽림1교-상부_x주요자재집계표_01-소탄교-총괄수량집계표1" xfId="1328" xr:uid="{00000000-0005-0000-0000-00003C080000}"/>
    <cellStyle name="_죽림2교-상부-1_죽림1교-상부_x주요자재집계표_01-여곡2교-총괄수량집계표" xfId="1329" xr:uid="{00000000-0005-0000-0000-00003D080000}"/>
    <cellStyle name="_죽림2교-상부-1_죽림1교-상부_x주요자재집계표_01-정선제3교-총괄수량집계표" xfId="2999" xr:uid="{00000000-0005-0000-0000-00003E080000}"/>
    <cellStyle name="_죽림2교-상부-1_죽림1교-상부_구조물주요자재(3공구)" xfId="1302" xr:uid="{00000000-0005-0000-0000-00003F080000}"/>
    <cellStyle name="_죽림2교-상부-1_죽림1교-상부_구조물주요자재(3공구)_01-소탄교-총괄수량집계표" xfId="1303" xr:uid="{00000000-0005-0000-0000-000040080000}"/>
    <cellStyle name="_죽림2교-상부-1_죽림1교-상부_구조물주요자재(3공구)_01-소탄교-총괄수량집계표1" xfId="1304" xr:uid="{00000000-0005-0000-0000-000041080000}"/>
    <cellStyle name="_죽림2교-상부-1_죽림1교-상부_구조물주요자재(3공구)_01-여곡2교-총괄수량집계표" xfId="1305" xr:uid="{00000000-0005-0000-0000-000042080000}"/>
    <cellStyle name="_죽림2교-상부-1_죽림1교-상부_구조물주요자재(3공구)_01-정선제3교-총괄수량집계표" xfId="3000" xr:uid="{00000000-0005-0000-0000-000043080000}"/>
    <cellStyle name="_죽림2교-상부-1_죽림1교-상부_구조물주요자재(3공구)_1.광하1교-주요자재집계표" xfId="1306" xr:uid="{00000000-0005-0000-0000-000044080000}"/>
    <cellStyle name="_죽림2교-상부-1_죽림1교-상부_구조물주요자재(3공구)_1.광하1교-주요자재집계표_01-소탄교-총괄수량집계표" xfId="1307" xr:uid="{00000000-0005-0000-0000-000045080000}"/>
    <cellStyle name="_죽림2교-상부-1_죽림1교-상부_구조물주요자재(3공구)_1.광하1교-주요자재집계표_01-소탄교-총괄수량집계표1" xfId="1308" xr:uid="{00000000-0005-0000-0000-000046080000}"/>
    <cellStyle name="_죽림2교-상부-1_죽림1교-상부_구조물주요자재(3공구)_1.광하1교-주요자재집계표_01-여곡2교-총괄수량집계표" xfId="1309" xr:uid="{00000000-0005-0000-0000-000047080000}"/>
    <cellStyle name="_죽림2교-상부-1_죽림1교-상부_구조물주요자재(3공구)_1.광하1교-주요자재집계표_01-정선제3교-총괄수량집계표" xfId="3001" xr:uid="{00000000-0005-0000-0000-000048080000}"/>
    <cellStyle name="_죽림2교-상부-1_죽림1교-상부_구조물주요자재(3공구)_4.광석교-상부수량집계" xfId="1310" xr:uid="{00000000-0005-0000-0000-000049080000}"/>
    <cellStyle name="_죽림2교-상부-1_죽림1교-상부_구조물주요자재(3공구)_4.광석교-상부수량집계_01-소탄교-총괄수량집계표" xfId="1311" xr:uid="{00000000-0005-0000-0000-00004A080000}"/>
    <cellStyle name="_죽림2교-상부-1_죽림1교-상부_구조물주요자재(3공구)_4.광석교-상부수량집계_01-소탄교-총괄수량집계표1" xfId="1312" xr:uid="{00000000-0005-0000-0000-00004B080000}"/>
    <cellStyle name="_죽림2교-상부-1_죽림1교-상부_구조물주요자재(3공구)_4.광석교-상부수량집계_01-여곡2교-총괄수량집계표" xfId="1313" xr:uid="{00000000-0005-0000-0000-00004C080000}"/>
    <cellStyle name="_죽림2교-상부-1_죽림1교-상부_구조물주요자재(3공구)_4.광석교-상부수량집계_01-정선제3교-총괄수량집계표" xfId="3002" xr:uid="{00000000-0005-0000-0000-00004D080000}"/>
    <cellStyle name="_죽림2교-상부-1_죽림1교-상부_구조물주요자재(3공구)_x주요자재집계표" xfId="1318" xr:uid="{00000000-0005-0000-0000-00004E080000}"/>
    <cellStyle name="_죽림2교-상부-1_죽림1교-상부_구조물주요자재(3공구)_x주요자재집계표_01-소탄교-총괄수량집계표" xfId="1319" xr:uid="{00000000-0005-0000-0000-00004F080000}"/>
    <cellStyle name="_죽림2교-상부-1_죽림1교-상부_구조물주요자재(3공구)_x주요자재집계표_01-소탄교-총괄수량집계표1" xfId="1320" xr:uid="{00000000-0005-0000-0000-000050080000}"/>
    <cellStyle name="_죽림2교-상부-1_죽림1교-상부_구조물주요자재(3공구)_x주요자재집계표_01-여곡2교-총괄수량집계표" xfId="1321" xr:uid="{00000000-0005-0000-0000-000051080000}"/>
    <cellStyle name="_죽림2교-상부-1_죽림1교-상부_구조물주요자재(3공구)_x주요자재집계표_01-정선제3교-총괄수량집계표" xfId="3003" xr:uid="{00000000-0005-0000-0000-000052080000}"/>
    <cellStyle name="_죽림2교-상부-1_죽림1교-상부_구조물주요자재(3공구)_주요자재집계표" xfId="1314" xr:uid="{00000000-0005-0000-0000-000053080000}"/>
    <cellStyle name="_죽림2교-상부-1_죽림1교-상부_구조물주요자재(3공구)_주요자재집계표_01-소탄교-총괄수량집계표" xfId="1315" xr:uid="{00000000-0005-0000-0000-000054080000}"/>
    <cellStyle name="_죽림2교-상부-1_죽림1교-상부_구조물주요자재(3공구)_주요자재집계표_01-소탄교-총괄수량집계표1" xfId="1316" xr:uid="{00000000-0005-0000-0000-000055080000}"/>
    <cellStyle name="_죽림2교-상부-1_죽림1교-상부_구조물주요자재(3공구)_주요자재집계표_01-여곡2교-총괄수량집계표" xfId="1317" xr:uid="{00000000-0005-0000-0000-000056080000}"/>
    <cellStyle name="_죽림2교-상부-1_죽림1교-상부_구조물주요자재(3공구)_주요자재집계표_01-정선제3교-총괄수량집계표" xfId="3004" xr:uid="{00000000-0005-0000-0000-000057080000}"/>
    <cellStyle name="_죽림2교-상부-1_죽림1교-상부_주요자재집계표" xfId="1322" xr:uid="{00000000-0005-0000-0000-000058080000}"/>
    <cellStyle name="_죽림2교-상부-1_죽림1교-상부_주요자재집계표_01-소탄교-총괄수량집계표" xfId="1323" xr:uid="{00000000-0005-0000-0000-000059080000}"/>
    <cellStyle name="_죽림2교-상부-1_죽림1교-상부_주요자재집계표_01-소탄교-총괄수량집계표1" xfId="1324" xr:uid="{00000000-0005-0000-0000-00005A080000}"/>
    <cellStyle name="_죽림2교-상부-1_죽림1교-상부_주요자재집계표_01-여곡2교-총괄수량집계표" xfId="1325" xr:uid="{00000000-0005-0000-0000-00005B080000}"/>
    <cellStyle name="_죽림2교-상부-1_죽림1교-상부_주요자재집계표_01-정선제3교-총괄수량집계표" xfId="3005" xr:uid="{00000000-0005-0000-0000-00005C080000}"/>
    <cellStyle name="_철근" xfId="3006" xr:uid="{00000000-0005-0000-0000-00005D080000}"/>
    <cellStyle name="_초리1교-구조물수량_02석굴암교-상부(강재)_04-강재및도장수량" xfId="3007" xr:uid="{00000000-0005-0000-0000-00005E080000}"/>
    <cellStyle name="_측  구" xfId="3008" xr:uid="{00000000-0005-0000-0000-00005F080000}"/>
    <cellStyle name="_측  구_01교량공(큰들)" xfId="3009" xr:uid="{00000000-0005-0000-0000-000060080000}"/>
    <cellStyle name="_측  구_03교량공" xfId="3010" xr:uid="{00000000-0005-0000-0000-000061080000}"/>
    <cellStyle name="_측  구_구조물공수량산출" xfId="3011" xr:uid="{00000000-0005-0000-0000-000062080000}"/>
    <cellStyle name="_측  구_구조물공수량산출_01교량공(큰들)" xfId="3012" xr:uid="{00000000-0005-0000-0000-000063080000}"/>
    <cellStyle name="_측  구_구조물공수량산출_03교량공" xfId="3013" xr:uid="{00000000-0005-0000-0000-000064080000}"/>
    <cellStyle name="_측  구_구조물공수량산출_가시설수량산출" xfId="3014" xr:uid="{00000000-0005-0000-0000-000065080000}"/>
    <cellStyle name="_측  구_구조물공수량산출_가시설수량산출_01교량공(큰들)" xfId="3015" xr:uid="{00000000-0005-0000-0000-000066080000}"/>
    <cellStyle name="_측  구_구조물공수량산출_가시설수량산출_03교량공" xfId="3016" xr:uid="{00000000-0005-0000-0000-000067080000}"/>
    <cellStyle name="_측  구_구조물공수량산출_가시설수량산출_약실교교량수량산출서" xfId="3017" xr:uid="{00000000-0005-0000-0000-000068080000}"/>
    <cellStyle name="_측  구_구조물공수량산출_가시설수량산출_약실교교량수량산출서_01교량공(큰들)" xfId="3018" xr:uid="{00000000-0005-0000-0000-000069080000}"/>
    <cellStyle name="_측  구_구조물공수량산출_가시설수량산출_약실교교량수량산출서_03교량공" xfId="3019" xr:uid="{00000000-0005-0000-0000-00006A080000}"/>
    <cellStyle name="_측  구_구조물공수량산출_가시설수량산출_큰들교교량수량산출서" xfId="3020" xr:uid="{00000000-0005-0000-0000-00006B080000}"/>
    <cellStyle name="_측  구_구조물공수량산출_가시설수량산출_큰마교교량수량산출서" xfId="3021" xr:uid="{00000000-0005-0000-0000-00006C080000}"/>
    <cellStyle name="_측  구_구조물공수량산출_가시설수량산출_큰마교교량수량산출서_01교량공(큰들)" xfId="3022" xr:uid="{00000000-0005-0000-0000-00006D080000}"/>
    <cellStyle name="_측  구_구조물공수량산출_가시설수량산출_큰마교교량수량산출서_03교량공" xfId="3023" xr:uid="{00000000-0005-0000-0000-00006E080000}"/>
    <cellStyle name="_측  구_구조물공수량산출_구조물공수량산출" xfId="3024" xr:uid="{00000000-0005-0000-0000-00006F080000}"/>
    <cellStyle name="_측  구_구조물공수량산출_구조물공수량산출_01교량공(큰들)" xfId="3025" xr:uid="{00000000-0005-0000-0000-000070080000}"/>
    <cellStyle name="_측  구_구조물공수량산출_구조물공수량산출_03교량공" xfId="3026" xr:uid="{00000000-0005-0000-0000-000071080000}"/>
    <cellStyle name="_측  구_구조물공수량산출_구조물공수량산출_약실교교량수량산출서" xfId="3027" xr:uid="{00000000-0005-0000-0000-000072080000}"/>
    <cellStyle name="_측  구_구조물공수량산출_구조물공수량산출_약실교교량수량산출서_01교량공(큰들)" xfId="3028" xr:uid="{00000000-0005-0000-0000-000073080000}"/>
    <cellStyle name="_측  구_구조물공수량산출_구조물공수량산출_약실교교량수량산출서_03교량공" xfId="3029" xr:uid="{00000000-0005-0000-0000-000074080000}"/>
    <cellStyle name="_측  구_구조물공수량산출_구조물공수량산출_큰들교교량수량산출서" xfId="3030" xr:uid="{00000000-0005-0000-0000-000075080000}"/>
    <cellStyle name="_측  구_구조물공수량산출_구조물공수량산출_큰마교교량수량산출서" xfId="3031" xr:uid="{00000000-0005-0000-0000-000076080000}"/>
    <cellStyle name="_측  구_구조물공수량산출_구조물공수량산출_큰마교교량수량산출서_01교량공(큰들)" xfId="3032" xr:uid="{00000000-0005-0000-0000-000077080000}"/>
    <cellStyle name="_측  구_구조물공수량산출_구조물공수량산출_큰마교교량수량산출서_03교량공" xfId="3033" xr:uid="{00000000-0005-0000-0000-000078080000}"/>
    <cellStyle name="_측  구_구조물공수량산출_약실교교량수량산출서" xfId="3034" xr:uid="{00000000-0005-0000-0000-000079080000}"/>
    <cellStyle name="_측  구_구조물공수량산출_약실교교량수량산출서_01교량공(큰들)" xfId="3035" xr:uid="{00000000-0005-0000-0000-00007A080000}"/>
    <cellStyle name="_측  구_구조물공수량산출_약실교교량수량산출서_03교량공" xfId="3036" xr:uid="{00000000-0005-0000-0000-00007B080000}"/>
    <cellStyle name="_측  구_구조물공수량산출_큰들교교량수량산출서" xfId="3037" xr:uid="{00000000-0005-0000-0000-00007C080000}"/>
    <cellStyle name="_측  구_구조물공수량산출_큰마교교량수량산출서" xfId="3038" xr:uid="{00000000-0005-0000-0000-00007D080000}"/>
    <cellStyle name="_측  구_구조물공수량산출_큰마교교량수량산출서_01교량공(큰들)" xfId="3039" xr:uid="{00000000-0005-0000-0000-00007E080000}"/>
    <cellStyle name="_측  구_구조물공수량산출_큰마교교량수량산출서_03교량공" xfId="3040" xr:uid="{00000000-0005-0000-0000-00007F080000}"/>
    <cellStyle name="_측  구_약실교교량수량산출서" xfId="3041" xr:uid="{00000000-0005-0000-0000-000080080000}"/>
    <cellStyle name="_측  구_약실교교량수량산출서_01교량공(큰들)" xfId="3042" xr:uid="{00000000-0005-0000-0000-000081080000}"/>
    <cellStyle name="_측  구_약실교교량수량산출서_03교량공" xfId="3043" xr:uid="{00000000-0005-0000-0000-000082080000}"/>
    <cellStyle name="_측  구_큰들교교량수량산출서" xfId="3044" xr:uid="{00000000-0005-0000-0000-000083080000}"/>
    <cellStyle name="_측  구_큰마교교량수량산출서" xfId="3045" xr:uid="{00000000-0005-0000-0000-000084080000}"/>
    <cellStyle name="_측  구_큰마교교량수량산출서_01교량공(큰들)" xfId="3046" xr:uid="{00000000-0005-0000-0000-000085080000}"/>
    <cellStyle name="_측  구_큰마교교량수량산출서_03교량공" xfId="3047" xr:uid="{00000000-0005-0000-0000-000086080000}"/>
    <cellStyle name="_측구공" xfId="3048" xr:uid="{00000000-0005-0000-0000-000087080000}"/>
    <cellStyle name="_측구공_01교량공(큰들)" xfId="3049" xr:uid="{00000000-0005-0000-0000-000088080000}"/>
    <cellStyle name="_측구공_03교량공" xfId="3050" xr:uid="{00000000-0005-0000-0000-000089080000}"/>
    <cellStyle name="_측구공_구조물공수량산출" xfId="3051" xr:uid="{00000000-0005-0000-0000-00008A080000}"/>
    <cellStyle name="_측구공_구조물공수량산출_01교량공(큰들)" xfId="3052" xr:uid="{00000000-0005-0000-0000-00008B080000}"/>
    <cellStyle name="_측구공_구조물공수량산출_03교량공" xfId="3053" xr:uid="{00000000-0005-0000-0000-00008C080000}"/>
    <cellStyle name="_측구공_구조물공수량산출_가시설수량산출" xfId="3054" xr:uid="{00000000-0005-0000-0000-00008D080000}"/>
    <cellStyle name="_측구공_구조물공수량산출_가시설수량산출_01교량공(큰들)" xfId="3055" xr:uid="{00000000-0005-0000-0000-00008E080000}"/>
    <cellStyle name="_측구공_구조물공수량산출_가시설수량산출_03교량공" xfId="3056" xr:uid="{00000000-0005-0000-0000-00008F080000}"/>
    <cellStyle name="_측구공_구조물공수량산출_가시설수량산출_약실교교량수량산출서" xfId="3057" xr:uid="{00000000-0005-0000-0000-000090080000}"/>
    <cellStyle name="_측구공_구조물공수량산출_가시설수량산출_약실교교량수량산출서_01교량공(큰들)" xfId="3058" xr:uid="{00000000-0005-0000-0000-000091080000}"/>
    <cellStyle name="_측구공_구조물공수량산출_가시설수량산출_약실교교량수량산출서_03교량공" xfId="3059" xr:uid="{00000000-0005-0000-0000-000092080000}"/>
    <cellStyle name="_측구공_구조물공수량산출_가시설수량산출_큰들교교량수량산출서" xfId="3060" xr:uid="{00000000-0005-0000-0000-000093080000}"/>
    <cellStyle name="_측구공_구조물공수량산출_가시설수량산출_큰마교교량수량산출서" xfId="3061" xr:uid="{00000000-0005-0000-0000-000094080000}"/>
    <cellStyle name="_측구공_구조물공수량산출_가시설수량산출_큰마교교량수량산출서_01교량공(큰들)" xfId="3062" xr:uid="{00000000-0005-0000-0000-000095080000}"/>
    <cellStyle name="_측구공_구조물공수량산출_가시설수량산출_큰마교교량수량산출서_03교량공" xfId="3063" xr:uid="{00000000-0005-0000-0000-000096080000}"/>
    <cellStyle name="_측구공_구조물공수량산출_구조물공수량산출" xfId="3064" xr:uid="{00000000-0005-0000-0000-000097080000}"/>
    <cellStyle name="_측구공_구조물공수량산출_구조물공수량산출_01교량공(큰들)" xfId="3065" xr:uid="{00000000-0005-0000-0000-000098080000}"/>
    <cellStyle name="_측구공_구조물공수량산출_구조물공수량산출_03교량공" xfId="3066" xr:uid="{00000000-0005-0000-0000-000099080000}"/>
    <cellStyle name="_측구공_구조물공수량산출_구조물공수량산출_약실교교량수량산출서" xfId="3067" xr:uid="{00000000-0005-0000-0000-00009A080000}"/>
    <cellStyle name="_측구공_구조물공수량산출_구조물공수량산출_약실교교량수량산출서_01교량공(큰들)" xfId="3068" xr:uid="{00000000-0005-0000-0000-00009B080000}"/>
    <cellStyle name="_측구공_구조물공수량산출_구조물공수량산출_약실교교량수량산출서_03교량공" xfId="3069" xr:uid="{00000000-0005-0000-0000-00009C080000}"/>
    <cellStyle name="_측구공_구조물공수량산출_구조물공수량산출_큰들교교량수량산출서" xfId="3070" xr:uid="{00000000-0005-0000-0000-00009D080000}"/>
    <cellStyle name="_측구공_구조물공수량산출_구조물공수량산출_큰마교교량수량산출서" xfId="3071" xr:uid="{00000000-0005-0000-0000-00009E080000}"/>
    <cellStyle name="_측구공_구조물공수량산출_구조물공수량산출_큰마교교량수량산출서_01교량공(큰들)" xfId="3072" xr:uid="{00000000-0005-0000-0000-00009F080000}"/>
    <cellStyle name="_측구공_구조물공수량산출_구조물공수량산출_큰마교교량수량산출서_03교량공" xfId="3073" xr:uid="{00000000-0005-0000-0000-0000A0080000}"/>
    <cellStyle name="_측구공_구조물공수량산출_약실교교량수량산출서" xfId="3074" xr:uid="{00000000-0005-0000-0000-0000A1080000}"/>
    <cellStyle name="_측구공_구조물공수량산출_약실교교량수량산출서_01교량공(큰들)" xfId="3075" xr:uid="{00000000-0005-0000-0000-0000A2080000}"/>
    <cellStyle name="_측구공_구조물공수량산출_약실교교량수량산출서_03교량공" xfId="3076" xr:uid="{00000000-0005-0000-0000-0000A3080000}"/>
    <cellStyle name="_측구공_구조물공수량산출_큰들교교량수량산출서" xfId="3077" xr:uid="{00000000-0005-0000-0000-0000A4080000}"/>
    <cellStyle name="_측구공_구조물공수량산출_큰마교교량수량산출서" xfId="3078" xr:uid="{00000000-0005-0000-0000-0000A5080000}"/>
    <cellStyle name="_측구공_구조물공수량산출_큰마교교량수량산출서_01교량공(큰들)" xfId="3079" xr:uid="{00000000-0005-0000-0000-0000A6080000}"/>
    <cellStyle name="_측구공_구조물공수량산출_큰마교교량수량산출서_03교량공" xfId="3080" xr:uid="{00000000-0005-0000-0000-0000A7080000}"/>
    <cellStyle name="_측구공_약실교교량수량산출서" xfId="3081" xr:uid="{00000000-0005-0000-0000-0000A8080000}"/>
    <cellStyle name="_측구공_약실교교량수량산출서_01교량공(큰들)" xfId="3082" xr:uid="{00000000-0005-0000-0000-0000A9080000}"/>
    <cellStyle name="_측구공_약실교교량수량산출서_03교량공" xfId="3083" xr:uid="{00000000-0005-0000-0000-0000AA080000}"/>
    <cellStyle name="_측구공_큰들교교량수량산출서" xfId="3084" xr:uid="{00000000-0005-0000-0000-0000AB080000}"/>
    <cellStyle name="_측구공_큰마교교량수량산출서" xfId="3085" xr:uid="{00000000-0005-0000-0000-0000AC080000}"/>
    <cellStyle name="_측구공_큰마교교량수량산출서_01교량공(큰들)" xfId="3086" xr:uid="{00000000-0005-0000-0000-0000AD080000}"/>
    <cellStyle name="_측구공_큰마교교량수량산출서_03교량공" xfId="3087" xr:uid="{00000000-0005-0000-0000-0000AE080000}"/>
    <cellStyle name="_큰골교수량" xfId="3088" xr:uid="{00000000-0005-0000-0000-0000AF080000}"/>
    <cellStyle name="_큰들교교량수량산출서" xfId="3089" xr:uid="{00000000-0005-0000-0000-0000B0080000}"/>
    <cellStyle name="_큰마교교량수량산출서" xfId="3090" xr:uid="{00000000-0005-0000-0000-0000B1080000}"/>
    <cellStyle name="_큰마교교량수량산출서_01교량공(큰들)" xfId="3091" xr:uid="{00000000-0005-0000-0000-0000B2080000}"/>
    <cellStyle name="_큰마교교량수량산출서_03교량공" xfId="3092" xr:uid="{00000000-0005-0000-0000-0000B3080000}"/>
    <cellStyle name="_토공" xfId="3093" xr:uid="{00000000-0005-0000-0000-0000B4080000}"/>
    <cellStyle name="_토공_01교량공(큰들)" xfId="3094" xr:uid="{00000000-0005-0000-0000-0000B5080000}"/>
    <cellStyle name="_토공_03교량공" xfId="3095" xr:uid="{00000000-0005-0000-0000-0000B6080000}"/>
    <cellStyle name="_토공_구조물공수량산출" xfId="3096" xr:uid="{00000000-0005-0000-0000-0000B7080000}"/>
    <cellStyle name="_토공_구조물공수량산출_01교량공(큰들)" xfId="3097" xr:uid="{00000000-0005-0000-0000-0000B8080000}"/>
    <cellStyle name="_토공_구조물공수량산출_03교량공" xfId="3098" xr:uid="{00000000-0005-0000-0000-0000B9080000}"/>
    <cellStyle name="_토공_구조물공수량산출_가시설수량산출" xfId="3099" xr:uid="{00000000-0005-0000-0000-0000BA080000}"/>
    <cellStyle name="_토공_구조물공수량산출_가시설수량산출_01교량공(큰들)" xfId="3100" xr:uid="{00000000-0005-0000-0000-0000BB080000}"/>
    <cellStyle name="_토공_구조물공수량산출_가시설수량산출_03교량공" xfId="3101" xr:uid="{00000000-0005-0000-0000-0000BC080000}"/>
    <cellStyle name="_토공_구조물공수량산출_가시설수량산출_약실교교량수량산출서" xfId="3102" xr:uid="{00000000-0005-0000-0000-0000BD080000}"/>
    <cellStyle name="_토공_구조물공수량산출_가시설수량산출_약실교교량수량산출서_01교량공(큰들)" xfId="3103" xr:uid="{00000000-0005-0000-0000-0000BE080000}"/>
    <cellStyle name="_토공_구조물공수량산출_가시설수량산출_약실교교량수량산출서_03교량공" xfId="3104" xr:uid="{00000000-0005-0000-0000-0000BF080000}"/>
    <cellStyle name="_토공_구조물공수량산출_가시설수량산출_큰들교교량수량산출서" xfId="3105" xr:uid="{00000000-0005-0000-0000-0000C0080000}"/>
    <cellStyle name="_토공_구조물공수량산출_가시설수량산출_큰마교교량수량산출서" xfId="3106" xr:uid="{00000000-0005-0000-0000-0000C1080000}"/>
    <cellStyle name="_토공_구조물공수량산출_가시설수량산출_큰마교교량수량산출서_01교량공(큰들)" xfId="3107" xr:uid="{00000000-0005-0000-0000-0000C2080000}"/>
    <cellStyle name="_토공_구조물공수량산출_가시설수량산출_큰마교교량수량산출서_03교량공" xfId="3108" xr:uid="{00000000-0005-0000-0000-0000C3080000}"/>
    <cellStyle name="_토공_구조물공수량산출_구조물공수량산출" xfId="3109" xr:uid="{00000000-0005-0000-0000-0000C4080000}"/>
    <cellStyle name="_토공_구조물공수량산출_구조물공수량산출_01교량공(큰들)" xfId="3110" xr:uid="{00000000-0005-0000-0000-0000C5080000}"/>
    <cellStyle name="_토공_구조물공수량산출_구조물공수량산출_03교량공" xfId="3111" xr:uid="{00000000-0005-0000-0000-0000C6080000}"/>
    <cellStyle name="_토공_구조물공수량산출_구조물공수량산출_약실교교량수량산출서" xfId="3112" xr:uid="{00000000-0005-0000-0000-0000C7080000}"/>
    <cellStyle name="_토공_구조물공수량산출_구조물공수량산출_약실교교량수량산출서_01교량공(큰들)" xfId="3113" xr:uid="{00000000-0005-0000-0000-0000C8080000}"/>
    <cellStyle name="_토공_구조물공수량산출_구조물공수량산출_약실교교량수량산출서_03교량공" xfId="3114" xr:uid="{00000000-0005-0000-0000-0000C9080000}"/>
    <cellStyle name="_토공_구조물공수량산출_구조물공수량산출_큰들교교량수량산출서" xfId="3115" xr:uid="{00000000-0005-0000-0000-0000CA080000}"/>
    <cellStyle name="_토공_구조물공수량산출_구조물공수량산출_큰마교교량수량산출서" xfId="3116" xr:uid="{00000000-0005-0000-0000-0000CB080000}"/>
    <cellStyle name="_토공_구조물공수량산출_구조물공수량산출_큰마교교량수량산출서_01교량공(큰들)" xfId="3117" xr:uid="{00000000-0005-0000-0000-0000CC080000}"/>
    <cellStyle name="_토공_구조물공수량산출_구조물공수량산출_큰마교교량수량산출서_03교량공" xfId="3118" xr:uid="{00000000-0005-0000-0000-0000CD080000}"/>
    <cellStyle name="_토공_구조물공수량산출_약실교교량수량산출서" xfId="3119" xr:uid="{00000000-0005-0000-0000-0000CE080000}"/>
    <cellStyle name="_토공_구조물공수량산출_약실교교량수량산출서_01교량공(큰들)" xfId="3120" xr:uid="{00000000-0005-0000-0000-0000CF080000}"/>
    <cellStyle name="_토공_구조물공수량산출_약실교교량수량산출서_03교량공" xfId="3121" xr:uid="{00000000-0005-0000-0000-0000D0080000}"/>
    <cellStyle name="_토공_구조물공수량산출_큰들교교량수량산출서" xfId="3122" xr:uid="{00000000-0005-0000-0000-0000D1080000}"/>
    <cellStyle name="_토공_구조물공수량산출_큰마교교량수량산출서" xfId="3123" xr:uid="{00000000-0005-0000-0000-0000D2080000}"/>
    <cellStyle name="_토공_구조물공수량산출_큰마교교량수량산출서_01교량공(큰들)" xfId="3124" xr:uid="{00000000-0005-0000-0000-0000D3080000}"/>
    <cellStyle name="_토공_구조물공수량산출_큰마교교량수량산출서_03교량공" xfId="3125" xr:uid="{00000000-0005-0000-0000-0000D4080000}"/>
    <cellStyle name="_토공_약실교교량수량산출서" xfId="3126" xr:uid="{00000000-0005-0000-0000-0000D5080000}"/>
    <cellStyle name="_토공_약실교교량수량산출서_01교량공(큰들)" xfId="3127" xr:uid="{00000000-0005-0000-0000-0000D6080000}"/>
    <cellStyle name="_토공_약실교교량수량산출서_03교량공" xfId="3128" xr:uid="{00000000-0005-0000-0000-0000D7080000}"/>
    <cellStyle name="_토공_큰들교교량수량산출서" xfId="3129" xr:uid="{00000000-0005-0000-0000-0000D8080000}"/>
    <cellStyle name="_토공_큰마교교량수량산출서" xfId="3130" xr:uid="{00000000-0005-0000-0000-0000D9080000}"/>
    <cellStyle name="_토공_큰마교교량수량산출서_01교량공(큰들)" xfId="3131" xr:uid="{00000000-0005-0000-0000-0000DA080000}"/>
    <cellStyle name="_토공_큰마교교량수량산출서_03교량공" xfId="3132" xr:uid="{00000000-0005-0000-0000-0000DB080000}"/>
    <cellStyle name="_평화교-구조물수량_02석굴암교-상부(강재)_04-강재및도장수량" xfId="3133" xr:uid="{00000000-0005-0000-0000-0000DC080000}"/>
    <cellStyle name="_포장공수량" xfId="3134" xr:uid="{00000000-0005-0000-0000-0000DD080000}"/>
    <cellStyle name="_하마1교-수량" xfId="1334" xr:uid="{00000000-0005-0000-0000-0000DE080000}"/>
    <cellStyle name="_하마2교-수량" xfId="1335" xr:uid="{00000000-0005-0000-0000-0000DF080000}"/>
    <cellStyle name="_하마읍3교대" xfId="1336" xr:uid="{00000000-0005-0000-0000-0000E0080000}"/>
    <cellStyle name="_하마읍3교토공" xfId="1337" xr:uid="{00000000-0005-0000-0000-0000E1080000}"/>
    <cellStyle name="_호안블럭(문수1교)" xfId="3135" xr:uid="{00000000-0005-0000-0000-0000E2080000}"/>
    <cellStyle name="_홍천(노천1지구)-1공구" xfId="1338" xr:uid="{00000000-0005-0000-0000-0000E3080000}"/>
    <cellStyle name="_홍천(노천1지구)-1공구_사본 - 하마2교-수량" xfId="1339" xr:uid="{00000000-0005-0000-0000-0000E4080000}"/>
    <cellStyle name="_홍천(노천1지구)-1공구_하마1교-수량" xfId="1340" xr:uid="{00000000-0005-0000-0000-0000E5080000}"/>
    <cellStyle name="_홍천(노천1지구)-1공구_하마2교-수량" xfId="1341" xr:uid="{00000000-0005-0000-0000-0000E6080000}"/>
    <cellStyle name="_홍천(노천1지구)-1공구_하마읍3교대" xfId="1342" xr:uid="{00000000-0005-0000-0000-0000E7080000}"/>
    <cellStyle name="_홍천(노천1지구)-1공구_하마읍3교토공" xfId="1343" xr:uid="{00000000-0005-0000-0000-0000E8080000}"/>
    <cellStyle name="_횡배수관" xfId="3136" xr:uid="{00000000-0005-0000-0000-0000E9080000}"/>
    <cellStyle name="_횡배수관_01교량공(큰들)" xfId="3137" xr:uid="{00000000-0005-0000-0000-0000EA080000}"/>
    <cellStyle name="_횡배수관_03교량공" xfId="3138" xr:uid="{00000000-0005-0000-0000-0000EB080000}"/>
    <cellStyle name="_횡배수관_구조물공수량산출" xfId="3139" xr:uid="{00000000-0005-0000-0000-0000EC080000}"/>
    <cellStyle name="_횡배수관_구조물공수량산출_01교량공(큰들)" xfId="3140" xr:uid="{00000000-0005-0000-0000-0000ED080000}"/>
    <cellStyle name="_횡배수관_구조물공수량산출_03교량공" xfId="3141" xr:uid="{00000000-0005-0000-0000-0000EE080000}"/>
    <cellStyle name="_횡배수관_구조물공수량산출_가시설수량산출" xfId="3142" xr:uid="{00000000-0005-0000-0000-0000EF080000}"/>
    <cellStyle name="_횡배수관_구조물공수량산출_가시설수량산출_01교량공(큰들)" xfId="3143" xr:uid="{00000000-0005-0000-0000-0000F0080000}"/>
    <cellStyle name="_횡배수관_구조물공수량산출_가시설수량산출_03교량공" xfId="3144" xr:uid="{00000000-0005-0000-0000-0000F1080000}"/>
    <cellStyle name="_횡배수관_구조물공수량산출_가시설수량산출_약실교교량수량산출서" xfId="3145" xr:uid="{00000000-0005-0000-0000-0000F2080000}"/>
    <cellStyle name="_횡배수관_구조물공수량산출_가시설수량산출_약실교교량수량산출서_01교량공(큰들)" xfId="3146" xr:uid="{00000000-0005-0000-0000-0000F3080000}"/>
    <cellStyle name="_횡배수관_구조물공수량산출_가시설수량산출_약실교교량수량산출서_03교량공" xfId="3147" xr:uid="{00000000-0005-0000-0000-0000F4080000}"/>
    <cellStyle name="_횡배수관_구조물공수량산출_가시설수량산출_큰들교교량수량산출서" xfId="3148" xr:uid="{00000000-0005-0000-0000-0000F5080000}"/>
    <cellStyle name="_횡배수관_구조물공수량산출_가시설수량산출_큰마교교량수량산출서" xfId="3149" xr:uid="{00000000-0005-0000-0000-0000F6080000}"/>
    <cellStyle name="_횡배수관_구조물공수량산출_가시설수량산출_큰마교교량수량산출서_01교량공(큰들)" xfId="3150" xr:uid="{00000000-0005-0000-0000-0000F7080000}"/>
    <cellStyle name="_횡배수관_구조물공수량산출_가시설수량산출_큰마교교량수량산출서_03교량공" xfId="3151" xr:uid="{00000000-0005-0000-0000-0000F8080000}"/>
    <cellStyle name="_횡배수관_구조물공수량산출_구조물공수량산출" xfId="3152" xr:uid="{00000000-0005-0000-0000-0000F9080000}"/>
    <cellStyle name="_횡배수관_구조물공수량산출_구조물공수량산출_01교량공(큰들)" xfId="3153" xr:uid="{00000000-0005-0000-0000-0000FA080000}"/>
    <cellStyle name="_횡배수관_구조물공수량산출_구조물공수량산출_03교량공" xfId="3154" xr:uid="{00000000-0005-0000-0000-0000FB080000}"/>
    <cellStyle name="_횡배수관_구조물공수량산출_구조물공수량산출_약실교교량수량산출서" xfId="3155" xr:uid="{00000000-0005-0000-0000-0000FC080000}"/>
    <cellStyle name="_횡배수관_구조물공수량산출_구조물공수량산출_약실교교량수량산출서_01교량공(큰들)" xfId="3156" xr:uid="{00000000-0005-0000-0000-0000FD080000}"/>
    <cellStyle name="_횡배수관_구조물공수량산출_구조물공수량산출_약실교교량수량산출서_03교량공" xfId="3157" xr:uid="{00000000-0005-0000-0000-0000FE080000}"/>
    <cellStyle name="_횡배수관_구조물공수량산출_구조물공수량산출_큰들교교량수량산출서" xfId="3158" xr:uid="{00000000-0005-0000-0000-0000FF080000}"/>
    <cellStyle name="_횡배수관_구조물공수량산출_구조물공수량산출_큰마교교량수량산출서" xfId="3159" xr:uid="{00000000-0005-0000-0000-000000090000}"/>
    <cellStyle name="_횡배수관_구조물공수량산출_구조물공수량산출_큰마교교량수량산출서_01교량공(큰들)" xfId="3160" xr:uid="{00000000-0005-0000-0000-000001090000}"/>
    <cellStyle name="_횡배수관_구조물공수량산출_구조물공수량산출_큰마교교량수량산출서_03교량공" xfId="3161" xr:uid="{00000000-0005-0000-0000-000002090000}"/>
    <cellStyle name="_횡배수관_구조물공수량산출_약실교교량수량산출서" xfId="3162" xr:uid="{00000000-0005-0000-0000-000003090000}"/>
    <cellStyle name="_횡배수관_구조물공수량산출_약실교교량수량산출서_01교량공(큰들)" xfId="3163" xr:uid="{00000000-0005-0000-0000-000004090000}"/>
    <cellStyle name="_횡배수관_구조물공수량산출_약실교교량수량산출서_03교량공" xfId="3164" xr:uid="{00000000-0005-0000-0000-000005090000}"/>
    <cellStyle name="_횡배수관_구조물공수량산출_큰들교교량수량산출서" xfId="3165" xr:uid="{00000000-0005-0000-0000-000006090000}"/>
    <cellStyle name="_횡배수관_구조물공수량산출_큰마교교량수량산출서" xfId="3166" xr:uid="{00000000-0005-0000-0000-000007090000}"/>
    <cellStyle name="_횡배수관_구조물공수량산출_큰마교교량수량산출서_01교량공(큰들)" xfId="3167" xr:uid="{00000000-0005-0000-0000-000008090000}"/>
    <cellStyle name="_횡배수관_구조물공수량산출_큰마교교량수량산출서_03교량공" xfId="3168" xr:uid="{00000000-0005-0000-0000-000009090000}"/>
    <cellStyle name="_횡배수관_약실교교량수량산출서" xfId="3169" xr:uid="{00000000-0005-0000-0000-00000A090000}"/>
    <cellStyle name="_횡배수관_약실교교량수량산출서_01교량공(큰들)" xfId="3170" xr:uid="{00000000-0005-0000-0000-00000B090000}"/>
    <cellStyle name="_횡배수관_약실교교량수량산출서_03교량공" xfId="3171" xr:uid="{00000000-0005-0000-0000-00000C090000}"/>
    <cellStyle name="_횡배수관_큰들교교량수량산출서" xfId="3172" xr:uid="{00000000-0005-0000-0000-00000D090000}"/>
    <cellStyle name="_횡배수관_큰마교교량수량산출서" xfId="3173" xr:uid="{00000000-0005-0000-0000-00000E090000}"/>
    <cellStyle name="_횡배수관_큰마교교량수량산출서_01교량공(큰들)" xfId="3174" xr:uid="{00000000-0005-0000-0000-00000F090000}"/>
    <cellStyle name="_횡배수관_큰마교교량수량산출서_03교량공" xfId="3175" xr:uid="{00000000-0005-0000-0000-000010090000}"/>
    <cellStyle name="’E‰Y [0.00]_laroux" xfId="1356" xr:uid="{00000000-0005-0000-0000-000011090000}"/>
    <cellStyle name="’E‰Y_laroux" xfId="1357" xr:uid="{00000000-0005-0000-0000-000012090000}"/>
    <cellStyle name="1" xfId="1358" xr:uid="{00000000-0005-0000-0000-000013090000}"/>
    <cellStyle name="1_laroux" xfId="1396" xr:uid="{00000000-0005-0000-0000-000014090000}"/>
    <cellStyle name="1_laroux_ATC-YOON1" xfId="1397" xr:uid="{00000000-0005-0000-0000-000015090000}"/>
    <cellStyle name="1_단가조사표" xfId="1359" xr:uid="{00000000-0005-0000-0000-000016090000}"/>
    <cellStyle name="1_단가조사표_1011소각" xfId="1360" xr:uid="{00000000-0005-0000-0000-000017090000}"/>
    <cellStyle name="1_단가조사표_1113교~1" xfId="1361" xr:uid="{00000000-0005-0000-0000-000018090000}"/>
    <cellStyle name="1_단가조사표_121내역" xfId="1362" xr:uid="{00000000-0005-0000-0000-000019090000}"/>
    <cellStyle name="1_단가조사표_객토량" xfId="1363" xr:uid="{00000000-0005-0000-0000-00001A090000}"/>
    <cellStyle name="1_단가조사표_교통센~1" xfId="1364" xr:uid="{00000000-0005-0000-0000-00001B090000}"/>
    <cellStyle name="1_단가조사표_교통센터412" xfId="1365" xr:uid="{00000000-0005-0000-0000-00001C090000}"/>
    <cellStyle name="1_단가조사표_교통수" xfId="1366" xr:uid="{00000000-0005-0000-0000-00001D090000}"/>
    <cellStyle name="1_단가조사표_교통수량산출서" xfId="1367" xr:uid="{00000000-0005-0000-0000-00001E090000}"/>
    <cellStyle name="1_단가조사표_구조물대가 (2)" xfId="1368" xr:uid="{00000000-0005-0000-0000-00001F090000}"/>
    <cellStyle name="1_단가조사표_내역서 (2)" xfId="1369" xr:uid="{00000000-0005-0000-0000-000020090000}"/>
    <cellStyle name="1_단가조사표_대전관저지구" xfId="1370" xr:uid="{00000000-0005-0000-0000-000021090000}"/>
    <cellStyle name="1_단가조사표_동측지~1" xfId="1371" xr:uid="{00000000-0005-0000-0000-000022090000}"/>
    <cellStyle name="1_단가조사표_동측지원422" xfId="1372" xr:uid="{00000000-0005-0000-0000-000023090000}"/>
    <cellStyle name="1_단가조사표_동측지원512" xfId="1373" xr:uid="{00000000-0005-0000-0000-000024090000}"/>
    <cellStyle name="1_단가조사표_동측지원524" xfId="1374" xr:uid="{00000000-0005-0000-0000-000025090000}"/>
    <cellStyle name="1_단가조사표_부대422" xfId="1375" xr:uid="{00000000-0005-0000-0000-000026090000}"/>
    <cellStyle name="1_단가조사표_부대시설" xfId="1376" xr:uid="{00000000-0005-0000-0000-000027090000}"/>
    <cellStyle name="1_단가조사표_소각수~1" xfId="1377" xr:uid="{00000000-0005-0000-0000-000028090000}"/>
    <cellStyle name="1_단가조사표_소각수내역서" xfId="1378" xr:uid="{00000000-0005-0000-0000-000029090000}"/>
    <cellStyle name="1_단가조사표_소각수목2" xfId="1379" xr:uid="{00000000-0005-0000-0000-00002A090000}"/>
    <cellStyle name="1_단가조사표_수량산출서 (2)" xfId="1380" xr:uid="{00000000-0005-0000-0000-00002B090000}"/>
    <cellStyle name="1_단가조사표_엑스포~1" xfId="1381" xr:uid="{00000000-0005-0000-0000-00002C090000}"/>
    <cellStyle name="1_단가조사표_엑스포한빛1" xfId="1382" xr:uid="{00000000-0005-0000-0000-00002D090000}"/>
    <cellStyle name="1_단가조사표_여객터미널331" xfId="1383" xr:uid="{00000000-0005-0000-0000-00002E090000}"/>
    <cellStyle name="1_단가조사표_여객터미널513" xfId="1384" xr:uid="{00000000-0005-0000-0000-00002F090000}"/>
    <cellStyle name="1_단가조사표_여객터미널629" xfId="1385" xr:uid="{00000000-0005-0000-0000-000030090000}"/>
    <cellStyle name="1_단가조사표_외곽도로616" xfId="1386" xr:uid="{00000000-0005-0000-0000-000031090000}"/>
    <cellStyle name="1_단가조사표_용인죽전수량" xfId="1387" xr:uid="{00000000-0005-0000-0000-000032090000}"/>
    <cellStyle name="1_단가조사표_원가계~1" xfId="1388" xr:uid="{00000000-0005-0000-0000-000033090000}"/>
    <cellStyle name="1_단가조사표_유기질" xfId="1389" xr:uid="{00000000-0005-0000-0000-000034090000}"/>
    <cellStyle name="1_단가조사표_자재조서 (2)" xfId="1390" xr:uid="{00000000-0005-0000-0000-000035090000}"/>
    <cellStyle name="1_단가조사표_총괄내역" xfId="1391" xr:uid="{00000000-0005-0000-0000-000036090000}"/>
    <cellStyle name="1_단가조사표_총괄내역 (2)" xfId="1392" xr:uid="{00000000-0005-0000-0000-000037090000}"/>
    <cellStyle name="1_단가조사표_터미널도로403" xfId="1393" xr:uid="{00000000-0005-0000-0000-000038090000}"/>
    <cellStyle name="1_단가조사표_터미널도로429" xfId="1394" xr:uid="{00000000-0005-0000-0000-000039090000}"/>
    <cellStyle name="1_단가조사표_포장일위" xfId="1395" xr:uid="{00000000-0005-0000-0000-00003A090000}"/>
    <cellStyle name="2" xfId="1398" xr:uid="{00000000-0005-0000-0000-00003B090000}"/>
    <cellStyle name="2)" xfId="1399" xr:uid="{00000000-0005-0000-0000-00003C090000}"/>
    <cellStyle name="2_laroux" xfId="1437" xr:uid="{00000000-0005-0000-0000-00003D090000}"/>
    <cellStyle name="2_laroux_ATC-YOON1" xfId="1438" xr:uid="{00000000-0005-0000-0000-00003E090000}"/>
    <cellStyle name="2_단가조사표" xfId="1400" xr:uid="{00000000-0005-0000-0000-00003F090000}"/>
    <cellStyle name="2_단가조사표_1011소각" xfId="1401" xr:uid="{00000000-0005-0000-0000-000040090000}"/>
    <cellStyle name="2_단가조사표_1113교~1" xfId="1402" xr:uid="{00000000-0005-0000-0000-000041090000}"/>
    <cellStyle name="2_단가조사표_121내역" xfId="1403" xr:uid="{00000000-0005-0000-0000-000042090000}"/>
    <cellStyle name="2_단가조사표_객토량" xfId="1404" xr:uid="{00000000-0005-0000-0000-000043090000}"/>
    <cellStyle name="2_단가조사표_교통센~1" xfId="1405" xr:uid="{00000000-0005-0000-0000-000044090000}"/>
    <cellStyle name="2_단가조사표_교통센터412" xfId="1406" xr:uid="{00000000-0005-0000-0000-000045090000}"/>
    <cellStyle name="2_단가조사표_교통수" xfId="1407" xr:uid="{00000000-0005-0000-0000-000046090000}"/>
    <cellStyle name="2_단가조사표_교통수량산출서" xfId="1408" xr:uid="{00000000-0005-0000-0000-000047090000}"/>
    <cellStyle name="2_단가조사표_구조물대가 (2)" xfId="1409" xr:uid="{00000000-0005-0000-0000-000048090000}"/>
    <cellStyle name="2_단가조사표_내역서 (2)" xfId="1410" xr:uid="{00000000-0005-0000-0000-000049090000}"/>
    <cellStyle name="2_단가조사표_대전관저지구" xfId="1411" xr:uid="{00000000-0005-0000-0000-00004A090000}"/>
    <cellStyle name="2_단가조사표_동측지~1" xfId="1412" xr:uid="{00000000-0005-0000-0000-00004B090000}"/>
    <cellStyle name="2_단가조사표_동측지원422" xfId="1413" xr:uid="{00000000-0005-0000-0000-00004C090000}"/>
    <cellStyle name="2_단가조사표_동측지원512" xfId="1414" xr:uid="{00000000-0005-0000-0000-00004D090000}"/>
    <cellStyle name="2_단가조사표_동측지원524" xfId="1415" xr:uid="{00000000-0005-0000-0000-00004E090000}"/>
    <cellStyle name="2_단가조사표_부대422" xfId="1416" xr:uid="{00000000-0005-0000-0000-00004F090000}"/>
    <cellStyle name="2_단가조사표_부대시설" xfId="1417" xr:uid="{00000000-0005-0000-0000-000050090000}"/>
    <cellStyle name="2_단가조사표_소각수~1" xfId="1418" xr:uid="{00000000-0005-0000-0000-000051090000}"/>
    <cellStyle name="2_단가조사표_소각수내역서" xfId="1419" xr:uid="{00000000-0005-0000-0000-000052090000}"/>
    <cellStyle name="2_단가조사표_소각수목2" xfId="1420" xr:uid="{00000000-0005-0000-0000-000053090000}"/>
    <cellStyle name="2_단가조사표_수량산출서 (2)" xfId="1421" xr:uid="{00000000-0005-0000-0000-000054090000}"/>
    <cellStyle name="2_단가조사표_엑스포~1" xfId="1422" xr:uid="{00000000-0005-0000-0000-000055090000}"/>
    <cellStyle name="2_단가조사표_엑스포한빛1" xfId="1423" xr:uid="{00000000-0005-0000-0000-000056090000}"/>
    <cellStyle name="2_단가조사표_여객터미널331" xfId="1424" xr:uid="{00000000-0005-0000-0000-000057090000}"/>
    <cellStyle name="2_단가조사표_여객터미널513" xfId="1425" xr:uid="{00000000-0005-0000-0000-000058090000}"/>
    <cellStyle name="2_단가조사표_여객터미널629" xfId="1426" xr:uid="{00000000-0005-0000-0000-000059090000}"/>
    <cellStyle name="2_단가조사표_외곽도로616" xfId="1427" xr:uid="{00000000-0005-0000-0000-00005A090000}"/>
    <cellStyle name="2_단가조사표_용인죽전수량" xfId="1428" xr:uid="{00000000-0005-0000-0000-00005B090000}"/>
    <cellStyle name="2_단가조사표_원가계~1" xfId="1429" xr:uid="{00000000-0005-0000-0000-00005C090000}"/>
    <cellStyle name="2_단가조사표_유기질" xfId="1430" xr:uid="{00000000-0005-0000-0000-00005D090000}"/>
    <cellStyle name="2_단가조사표_자재조서 (2)" xfId="1431" xr:uid="{00000000-0005-0000-0000-00005E090000}"/>
    <cellStyle name="2_단가조사표_총괄내역" xfId="1432" xr:uid="{00000000-0005-0000-0000-00005F090000}"/>
    <cellStyle name="2_단가조사표_총괄내역 (2)" xfId="1433" xr:uid="{00000000-0005-0000-0000-000060090000}"/>
    <cellStyle name="2_단가조사표_터미널도로403" xfId="1434" xr:uid="{00000000-0005-0000-0000-000061090000}"/>
    <cellStyle name="2_단가조사표_터미널도로429" xfId="1435" xr:uid="{00000000-0005-0000-0000-000062090000}"/>
    <cellStyle name="2_단가조사표_포장일위" xfId="1436" xr:uid="{00000000-0005-0000-0000-000063090000}"/>
    <cellStyle name="20% - 강조색1" xfId="1439" builtinId="30" customBuiltin="1"/>
    <cellStyle name="20% - 강조색2" xfId="1440" builtinId="34" customBuiltin="1"/>
    <cellStyle name="20% - 강조색3" xfId="1441" builtinId="38" customBuiltin="1"/>
    <cellStyle name="20% - 강조색4" xfId="1442" builtinId="42" customBuiltin="1"/>
    <cellStyle name="20% - 강조색5" xfId="1443" builtinId="46" customBuiltin="1"/>
    <cellStyle name="20% - 강조색6" xfId="1444" builtinId="50" customBuiltin="1"/>
    <cellStyle name="3" xfId="1445" xr:uid="{00000000-0005-0000-0000-00006A090000}"/>
    <cellStyle name="40% - 강조색1" xfId="1446" builtinId="31" customBuiltin="1"/>
    <cellStyle name="40% - 강조색2" xfId="1447" builtinId="35" customBuiltin="1"/>
    <cellStyle name="40% - 강조색3" xfId="1448" builtinId="39" customBuiltin="1"/>
    <cellStyle name="40% - 강조색4" xfId="1449" builtinId="43" customBuiltin="1"/>
    <cellStyle name="40% - 강조색5" xfId="1450" builtinId="47" customBuiltin="1"/>
    <cellStyle name="40% - 강조색6" xfId="1451" builtinId="51" customBuiltin="1"/>
    <cellStyle name="6" xfId="1452" xr:uid="{00000000-0005-0000-0000-000071090000}"/>
    <cellStyle name="60% - 강조색1" xfId="1453" builtinId="32" customBuiltin="1"/>
    <cellStyle name="60% - 강조색2" xfId="1454" builtinId="36" customBuiltin="1"/>
    <cellStyle name="60% - 강조색3" xfId="1455" builtinId="40" customBuiltin="1"/>
    <cellStyle name="60% - 강조색4" xfId="1456" builtinId="44" customBuiltin="1"/>
    <cellStyle name="60% - 강조색5" xfId="1457" builtinId="48" customBuiltin="1"/>
    <cellStyle name="60% - 강조색6" xfId="1458" builtinId="52" customBuiltin="1"/>
    <cellStyle name="96" xfId="1459" xr:uid="{00000000-0005-0000-0000-000078090000}"/>
    <cellStyle name="a)" xfId="2108" xr:uid="{00000000-0005-0000-0000-000079090000}"/>
    <cellStyle name="AeE­ [0]_ 2ÆAAþº° " xfId="2109" xr:uid="{00000000-0005-0000-0000-00007A090000}"/>
    <cellStyle name="ÅëÈ­ [0]_»óºÎ¼ö·®Áý°è " xfId="2110" xr:uid="{00000000-0005-0000-0000-00007B090000}"/>
    <cellStyle name="AeE­ [0]_INQUIRY ¿μ¾÷AßAø " xfId="2111" xr:uid="{00000000-0005-0000-0000-00007C090000}"/>
    <cellStyle name="AeE­_ 2ÆAAþº° " xfId="2112" xr:uid="{00000000-0005-0000-0000-00007D090000}"/>
    <cellStyle name="ÅëÈ­_»óºÎ¼ö·®Áý°è " xfId="2113" xr:uid="{00000000-0005-0000-0000-00007E090000}"/>
    <cellStyle name="AeE­_INQUIRY ¿μ¾÷AßAø " xfId="2114" xr:uid="{00000000-0005-0000-0000-00007F090000}"/>
    <cellStyle name="ALIGNMENT" xfId="2115" xr:uid="{00000000-0005-0000-0000-000080090000}"/>
    <cellStyle name="AÞ¸¶ [0]_ 2ÆAAþº° " xfId="2116" xr:uid="{00000000-0005-0000-0000-000081090000}"/>
    <cellStyle name="ÄÞ¸¶ [0]_»óºÎ¼ö·®Áý°è " xfId="2117" xr:uid="{00000000-0005-0000-0000-000082090000}"/>
    <cellStyle name="AÞ¸¶ [0]_INQUIRY ¿μ¾÷AßAø " xfId="2118" xr:uid="{00000000-0005-0000-0000-000083090000}"/>
    <cellStyle name="AÞ¸¶_ 2ÆAAþº° " xfId="2119" xr:uid="{00000000-0005-0000-0000-000084090000}"/>
    <cellStyle name="ÄÞ¸¶_»óºÎ¼ö·®Áý°è " xfId="2120" xr:uid="{00000000-0005-0000-0000-000085090000}"/>
    <cellStyle name="AÞ¸¶_INQUIRY ¿μ¾÷AßAø " xfId="2121" xr:uid="{00000000-0005-0000-0000-000086090000}"/>
    <cellStyle name="BA" xfId="2123" xr:uid="{00000000-0005-0000-0000-000087090000}"/>
    <cellStyle name="b椬ៜ_x000c_Comma_ODCOS " xfId="2122" xr:uid="{00000000-0005-0000-0000-000088090000}"/>
    <cellStyle name="C￥AØ_ 2ÆAAþº° " xfId="2124" xr:uid="{00000000-0005-0000-0000-000089090000}"/>
    <cellStyle name="Ç¥ÁØ_»óºÎ¼ö·®Áý°è " xfId="2125" xr:uid="{00000000-0005-0000-0000-00008A090000}"/>
    <cellStyle name="C￥AØ_≫c¾÷ºIº° AN°e " xfId="2126" xr:uid="{00000000-0005-0000-0000-00008B090000}"/>
    <cellStyle name="Ç¥ÁØ_½½·¡ºêÃ¶±ÙÁý°è " xfId="3176" xr:uid="{00000000-0005-0000-0000-00008C090000}"/>
    <cellStyle name="Calc Currency (0)" xfId="2127" xr:uid="{00000000-0005-0000-0000-00008D090000}"/>
    <cellStyle name="category" xfId="2128" xr:uid="{00000000-0005-0000-0000-00008E090000}"/>
    <cellStyle name="Comma" xfId="2129" xr:uid="{00000000-0005-0000-0000-00008F090000}"/>
    <cellStyle name="Comma [0]" xfId="2130" xr:uid="{00000000-0005-0000-0000-000090090000}"/>
    <cellStyle name="comma zerodec" xfId="2131" xr:uid="{00000000-0005-0000-0000-000091090000}"/>
    <cellStyle name="Comma_ SG&amp;A Bridge " xfId="2132" xr:uid="{00000000-0005-0000-0000-000092090000}"/>
    <cellStyle name="Comma0" xfId="2133" xr:uid="{00000000-0005-0000-0000-000093090000}"/>
    <cellStyle name="Copied" xfId="2134" xr:uid="{00000000-0005-0000-0000-000094090000}"/>
    <cellStyle name="Curren" xfId="2135" xr:uid="{00000000-0005-0000-0000-000095090000}"/>
    <cellStyle name="Currenby_Cash&amp;DSO Chart" xfId="2136" xr:uid="{00000000-0005-0000-0000-000096090000}"/>
    <cellStyle name="Currency" xfId="2137" xr:uid="{00000000-0005-0000-0000-000097090000}"/>
    <cellStyle name="Currency [0]" xfId="2138" xr:uid="{00000000-0005-0000-0000-000098090000}"/>
    <cellStyle name="Currency [ﺜ]_P&amp;L_laroux" xfId="2139" xr:uid="{00000000-0005-0000-0000-000099090000}"/>
    <cellStyle name="Currency_ SG&amp;A Bridge " xfId="2140" xr:uid="{00000000-0005-0000-0000-00009A090000}"/>
    <cellStyle name="Currency0" xfId="2141" xr:uid="{00000000-0005-0000-0000-00009B090000}"/>
    <cellStyle name="Currency1" xfId="2142" xr:uid="{00000000-0005-0000-0000-00009C090000}"/>
    <cellStyle name="Date" xfId="2143" xr:uid="{00000000-0005-0000-0000-00009D090000}"/>
    <cellStyle name="de" xfId="2144" xr:uid="{00000000-0005-0000-0000-00009E090000}"/>
    <cellStyle name="Dezimal [0]_Compiling Utility Macros" xfId="2145" xr:uid="{00000000-0005-0000-0000-00009F090000}"/>
    <cellStyle name="Dezimal_Compiling Utility Macros" xfId="2146" xr:uid="{00000000-0005-0000-0000-0000A0090000}"/>
    <cellStyle name="Dollar (zero dec)" xfId="2147" xr:uid="{00000000-0005-0000-0000-0000A1090000}"/>
    <cellStyle name="EA" xfId="2148" xr:uid="{00000000-0005-0000-0000-0000A2090000}"/>
    <cellStyle name="Entered" xfId="2149" xr:uid="{00000000-0005-0000-0000-0000A3090000}"/>
    <cellStyle name="Euro" xfId="2150" xr:uid="{00000000-0005-0000-0000-0000A4090000}"/>
    <cellStyle name="F2" xfId="2151" xr:uid="{00000000-0005-0000-0000-0000A5090000}"/>
    <cellStyle name="F3" xfId="2152" xr:uid="{00000000-0005-0000-0000-0000A6090000}"/>
    <cellStyle name="F4" xfId="2153" xr:uid="{00000000-0005-0000-0000-0000A7090000}"/>
    <cellStyle name="F5" xfId="2154" xr:uid="{00000000-0005-0000-0000-0000A8090000}"/>
    <cellStyle name="F6" xfId="2155" xr:uid="{00000000-0005-0000-0000-0000A9090000}"/>
    <cellStyle name="F7" xfId="2156" xr:uid="{00000000-0005-0000-0000-0000AA090000}"/>
    <cellStyle name="F8" xfId="2157" xr:uid="{00000000-0005-0000-0000-0000AB090000}"/>
    <cellStyle name="Fixed" xfId="2158" xr:uid="{00000000-0005-0000-0000-0000AC090000}"/>
    <cellStyle name="g" xfId="2159" xr:uid="{00000000-0005-0000-0000-0000AD090000}"/>
    <cellStyle name="Grey" xfId="2160" xr:uid="{00000000-0005-0000-0000-0000AE090000}"/>
    <cellStyle name="H1" xfId="2161" xr:uid="{00000000-0005-0000-0000-0000AF090000}"/>
    <cellStyle name="H2" xfId="2162" xr:uid="{00000000-0005-0000-0000-0000B0090000}"/>
    <cellStyle name="HEADER" xfId="2163" xr:uid="{00000000-0005-0000-0000-0000B1090000}"/>
    <cellStyle name="Header1" xfId="2164" xr:uid="{00000000-0005-0000-0000-0000B2090000}"/>
    <cellStyle name="Header2" xfId="2165" xr:uid="{00000000-0005-0000-0000-0000B3090000}"/>
    <cellStyle name="Heading 1" xfId="2166" xr:uid="{00000000-0005-0000-0000-0000B4090000}"/>
    <cellStyle name="Heading 2" xfId="2167" xr:uid="{00000000-0005-0000-0000-0000B5090000}"/>
    <cellStyle name="Heading1" xfId="2168" xr:uid="{00000000-0005-0000-0000-0000B6090000}"/>
    <cellStyle name="Heading2" xfId="2169" xr:uid="{00000000-0005-0000-0000-0000B7090000}"/>
    <cellStyle name="Hyperlink_NEGS" xfId="2170" xr:uid="{00000000-0005-0000-0000-0000B8090000}"/>
    <cellStyle name="Input [yellow]" xfId="2171" xr:uid="{00000000-0005-0000-0000-0000B9090000}"/>
    <cellStyle name="Midtitle" xfId="2172" xr:uid="{00000000-0005-0000-0000-0000BA090000}"/>
    <cellStyle name="Milliers [0]_399GC10" xfId="2173" xr:uid="{00000000-0005-0000-0000-0000BB090000}"/>
    <cellStyle name="Milliers_399GC10" xfId="2174" xr:uid="{00000000-0005-0000-0000-0000BC090000}"/>
    <cellStyle name="Model" xfId="2175" xr:uid="{00000000-0005-0000-0000-0000BD090000}"/>
    <cellStyle name="Mon?aire [0]_399GC10" xfId="2176" xr:uid="{00000000-0005-0000-0000-0000BE090000}"/>
    <cellStyle name="Mon?aire_399GC10" xfId="2177" xr:uid="{00000000-0005-0000-0000-0000BF090000}"/>
    <cellStyle name="n" xfId="2178" xr:uid="{00000000-0005-0000-0000-0000C0090000}"/>
    <cellStyle name="no dec" xfId="2179" xr:uid="{00000000-0005-0000-0000-0000C1090000}"/>
    <cellStyle name="normal" xfId="2180" xr:uid="{00000000-0005-0000-0000-0000C2090000}"/>
    <cellStyle name="Normal - Style1" xfId="2182" xr:uid="{00000000-0005-0000-0000-0000C3090000}"/>
    <cellStyle name="Normal - 유형1" xfId="2181" xr:uid="{00000000-0005-0000-0000-0000C4090000}"/>
    <cellStyle name="Normal_ SG&amp;A Bridge " xfId="2183" xr:uid="{00000000-0005-0000-0000-0000C5090000}"/>
    <cellStyle name="O" xfId="2184" xr:uid="{00000000-0005-0000-0000-0000C6090000}"/>
    <cellStyle name="OD" xfId="2185" xr:uid="{00000000-0005-0000-0000-0000C7090000}"/>
    <cellStyle name="Œ…?æ맖?e [0.00]_laroux" xfId="2186" xr:uid="{00000000-0005-0000-0000-0000C8090000}"/>
    <cellStyle name="Œ…?æ맖?e_laroux" xfId="2187" xr:uid="{00000000-0005-0000-0000-0000C9090000}"/>
    <cellStyle name="Percent" xfId="2188" xr:uid="{00000000-0005-0000-0000-0000CA090000}"/>
    <cellStyle name="Percent [2]" xfId="2189" xr:uid="{00000000-0005-0000-0000-0000CB090000}"/>
    <cellStyle name="Percent_!간지" xfId="2190" xr:uid="{00000000-0005-0000-0000-0000CC090000}"/>
    <cellStyle name="Q1" xfId="2191" xr:uid="{00000000-0005-0000-0000-0000CD090000}"/>
    <cellStyle name="Q4" xfId="2192" xr:uid="{00000000-0005-0000-0000-0000CE090000}"/>
    <cellStyle name="RevList" xfId="2193" xr:uid="{00000000-0005-0000-0000-0000CF090000}"/>
    <cellStyle name="s" xfId="2194" xr:uid="{00000000-0005-0000-0000-0000D0090000}"/>
    <cellStyle name="S " xfId="2195" xr:uid="{00000000-0005-0000-0000-0000D1090000}"/>
    <cellStyle name="Standard_Anpassen der Amortisation" xfId="2196" xr:uid="{00000000-0005-0000-0000-0000D2090000}"/>
    <cellStyle name="subhead" xfId="2197" xr:uid="{00000000-0005-0000-0000-0000D3090000}"/>
    <cellStyle name="Subtotal" xfId="2198" xr:uid="{00000000-0005-0000-0000-0000D4090000}"/>
    <cellStyle name="t1" xfId="2199" xr:uid="{00000000-0005-0000-0000-0000D5090000}"/>
    <cellStyle name="testtitle" xfId="2200" xr:uid="{00000000-0005-0000-0000-0000D6090000}"/>
    <cellStyle name="title [1]" xfId="2201" xr:uid="{00000000-0005-0000-0000-0000D7090000}"/>
    <cellStyle name="title [2]" xfId="2202" xr:uid="{00000000-0005-0000-0000-0000D8090000}"/>
    <cellStyle name="ton" xfId="2203" xr:uid="{00000000-0005-0000-0000-0000D9090000}"/>
    <cellStyle name="Total" xfId="2204" xr:uid="{00000000-0005-0000-0000-0000DA090000}"/>
    <cellStyle name="UM" xfId="2205" xr:uid="{00000000-0005-0000-0000-0000DB090000}"/>
    <cellStyle name="W?rung [0]_Compiling Utility Macros" xfId="2206" xr:uid="{00000000-0005-0000-0000-0000DC090000}"/>
    <cellStyle name="W?rung_Compiling Utility Macros" xfId="2207" xr:uid="{00000000-0005-0000-0000-0000DD090000}"/>
    <cellStyle name="" xfId="2208" xr:uid="{00000000-0005-0000-0000-0000DE090000}"/>
    <cellStyle name="강조색1" xfId="1460" builtinId="29" customBuiltin="1"/>
    <cellStyle name="강조색2" xfId="1461" builtinId="33" customBuiltin="1"/>
    <cellStyle name="강조색3" xfId="1462" builtinId="37" customBuiltin="1"/>
    <cellStyle name="강조색4" xfId="1463" builtinId="41" customBuiltin="1"/>
    <cellStyle name="강조색5" xfId="1464" builtinId="45" customBuiltin="1"/>
    <cellStyle name="강조색6" xfId="1465" builtinId="49" customBuiltin="1"/>
    <cellStyle name="경고문" xfId="1466" builtinId="11" customBuiltin="1"/>
    <cellStyle name="계산" xfId="1467" builtinId="22" customBuiltin="1"/>
    <cellStyle name="고정소숫점" xfId="1468" xr:uid="{00000000-0005-0000-0000-0000E7090000}"/>
    <cellStyle name="고정출력1" xfId="1469" xr:uid="{00000000-0005-0000-0000-0000E8090000}"/>
    <cellStyle name="고정출력2" xfId="1470" xr:uid="{00000000-0005-0000-0000-0000E9090000}"/>
    <cellStyle name="나쁨" xfId="1471" builtinId="27" customBuiltin="1"/>
    <cellStyle name="날짜" xfId="1472" xr:uid="{00000000-0005-0000-0000-0000EB090000}"/>
    <cellStyle name="내역서" xfId="1473" xr:uid="{00000000-0005-0000-0000-0000EC090000}"/>
    <cellStyle name="달러" xfId="1474" xr:uid="{00000000-0005-0000-0000-0000ED090000}"/>
    <cellStyle name="뒤에 오는 하이퍼링크" xfId="3177" xr:uid="{00000000-0005-0000-0000-0000EE090000}"/>
    <cellStyle name="똿떓죶Ø괻 [0.00]_PRODUCT DETAIL Q1" xfId="1475" xr:uid="{00000000-0005-0000-0000-0000EF090000}"/>
    <cellStyle name="똿떓죶Ø괻_PRODUCT DETAIL Q1" xfId="1476" xr:uid="{00000000-0005-0000-0000-0000F0090000}"/>
    <cellStyle name="똿뗦먛귟 [0.00]_PRODUCT DETAIL Q1" xfId="1477" xr:uid="{00000000-0005-0000-0000-0000F1090000}"/>
    <cellStyle name="똿뗦먛귟_PRODUCT DETAIL Q1" xfId="1478" xr:uid="{00000000-0005-0000-0000-0000F2090000}"/>
    <cellStyle name="메모" xfId="1479" builtinId="10" customBuiltin="1"/>
    <cellStyle name="묮뎋 [0.00]_PRODUCT DETAIL Q1" xfId="1480" xr:uid="{00000000-0005-0000-0000-0000F4090000}"/>
    <cellStyle name="묮뎋_PRODUCT DETAIL Q1" xfId="1481" xr:uid="{00000000-0005-0000-0000-0000F5090000}"/>
    <cellStyle name="믅됞 [0.00]_PRODUCT DETAIL Q1" xfId="1482" xr:uid="{00000000-0005-0000-0000-0000F6090000}"/>
    <cellStyle name="믅됞_PRODUCT DETAIL Q1" xfId="1483" xr:uid="{00000000-0005-0000-0000-0000F7090000}"/>
    <cellStyle name="백" xfId="1484" xr:uid="{00000000-0005-0000-0000-0000F8090000}"/>
    <cellStyle name="백분율 [0]" xfId="1485" xr:uid="{00000000-0005-0000-0000-0000F9090000}"/>
    <cellStyle name="백분율 [2]" xfId="1486" xr:uid="{00000000-0005-0000-0000-0000FA090000}"/>
    <cellStyle name="보통" xfId="1487" builtinId="28" customBuiltin="1"/>
    <cellStyle name="뷭?_BOOKSHIP" xfId="1488" xr:uid="{00000000-0005-0000-0000-0000FC090000}"/>
    <cellStyle name="선택영역" xfId="1489" xr:uid="{00000000-0005-0000-0000-0000FD090000}"/>
    <cellStyle name="선택영역 가운데" xfId="1490" xr:uid="{00000000-0005-0000-0000-0000FE090000}"/>
    <cellStyle name="선택영역_토공수량" xfId="1491" xr:uid="{00000000-0005-0000-0000-0000FF090000}"/>
    <cellStyle name="선택영역의 가운데" xfId="1492" xr:uid="{00000000-0005-0000-0000-0000000A0000}"/>
    <cellStyle name="선택영영" xfId="1493" xr:uid="{00000000-0005-0000-0000-0000010A0000}"/>
    <cellStyle name="설명 텍스트" xfId="1494" builtinId="53" customBuiltin="1"/>
    <cellStyle name="셀 확인" xfId="1495" builtinId="23" customBuiltin="1"/>
    <cellStyle name="소숫점0" xfId="1496" xr:uid="{00000000-0005-0000-0000-0000040A0000}"/>
    <cellStyle name="소숫점3" xfId="1497" xr:uid="{00000000-0005-0000-0000-0000050A0000}"/>
    <cellStyle name="수량산출" xfId="1498" xr:uid="{00000000-0005-0000-0000-0000060A0000}"/>
    <cellStyle name="숫자" xfId="1499" xr:uid="{00000000-0005-0000-0000-0000070A0000}"/>
    <cellStyle name="숫자(R)" xfId="1500" xr:uid="{00000000-0005-0000-0000-0000080A0000}"/>
    <cellStyle name="숫자_00.기안교-ve_총괄수량" xfId="3178" xr:uid="{00000000-0005-0000-0000-0000090A0000}"/>
    <cellStyle name="숫자1" xfId="1501" xr:uid="{00000000-0005-0000-0000-00000A0A0000}"/>
    <cellStyle name="숫자3" xfId="1502" xr:uid="{00000000-0005-0000-0000-00000B0A0000}"/>
    <cellStyle name="숫자3R" xfId="1504" xr:uid="{00000000-0005-0000-0000-00000C0A0000}"/>
    <cellStyle name="숫자3자리" xfId="1503" xr:uid="{00000000-0005-0000-0000-00000D0A0000}"/>
    <cellStyle name="쉼표 [0]" xfId="1505" builtinId="6"/>
    <cellStyle name="쉼표 [0] 2" xfId="3179" xr:uid="{00000000-0005-0000-0000-00000F0A0000}"/>
    <cellStyle name="스타일 1" xfId="1506" xr:uid="{00000000-0005-0000-0000-0000100A0000}"/>
    <cellStyle name="스타일 10" xfId="1507" xr:uid="{00000000-0005-0000-0000-0000110A0000}"/>
    <cellStyle name="스타일 100" xfId="1508" xr:uid="{00000000-0005-0000-0000-0000120A0000}"/>
    <cellStyle name="스타일 101" xfId="1509" xr:uid="{00000000-0005-0000-0000-0000130A0000}"/>
    <cellStyle name="스타일 102" xfId="1510" xr:uid="{00000000-0005-0000-0000-0000140A0000}"/>
    <cellStyle name="스타일 103" xfId="1511" xr:uid="{00000000-0005-0000-0000-0000150A0000}"/>
    <cellStyle name="스타일 104" xfId="1512" xr:uid="{00000000-0005-0000-0000-0000160A0000}"/>
    <cellStyle name="스타일 105" xfId="1513" xr:uid="{00000000-0005-0000-0000-0000170A0000}"/>
    <cellStyle name="스타일 106" xfId="1514" xr:uid="{00000000-0005-0000-0000-0000180A0000}"/>
    <cellStyle name="스타일 107" xfId="1515" xr:uid="{00000000-0005-0000-0000-0000190A0000}"/>
    <cellStyle name="스타일 108" xfId="1516" xr:uid="{00000000-0005-0000-0000-00001A0A0000}"/>
    <cellStyle name="스타일 109" xfId="1517" xr:uid="{00000000-0005-0000-0000-00001B0A0000}"/>
    <cellStyle name="스타일 11" xfId="1518" xr:uid="{00000000-0005-0000-0000-00001C0A0000}"/>
    <cellStyle name="스타일 110" xfId="1519" xr:uid="{00000000-0005-0000-0000-00001D0A0000}"/>
    <cellStyle name="스타일 111" xfId="1520" xr:uid="{00000000-0005-0000-0000-00001E0A0000}"/>
    <cellStyle name="스타일 112" xfId="1521" xr:uid="{00000000-0005-0000-0000-00001F0A0000}"/>
    <cellStyle name="스타일 113" xfId="1522" xr:uid="{00000000-0005-0000-0000-0000200A0000}"/>
    <cellStyle name="스타일 114" xfId="1523" xr:uid="{00000000-0005-0000-0000-0000210A0000}"/>
    <cellStyle name="스타일 115" xfId="1524" xr:uid="{00000000-0005-0000-0000-0000220A0000}"/>
    <cellStyle name="스타일 116" xfId="1525" xr:uid="{00000000-0005-0000-0000-0000230A0000}"/>
    <cellStyle name="스타일 117" xfId="1526" xr:uid="{00000000-0005-0000-0000-0000240A0000}"/>
    <cellStyle name="스타일 118" xfId="1527" xr:uid="{00000000-0005-0000-0000-0000250A0000}"/>
    <cellStyle name="스타일 119" xfId="1528" xr:uid="{00000000-0005-0000-0000-0000260A0000}"/>
    <cellStyle name="스타일 12" xfId="1529" xr:uid="{00000000-0005-0000-0000-0000270A0000}"/>
    <cellStyle name="스타일 120" xfId="1530" xr:uid="{00000000-0005-0000-0000-0000280A0000}"/>
    <cellStyle name="스타일 121" xfId="1531" xr:uid="{00000000-0005-0000-0000-0000290A0000}"/>
    <cellStyle name="스타일 122" xfId="1532" xr:uid="{00000000-0005-0000-0000-00002A0A0000}"/>
    <cellStyle name="스타일 123" xfId="1533" xr:uid="{00000000-0005-0000-0000-00002B0A0000}"/>
    <cellStyle name="스타일 124" xfId="1534" xr:uid="{00000000-0005-0000-0000-00002C0A0000}"/>
    <cellStyle name="스타일 125" xfId="1535" xr:uid="{00000000-0005-0000-0000-00002D0A0000}"/>
    <cellStyle name="스타일 126" xfId="1536" xr:uid="{00000000-0005-0000-0000-00002E0A0000}"/>
    <cellStyle name="스타일 127" xfId="1537" xr:uid="{00000000-0005-0000-0000-00002F0A0000}"/>
    <cellStyle name="스타일 128" xfId="1538" xr:uid="{00000000-0005-0000-0000-0000300A0000}"/>
    <cellStyle name="스타일 129" xfId="1539" xr:uid="{00000000-0005-0000-0000-0000310A0000}"/>
    <cellStyle name="스타일 13" xfId="1540" xr:uid="{00000000-0005-0000-0000-0000320A0000}"/>
    <cellStyle name="스타일 130" xfId="1541" xr:uid="{00000000-0005-0000-0000-0000330A0000}"/>
    <cellStyle name="스타일 131" xfId="1542" xr:uid="{00000000-0005-0000-0000-0000340A0000}"/>
    <cellStyle name="스타일 132" xfId="1543" xr:uid="{00000000-0005-0000-0000-0000350A0000}"/>
    <cellStyle name="스타일 133" xfId="1544" xr:uid="{00000000-0005-0000-0000-0000360A0000}"/>
    <cellStyle name="스타일 134" xfId="1545" xr:uid="{00000000-0005-0000-0000-0000370A0000}"/>
    <cellStyle name="스타일 135" xfId="1546" xr:uid="{00000000-0005-0000-0000-0000380A0000}"/>
    <cellStyle name="스타일 136" xfId="1547" xr:uid="{00000000-0005-0000-0000-0000390A0000}"/>
    <cellStyle name="스타일 137" xfId="1548" xr:uid="{00000000-0005-0000-0000-00003A0A0000}"/>
    <cellStyle name="스타일 138" xfId="1549" xr:uid="{00000000-0005-0000-0000-00003B0A0000}"/>
    <cellStyle name="스타일 139" xfId="1550" xr:uid="{00000000-0005-0000-0000-00003C0A0000}"/>
    <cellStyle name="스타일 14" xfId="1551" xr:uid="{00000000-0005-0000-0000-00003D0A0000}"/>
    <cellStyle name="스타일 140" xfId="1552" xr:uid="{00000000-0005-0000-0000-00003E0A0000}"/>
    <cellStyle name="스타일 141" xfId="1553" xr:uid="{00000000-0005-0000-0000-00003F0A0000}"/>
    <cellStyle name="스타일 142" xfId="1554" xr:uid="{00000000-0005-0000-0000-0000400A0000}"/>
    <cellStyle name="스타일 143" xfId="1555" xr:uid="{00000000-0005-0000-0000-0000410A0000}"/>
    <cellStyle name="스타일 144" xfId="1556" xr:uid="{00000000-0005-0000-0000-0000420A0000}"/>
    <cellStyle name="스타일 145" xfId="1557" xr:uid="{00000000-0005-0000-0000-0000430A0000}"/>
    <cellStyle name="스타일 146" xfId="1558" xr:uid="{00000000-0005-0000-0000-0000440A0000}"/>
    <cellStyle name="스타일 147" xfId="1559" xr:uid="{00000000-0005-0000-0000-0000450A0000}"/>
    <cellStyle name="스타일 148" xfId="1560" xr:uid="{00000000-0005-0000-0000-0000460A0000}"/>
    <cellStyle name="스타일 149" xfId="1561" xr:uid="{00000000-0005-0000-0000-0000470A0000}"/>
    <cellStyle name="스타일 15" xfId="1562" xr:uid="{00000000-0005-0000-0000-0000480A0000}"/>
    <cellStyle name="스타일 150" xfId="1563" xr:uid="{00000000-0005-0000-0000-0000490A0000}"/>
    <cellStyle name="스타일 151" xfId="1564" xr:uid="{00000000-0005-0000-0000-00004A0A0000}"/>
    <cellStyle name="스타일 152" xfId="1565" xr:uid="{00000000-0005-0000-0000-00004B0A0000}"/>
    <cellStyle name="스타일 153" xfId="1566" xr:uid="{00000000-0005-0000-0000-00004C0A0000}"/>
    <cellStyle name="스타일 154" xfId="1567" xr:uid="{00000000-0005-0000-0000-00004D0A0000}"/>
    <cellStyle name="스타일 155" xfId="1568" xr:uid="{00000000-0005-0000-0000-00004E0A0000}"/>
    <cellStyle name="스타일 156" xfId="1569" xr:uid="{00000000-0005-0000-0000-00004F0A0000}"/>
    <cellStyle name="스타일 157" xfId="1570" xr:uid="{00000000-0005-0000-0000-0000500A0000}"/>
    <cellStyle name="스타일 158" xfId="1571" xr:uid="{00000000-0005-0000-0000-0000510A0000}"/>
    <cellStyle name="스타일 159" xfId="1572" xr:uid="{00000000-0005-0000-0000-0000520A0000}"/>
    <cellStyle name="스타일 16" xfId="1573" xr:uid="{00000000-0005-0000-0000-0000530A0000}"/>
    <cellStyle name="스타일 160" xfId="1574" xr:uid="{00000000-0005-0000-0000-0000540A0000}"/>
    <cellStyle name="스타일 161" xfId="1575" xr:uid="{00000000-0005-0000-0000-0000550A0000}"/>
    <cellStyle name="스타일 162" xfId="1576" xr:uid="{00000000-0005-0000-0000-0000560A0000}"/>
    <cellStyle name="스타일 163" xfId="1577" xr:uid="{00000000-0005-0000-0000-0000570A0000}"/>
    <cellStyle name="스타일 164" xfId="1578" xr:uid="{00000000-0005-0000-0000-0000580A0000}"/>
    <cellStyle name="스타일 165" xfId="1579" xr:uid="{00000000-0005-0000-0000-0000590A0000}"/>
    <cellStyle name="스타일 166" xfId="1580" xr:uid="{00000000-0005-0000-0000-00005A0A0000}"/>
    <cellStyle name="스타일 167" xfId="1581" xr:uid="{00000000-0005-0000-0000-00005B0A0000}"/>
    <cellStyle name="스타일 168" xfId="1582" xr:uid="{00000000-0005-0000-0000-00005C0A0000}"/>
    <cellStyle name="스타일 169" xfId="1583" xr:uid="{00000000-0005-0000-0000-00005D0A0000}"/>
    <cellStyle name="스타일 17" xfId="1584" xr:uid="{00000000-0005-0000-0000-00005E0A0000}"/>
    <cellStyle name="스타일 170" xfId="1585" xr:uid="{00000000-0005-0000-0000-00005F0A0000}"/>
    <cellStyle name="스타일 171" xfId="1586" xr:uid="{00000000-0005-0000-0000-0000600A0000}"/>
    <cellStyle name="스타일 172" xfId="1587" xr:uid="{00000000-0005-0000-0000-0000610A0000}"/>
    <cellStyle name="스타일 173" xfId="1588" xr:uid="{00000000-0005-0000-0000-0000620A0000}"/>
    <cellStyle name="스타일 174" xfId="1589" xr:uid="{00000000-0005-0000-0000-0000630A0000}"/>
    <cellStyle name="스타일 175" xfId="1590" xr:uid="{00000000-0005-0000-0000-0000640A0000}"/>
    <cellStyle name="스타일 176" xfId="1591" xr:uid="{00000000-0005-0000-0000-0000650A0000}"/>
    <cellStyle name="스타일 177" xfId="1592" xr:uid="{00000000-0005-0000-0000-0000660A0000}"/>
    <cellStyle name="스타일 178" xfId="1593" xr:uid="{00000000-0005-0000-0000-0000670A0000}"/>
    <cellStyle name="스타일 179" xfId="1594" xr:uid="{00000000-0005-0000-0000-0000680A0000}"/>
    <cellStyle name="스타일 18" xfId="1595" xr:uid="{00000000-0005-0000-0000-0000690A0000}"/>
    <cellStyle name="스타일 180" xfId="1596" xr:uid="{00000000-0005-0000-0000-00006A0A0000}"/>
    <cellStyle name="스타일 181" xfId="1597" xr:uid="{00000000-0005-0000-0000-00006B0A0000}"/>
    <cellStyle name="스타일 182" xfId="1598" xr:uid="{00000000-0005-0000-0000-00006C0A0000}"/>
    <cellStyle name="스타일 183" xfId="1599" xr:uid="{00000000-0005-0000-0000-00006D0A0000}"/>
    <cellStyle name="스타일 184" xfId="1600" xr:uid="{00000000-0005-0000-0000-00006E0A0000}"/>
    <cellStyle name="스타일 185" xfId="1601" xr:uid="{00000000-0005-0000-0000-00006F0A0000}"/>
    <cellStyle name="스타일 186" xfId="1602" xr:uid="{00000000-0005-0000-0000-0000700A0000}"/>
    <cellStyle name="스타일 187" xfId="1603" xr:uid="{00000000-0005-0000-0000-0000710A0000}"/>
    <cellStyle name="스타일 188" xfId="1604" xr:uid="{00000000-0005-0000-0000-0000720A0000}"/>
    <cellStyle name="스타일 189" xfId="1605" xr:uid="{00000000-0005-0000-0000-0000730A0000}"/>
    <cellStyle name="스타일 19" xfId="1606" xr:uid="{00000000-0005-0000-0000-0000740A0000}"/>
    <cellStyle name="스타일 190" xfId="1607" xr:uid="{00000000-0005-0000-0000-0000750A0000}"/>
    <cellStyle name="스타일 191" xfId="1608" xr:uid="{00000000-0005-0000-0000-0000760A0000}"/>
    <cellStyle name="스타일 192" xfId="1609" xr:uid="{00000000-0005-0000-0000-0000770A0000}"/>
    <cellStyle name="스타일 193" xfId="1610" xr:uid="{00000000-0005-0000-0000-0000780A0000}"/>
    <cellStyle name="스타일 194" xfId="1611" xr:uid="{00000000-0005-0000-0000-0000790A0000}"/>
    <cellStyle name="스타일 195" xfId="1612" xr:uid="{00000000-0005-0000-0000-00007A0A0000}"/>
    <cellStyle name="스타일 196" xfId="1613" xr:uid="{00000000-0005-0000-0000-00007B0A0000}"/>
    <cellStyle name="스타일 197" xfId="1614" xr:uid="{00000000-0005-0000-0000-00007C0A0000}"/>
    <cellStyle name="스타일 198" xfId="1615" xr:uid="{00000000-0005-0000-0000-00007D0A0000}"/>
    <cellStyle name="스타일 199" xfId="1616" xr:uid="{00000000-0005-0000-0000-00007E0A0000}"/>
    <cellStyle name="스타일 2" xfId="1617" xr:uid="{00000000-0005-0000-0000-00007F0A0000}"/>
    <cellStyle name="스타일 20" xfId="1618" xr:uid="{00000000-0005-0000-0000-0000800A0000}"/>
    <cellStyle name="스타일 200" xfId="1619" xr:uid="{00000000-0005-0000-0000-0000810A0000}"/>
    <cellStyle name="스타일 201" xfId="1620" xr:uid="{00000000-0005-0000-0000-0000820A0000}"/>
    <cellStyle name="스타일 202" xfId="1621" xr:uid="{00000000-0005-0000-0000-0000830A0000}"/>
    <cellStyle name="스타일 203" xfId="1622" xr:uid="{00000000-0005-0000-0000-0000840A0000}"/>
    <cellStyle name="스타일 204" xfId="1623" xr:uid="{00000000-0005-0000-0000-0000850A0000}"/>
    <cellStyle name="스타일 205" xfId="1624" xr:uid="{00000000-0005-0000-0000-0000860A0000}"/>
    <cellStyle name="스타일 206" xfId="1625" xr:uid="{00000000-0005-0000-0000-0000870A0000}"/>
    <cellStyle name="스타일 207" xfId="1626" xr:uid="{00000000-0005-0000-0000-0000880A0000}"/>
    <cellStyle name="스타일 208" xfId="1627" xr:uid="{00000000-0005-0000-0000-0000890A0000}"/>
    <cellStyle name="스타일 209" xfId="1628" xr:uid="{00000000-0005-0000-0000-00008A0A0000}"/>
    <cellStyle name="스타일 21" xfId="1629" xr:uid="{00000000-0005-0000-0000-00008B0A0000}"/>
    <cellStyle name="스타일 210" xfId="1630" xr:uid="{00000000-0005-0000-0000-00008C0A0000}"/>
    <cellStyle name="스타일 211" xfId="1631" xr:uid="{00000000-0005-0000-0000-00008D0A0000}"/>
    <cellStyle name="스타일 212" xfId="1632" xr:uid="{00000000-0005-0000-0000-00008E0A0000}"/>
    <cellStyle name="스타일 213" xfId="1633" xr:uid="{00000000-0005-0000-0000-00008F0A0000}"/>
    <cellStyle name="스타일 214" xfId="1634" xr:uid="{00000000-0005-0000-0000-0000900A0000}"/>
    <cellStyle name="스타일 215" xfId="1635" xr:uid="{00000000-0005-0000-0000-0000910A0000}"/>
    <cellStyle name="스타일 216" xfId="1636" xr:uid="{00000000-0005-0000-0000-0000920A0000}"/>
    <cellStyle name="스타일 217" xfId="1637" xr:uid="{00000000-0005-0000-0000-0000930A0000}"/>
    <cellStyle name="스타일 218" xfId="1638" xr:uid="{00000000-0005-0000-0000-0000940A0000}"/>
    <cellStyle name="스타일 219" xfId="1639" xr:uid="{00000000-0005-0000-0000-0000950A0000}"/>
    <cellStyle name="스타일 22" xfId="1640" xr:uid="{00000000-0005-0000-0000-0000960A0000}"/>
    <cellStyle name="스타일 220" xfId="1641" xr:uid="{00000000-0005-0000-0000-0000970A0000}"/>
    <cellStyle name="스타일 221" xfId="1642" xr:uid="{00000000-0005-0000-0000-0000980A0000}"/>
    <cellStyle name="스타일 222" xfId="1643" xr:uid="{00000000-0005-0000-0000-0000990A0000}"/>
    <cellStyle name="스타일 223" xfId="1644" xr:uid="{00000000-0005-0000-0000-00009A0A0000}"/>
    <cellStyle name="스타일 224" xfId="1645" xr:uid="{00000000-0005-0000-0000-00009B0A0000}"/>
    <cellStyle name="스타일 225" xfId="1646" xr:uid="{00000000-0005-0000-0000-00009C0A0000}"/>
    <cellStyle name="스타일 226" xfId="1647" xr:uid="{00000000-0005-0000-0000-00009D0A0000}"/>
    <cellStyle name="스타일 227" xfId="1648" xr:uid="{00000000-0005-0000-0000-00009E0A0000}"/>
    <cellStyle name="스타일 228" xfId="1649" xr:uid="{00000000-0005-0000-0000-00009F0A0000}"/>
    <cellStyle name="스타일 229" xfId="1650" xr:uid="{00000000-0005-0000-0000-0000A00A0000}"/>
    <cellStyle name="스타일 23" xfId="1651" xr:uid="{00000000-0005-0000-0000-0000A10A0000}"/>
    <cellStyle name="스타일 230" xfId="1652" xr:uid="{00000000-0005-0000-0000-0000A20A0000}"/>
    <cellStyle name="스타일 231" xfId="1653" xr:uid="{00000000-0005-0000-0000-0000A30A0000}"/>
    <cellStyle name="스타일 232" xfId="1654" xr:uid="{00000000-0005-0000-0000-0000A40A0000}"/>
    <cellStyle name="스타일 233" xfId="1655" xr:uid="{00000000-0005-0000-0000-0000A50A0000}"/>
    <cellStyle name="스타일 234" xfId="1656" xr:uid="{00000000-0005-0000-0000-0000A60A0000}"/>
    <cellStyle name="스타일 235" xfId="1657" xr:uid="{00000000-0005-0000-0000-0000A70A0000}"/>
    <cellStyle name="스타일 236" xfId="1658" xr:uid="{00000000-0005-0000-0000-0000A80A0000}"/>
    <cellStyle name="스타일 237" xfId="1659" xr:uid="{00000000-0005-0000-0000-0000A90A0000}"/>
    <cellStyle name="스타일 238" xfId="1660" xr:uid="{00000000-0005-0000-0000-0000AA0A0000}"/>
    <cellStyle name="스타일 239" xfId="1661" xr:uid="{00000000-0005-0000-0000-0000AB0A0000}"/>
    <cellStyle name="스타일 24" xfId="1662" xr:uid="{00000000-0005-0000-0000-0000AC0A0000}"/>
    <cellStyle name="스타일 240" xfId="1663" xr:uid="{00000000-0005-0000-0000-0000AD0A0000}"/>
    <cellStyle name="스타일 241" xfId="1664" xr:uid="{00000000-0005-0000-0000-0000AE0A0000}"/>
    <cellStyle name="스타일 242" xfId="1665" xr:uid="{00000000-0005-0000-0000-0000AF0A0000}"/>
    <cellStyle name="스타일 243" xfId="1666" xr:uid="{00000000-0005-0000-0000-0000B00A0000}"/>
    <cellStyle name="스타일 244" xfId="1667" xr:uid="{00000000-0005-0000-0000-0000B10A0000}"/>
    <cellStyle name="스타일 245" xfId="1668" xr:uid="{00000000-0005-0000-0000-0000B20A0000}"/>
    <cellStyle name="스타일 246" xfId="1669" xr:uid="{00000000-0005-0000-0000-0000B30A0000}"/>
    <cellStyle name="스타일 247" xfId="1670" xr:uid="{00000000-0005-0000-0000-0000B40A0000}"/>
    <cellStyle name="스타일 248" xfId="1671" xr:uid="{00000000-0005-0000-0000-0000B50A0000}"/>
    <cellStyle name="스타일 249" xfId="1672" xr:uid="{00000000-0005-0000-0000-0000B60A0000}"/>
    <cellStyle name="스타일 25" xfId="1673" xr:uid="{00000000-0005-0000-0000-0000B70A0000}"/>
    <cellStyle name="스타일 250" xfId="1674" xr:uid="{00000000-0005-0000-0000-0000B80A0000}"/>
    <cellStyle name="스타일 251" xfId="1675" xr:uid="{00000000-0005-0000-0000-0000B90A0000}"/>
    <cellStyle name="스타일 252" xfId="1676" xr:uid="{00000000-0005-0000-0000-0000BA0A0000}"/>
    <cellStyle name="스타일 253" xfId="1677" xr:uid="{00000000-0005-0000-0000-0000BB0A0000}"/>
    <cellStyle name="스타일 254" xfId="1678" xr:uid="{00000000-0005-0000-0000-0000BC0A0000}"/>
    <cellStyle name="스타일 255" xfId="1679" xr:uid="{00000000-0005-0000-0000-0000BD0A0000}"/>
    <cellStyle name="스타일 256" xfId="1680" xr:uid="{00000000-0005-0000-0000-0000BE0A0000}"/>
    <cellStyle name="스타일 257" xfId="1681" xr:uid="{00000000-0005-0000-0000-0000BF0A0000}"/>
    <cellStyle name="스타일 258" xfId="1682" xr:uid="{00000000-0005-0000-0000-0000C00A0000}"/>
    <cellStyle name="스타일 259" xfId="1683" xr:uid="{00000000-0005-0000-0000-0000C10A0000}"/>
    <cellStyle name="스타일 26" xfId="1684" xr:uid="{00000000-0005-0000-0000-0000C20A0000}"/>
    <cellStyle name="스타일 260" xfId="1685" xr:uid="{00000000-0005-0000-0000-0000C30A0000}"/>
    <cellStyle name="스타일 261" xfId="1686" xr:uid="{00000000-0005-0000-0000-0000C40A0000}"/>
    <cellStyle name="스타일 262" xfId="1687" xr:uid="{00000000-0005-0000-0000-0000C50A0000}"/>
    <cellStyle name="스타일 263" xfId="1688" xr:uid="{00000000-0005-0000-0000-0000C60A0000}"/>
    <cellStyle name="스타일 264" xfId="1689" xr:uid="{00000000-0005-0000-0000-0000C70A0000}"/>
    <cellStyle name="스타일 265" xfId="1690" xr:uid="{00000000-0005-0000-0000-0000C80A0000}"/>
    <cellStyle name="스타일 266" xfId="1691" xr:uid="{00000000-0005-0000-0000-0000C90A0000}"/>
    <cellStyle name="스타일 267" xfId="1692" xr:uid="{00000000-0005-0000-0000-0000CA0A0000}"/>
    <cellStyle name="스타일 268" xfId="1693" xr:uid="{00000000-0005-0000-0000-0000CB0A0000}"/>
    <cellStyle name="스타일 269" xfId="1694" xr:uid="{00000000-0005-0000-0000-0000CC0A0000}"/>
    <cellStyle name="스타일 27" xfId="1695" xr:uid="{00000000-0005-0000-0000-0000CD0A0000}"/>
    <cellStyle name="스타일 270" xfId="1696" xr:uid="{00000000-0005-0000-0000-0000CE0A0000}"/>
    <cellStyle name="스타일 271" xfId="1697" xr:uid="{00000000-0005-0000-0000-0000CF0A0000}"/>
    <cellStyle name="스타일 272" xfId="1698" xr:uid="{00000000-0005-0000-0000-0000D00A0000}"/>
    <cellStyle name="스타일 273" xfId="1699" xr:uid="{00000000-0005-0000-0000-0000D10A0000}"/>
    <cellStyle name="스타일 274" xfId="1700" xr:uid="{00000000-0005-0000-0000-0000D20A0000}"/>
    <cellStyle name="스타일 275" xfId="1701" xr:uid="{00000000-0005-0000-0000-0000D30A0000}"/>
    <cellStyle name="스타일 276" xfId="1702" xr:uid="{00000000-0005-0000-0000-0000D40A0000}"/>
    <cellStyle name="스타일 277" xfId="1703" xr:uid="{00000000-0005-0000-0000-0000D50A0000}"/>
    <cellStyle name="스타일 278" xfId="1704" xr:uid="{00000000-0005-0000-0000-0000D60A0000}"/>
    <cellStyle name="스타일 279" xfId="1705" xr:uid="{00000000-0005-0000-0000-0000D70A0000}"/>
    <cellStyle name="스타일 28" xfId="1706" xr:uid="{00000000-0005-0000-0000-0000D80A0000}"/>
    <cellStyle name="스타일 280" xfId="1707" xr:uid="{00000000-0005-0000-0000-0000D90A0000}"/>
    <cellStyle name="스타일 281" xfId="1708" xr:uid="{00000000-0005-0000-0000-0000DA0A0000}"/>
    <cellStyle name="스타일 282" xfId="1709" xr:uid="{00000000-0005-0000-0000-0000DB0A0000}"/>
    <cellStyle name="스타일 283" xfId="1710" xr:uid="{00000000-0005-0000-0000-0000DC0A0000}"/>
    <cellStyle name="스타일 284" xfId="1711" xr:uid="{00000000-0005-0000-0000-0000DD0A0000}"/>
    <cellStyle name="스타일 285" xfId="1712" xr:uid="{00000000-0005-0000-0000-0000DE0A0000}"/>
    <cellStyle name="스타일 286" xfId="1713" xr:uid="{00000000-0005-0000-0000-0000DF0A0000}"/>
    <cellStyle name="스타일 287" xfId="1714" xr:uid="{00000000-0005-0000-0000-0000E00A0000}"/>
    <cellStyle name="스타일 288" xfId="1715" xr:uid="{00000000-0005-0000-0000-0000E10A0000}"/>
    <cellStyle name="스타일 289" xfId="1716" xr:uid="{00000000-0005-0000-0000-0000E20A0000}"/>
    <cellStyle name="스타일 29" xfId="1717" xr:uid="{00000000-0005-0000-0000-0000E30A0000}"/>
    <cellStyle name="스타일 290" xfId="1718" xr:uid="{00000000-0005-0000-0000-0000E40A0000}"/>
    <cellStyle name="스타일 291" xfId="1719" xr:uid="{00000000-0005-0000-0000-0000E50A0000}"/>
    <cellStyle name="스타일 292" xfId="1720" xr:uid="{00000000-0005-0000-0000-0000E60A0000}"/>
    <cellStyle name="스타일 293" xfId="1721" xr:uid="{00000000-0005-0000-0000-0000E70A0000}"/>
    <cellStyle name="스타일 294" xfId="1722" xr:uid="{00000000-0005-0000-0000-0000E80A0000}"/>
    <cellStyle name="스타일 295" xfId="1723" xr:uid="{00000000-0005-0000-0000-0000E90A0000}"/>
    <cellStyle name="스타일 296" xfId="1724" xr:uid="{00000000-0005-0000-0000-0000EA0A0000}"/>
    <cellStyle name="스타일 297" xfId="1725" xr:uid="{00000000-0005-0000-0000-0000EB0A0000}"/>
    <cellStyle name="스타일 298" xfId="1726" xr:uid="{00000000-0005-0000-0000-0000EC0A0000}"/>
    <cellStyle name="스타일 299" xfId="1727" xr:uid="{00000000-0005-0000-0000-0000ED0A0000}"/>
    <cellStyle name="스타일 3" xfId="1728" xr:uid="{00000000-0005-0000-0000-0000EE0A0000}"/>
    <cellStyle name="스타일 30" xfId="1729" xr:uid="{00000000-0005-0000-0000-0000EF0A0000}"/>
    <cellStyle name="스타일 300" xfId="1730" xr:uid="{00000000-0005-0000-0000-0000F00A0000}"/>
    <cellStyle name="스타일 301" xfId="1731" xr:uid="{00000000-0005-0000-0000-0000F10A0000}"/>
    <cellStyle name="스타일 302" xfId="1732" xr:uid="{00000000-0005-0000-0000-0000F20A0000}"/>
    <cellStyle name="스타일 303" xfId="1733" xr:uid="{00000000-0005-0000-0000-0000F30A0000}"/>
    <cellStyle name="스타일 304" xfId="1734" xr:uid="{00000000-0005-0000-0000-0000F40A0000}"/>
    <cellStyle name="스타일 305" xfId="1735" xr:uid="{00000000-0005-0000-0000-0000F50A0000}"/>
    <cellStyle name="스타일 306" xfId="1736" xr:uid="{00000000-0005-0000-0000-0000F60A0000}"/>
    <cellStyle name="스타일 307" xfId="1737" xr:uid="{00000000-0005-0000-0000-0000F70A0000}"/>
    <cellStyle name="스타일 308" xfId="1738" xr:uid="{00000000-0005-0000-0000-0000F80A0000}"/>
    <cellStyle name="스타일 309" xfId="1739" xr:uid="{00000000-0005-0000-0000-0000F90A0000}"/>
    <cellStyle name="스타일 31" xfId="1740" xr:uid="{00000000-0005-0000-0000-0000FA0A0000}"/>
    <cellStyle name="스타일 310" xfId="1741" xr:uid="{00000000-0005-0000-0000-0000FB0A0000}"/>
    <cellStyle name="스타일 311" xfId="1742" xr:uid="{00000000-0005-0000-0000-0000FC0A0000}"/>
    <cellStyle name="스타일 312" xfId="1743" xr:uid="{00000000-0005-0000-0000-0000FD0A0000}"/>
    <cellStyle name="스타일 313" xfId="1744" xr:uid="{00000000-0005-0000-0000-0000FE0A0000}"/>
    <cellStyle name="스타일 314" xfId="1745" xr:uid="{00000000-0005-0000-0000-0000FF0A0000}"/>
    <cellStyle name="스타일 315" xfId="1746" xr:uid="{00000000-0005-0000-0000-0000000B0000}"/>
    <cellStyle name="스타일 316" xfId="1747" xr:uid="{00000000-0005-0000-0000-0000010B0000}"/>
    <cellStyle name="스타일 317" xfId="1748" xr:uid="{00000000-0005-0000-0000-0000020B0000}"/>
    <cellStyle name="스타일 318" xfId="1749" xr:uid="{00000000-0005-0000-0000-0000030B0000}"/>
    <cellStyle name="스타일 319" xfId="1750" xr:uid="{00000000-0005-0000-0000-0000040B0000}"/>
    <cellStyle name="스타일 32" xfId="1751" xr:uid="{00000000-0005-0000-0000-0000050B0000}"/>
    <cellStyle name="스타일 320" xfId="1752" xr:uid="{00000000-0005-0000-0000-0000060B0000}"/>
    <cellStyle name="스타일 321" xfId="1753" xr:uid="{00000000-0005-0000-0000-0000070B0000}"/>
    <cellStyle name="스타일 322" xfId="1754" xr:uid="{00000000-0005-0000-0000-0000080B0000}"/>
    <cellStyle name="스타일 323" xfId="1755" xr:uid="{00000000-0005-0000-0000-0000090B0000}"/>
    <cellStyle name="스타일 324" xfId="1756" xr:uid="{00000000-0005-0000-0000-00000A0B0000}"/>
    <cellStyle name="스타일 325" xfId="1757" xr:uid="{00000000-0005-0000-0000-00000B0B0000}"/>
    <cellStyle name="스타일 326" xfId="1758" xr:uid="{00000000-0005-0000-0000-00000C0B0000}"/>
    <cellStyle name="스타일 327" xfId="1759" xr:uid="{00000000-0005-0000-0000-00000D0B0000}"/>
    <cellStyle name="스타일 328" xfId="1760" xr:uid="{00000000-0005-0000-0000-00000E0B0000}"/>
    <cellStyle name="스타일 329" xfId="1761" xr:uid="{00000000-0005-0000-0000-00000F0B0000}"/>
    <cellStyle name="스타일 33" xfId="1762" xr:uid="{00000000-0005-0000-0000-0000100B0000}"/>
    <cellStyle name="스타일 330" xfId="1763" xr:uid="{00000000-0005-0000-0000-0000110B0000}"/>
    <cellStyle name="스타일 331" xfId="1764" xr:uid="{00000000-0005-0000-0000-0000120B0000}"/>
    <cellStyle name="스타일 332" xfId="1765" xr:uid="{00000000-0005-0000-0000-0000130B0000}"/>
    <cellStyle name="스타일 333" xfId="1766" xr:uid="{00000000-0005-0000-0000-0000140B0000}"/>
    <cellStyle name="스타일 334" xfId="1767" xr:uid="{00000000-0005-0000-0000-0000150B0000}"/>
    <cellStyle name="스타일 335" xfId="1768" xr:uid="{00000000-0005-0000-0000-0000160B0000}"/>
    <cellStyle name="스타일 336" xfId="1769" xr:uid="{00000000-0005-0000-0000-0000170B0000}"/>
    <cellStyle name="스타일 337" xfId="1770" xr:uid="{00000000-0005-0000-0000-0000180B0000}"/>
    <cellStyle name="스타일 338" xfId="1771" xr:uid="{00000000-0005-0000-0000-0000190B0000}"/>
    <cellStyle name="스타일 339" xfId="1772" xr:uid="{00000000-0005-0000-0000-00001A0B0000}"/>
    <cellStyle name="스타일 34" xfId="1773" xr:uid="{00000000-0005-0000-0000-00001B0B0000}"/>
    <cellStyle name="스타일 340" xfId="1774" xr:uid="{00000000-0005-0000-0000-00001C0B0000}"/>
    <cellStyle name="스타일 341" xfId="1775" xr:uid="{00000000-0005-0000-0000-00001D0B0000}"/>
    <cellStyle name="스타일 342" xfId="1776" xr:uid="{00000000-0005-0000-0000-00001E0B0000}"/>
    <cellStyle name="스타일 343" xfId="1777" xr:uid="{00000000-0005-0000-0000-00001F0B0000}"/>
    <cellStyle name="스타일 344" xfId="1778" xr:uid="{00000000-0005-0000-0000-0000200B0000}"/>
    <cellStyle name="스타일 345" xfId="1779" xr:uid="{00000000-0005-0000-0000-0000210B0000}"/>
    <cellStyle name="스타일 346" xfId="1780" xr:uid="{00000000-0005-0000-0000-0000220B0000}"/>
    <cellStyle name="스타일 347" xfId="1781" xr:uid="{00000000-0005-0000-0000-0000230B0000}"/>
    <cellStyle name="스타일 348" xfId="1782" xr:uid="{00000000-0005-0000-0000-0000240B0000}"/>
    <cellStyle name="스타일 349" xfId="1783" xr:uid="{00000000-0005-0000-0000-0000250B0000}"/>
    <cellStyle name="스타일 35" xfId="1784" xr:uid="{00000000-0005-0000-0000-0000260B0000}"/>
    <cellStyle name="스타일 350" xfId="1785" xr:uid="{00000000-0005-0000-0000-0000270B0000}"/>
    <cellStyle name="스타일 351" xfId="1786" xr:uid="{00000000-0005-0000-0000-0000280B0000}"/>
    <cellStyle name="스타일 352" xfId="1787" xr:uid="{00000000-0005-0000-0000-0000290B0000}"/>
    <cellStyle name="스타일 353" xfId="1788" xr:uid="{00000000-0005-0000-0000-00002A0B0000}"/>
    <cellStyle name="스타일 354" xfId="1789" xr:uid="{00000000-0005-0000-0000-00002B0B0000}"/>
    <cellStyle name="스타일 355" xfId="1790" xr:uid="{00000000-0005-0000-0000-00002C0B0000}"/>
    <cellStyle name="스타일 356" xfId="1791" xr:uid="{00000000-0005-0000-0000-00002D0B0000}"/>
    <cellStyle name="스타일 357" xfId="1792" xr:uid="{00000000-0005-0000-0000-00002E0B0000}"/>
    <cellStyle name="스타일 358" xfId="1793" xr:uid="{00000000-0005-0000-0000-00002F0B0000}"/>
    <cellStyle name="스타일 359" xfId="1794" xr:uid="{00000000-0005-0000-0000-0000300B0000}"/>
    <cellStyle name="스타일 36" xfId="1795" xr:uid="{00000000-0005-0000-0000-0000310B0000}"/>
    <cellStyle name="스타일 360" xfId="1796" xr:uid="{00000000-0005-0000-0000-0000320B0000}"/>
    <cellStyle name="스타일 361" xfId="1797" xr:uid="{00000000-0005-0000-0000-0000330B0000}"/>
    <cellStyle name="스타일 362" xfId="1798" xr:uid="{00000000-0005-0000-0000-0000340B0000}"/>
    <cellStyle name="스타일 363" xfId="1799" xr:uid="{00000000-0005-0000-0000-0000350B0000}"/>
    <cellStyle name="스타일 364" xfId="1800" xr:uid="{00000000-0005-0000-0000-0000360B0000}"/>
    <cellStyle name="스타일 365" xfId="1801" xr:uid="{00000000-0005-0000-0000-0000370B0000}"/>
    <cellStyle name="스타일 366" xfId="1802" xr:uid="{00000000-0005-0000-0000-0000380B0000}"/>
    <cellStyle name="스타일 367" xfId="1803" xr:uid="{00000000-0005-0000-0000-0000390B0000}"/>
    <cellStyle name="스타일 368" xfId="1804" xr:uid="{00000000-0005-0000-0000-00003A0B0000}"/>
    <cellStyle name="스타일 369" xfId="1805" xr:uid="{00000000-0005-0000-0000-00003B0B0000}"/>
    <cellStyle name="스타일 37" xfId="1806" xr:uid="{00000000-0005-0000-0000-00003C0B0000}"/>
    <cellStyle name="스타일 370" xfId="1807" xr:uid="{00000000-0005-0000-0000-00003D0B0000}"/>
    <cellStyle name="스타일 371" xfId="1808" xr:uid="{00000000-0005-0000-0000-00003E0B0000}"/>
    <cellStyle name="스타일 372" xfId="1809" xr:uid="{00000000-0005-0000-0000-00003F0B0000}"/>
    <cellStyle name="스타일 373" xfId="1810" xr:uid="{00000000-0005-0000-0000-0000400B0000}"/>
    <cellStyle name="스타일 374" xfId="1811" xr:uid="{00000000-0005-0000-0000-0000410B0000}"/>
    <cellStyle name="스타일 375" xfId="1812" xr:uid="{00000000-0005-0000-0000-0000420B0000}"/>
    <cellStyle name="스타일 376" xfId="1813" xr:uid="{00000000-0005-0000-0000-0000430B0000}"/>
    <cellStyle name="스타일 377" xfId="1814" xr:uid="{00000000-0005-0000-0000-0000440B0000}"/>
    <cellStyle name="스타일 378" xfId="1815" xr:uid="{00000000-0005-0000-0000-0000450B0000}"/>
    <cellStyle name="스타일 379" xfId="1816" xr:uid="{00000000-0005-0000-0000-0000460B0000}"/>
    <cellStyle name="스타일 38" xfId="1817" xr:uid="{00000000-0005-0000-0000-0000470B0000}"/>
    <cellStyle name="스타일 380" xfId="1818" xr:uid="{00000000-0005-0000-0000-0000480B0000}"/>
    <cellStyle name="스타일 381" xfId="1819" xr:uid="{00000000-0005-0000-0000-0000490B0000}"/>
    <cellStyle name="스타일 382" xfId="1820" xr:uid="{00000000-0005-0000-0000-00004A0B0000}"/>
    <cellStyle name="스타일 383" xfId="1821" xr:uid="{00000000-0005-0000-0000-00004B0B0000}"/>
    <cellStyle name="스타일 384" xfId="1822" xr:uid="{00000000-0005-0000-0000-00004C0B0000}"/>
    <cellStyle name="스타일 385" xfId="1823" xr:uid="{00000000-0005-0000-0000-00004D0B0000}"/>
    <cellStyle name="스타일 386" xfId="1824" xr:uid="{00000000-0005-0000-0000-00004E0B0000}"/>
    <cellStyle name="스타일 387" xfId="1825" xr:uid="{00000000-0005-0000-0000-00004F0B0000}"/>
    <cellStyle name="스타일 388" xfId="1826" xr:uid="{00000000-0005-0000-0000-0000500B0000}"/>
    <cellStyle name="스타일 389" xfId="1827" xr:uid="{00000000-0005-0000-0000-0000510B0000}"/>
    <cellStyle name="스타일 39" xfId="1828" xr:uid="{00000000-0005-0000-0000-0000520B0000}"/>
    <cellStyle name="스타일 390" xfId="1829" xr:uid="{00000000-0005-0000-0000-0000530B0000}"/>
    <cellStyle name="스타일 391" xfId="1830" xr:uid="{00000000-0005-0000-0000-0000540B0000}"/>
    <cellStyle name="스타일 392" xfId="1831" xr:uid="{00000000-0005-0000-0000-0000550B0000}"/>
    <cellStyle name="스타일 393" xfId="1832" xr:uid="{00000000-0005-0000-0000-0000560B0000}"/>
    <cellStyle name="스타일 394" xfId="1833" xr:uid="{00000000-0005-0000-0000-0000570B0000}"/>
    <cellStyle name="스타일 395" xfId="1834" xr:uid="{00000000-0005-0000-0000-0000580B0000}"/>
    <cellStyle name="스타일 396" xfId="1835" xr:uid="{00000000-0005-0000-0000-0000590B0000}"/>
    <cellStyle name="스타일 397" xfId="1836" xr:uid="{00000000-0005-0000-0000-00005A0B0000}"/>
    <cellStyle name="스타일 398" xfId="1837" xr:uid="{00000000-0005-0000-0000-00005B0B0000}"/>
    <cellStyle name="스타일 399" xfId="1838" xr:uid="{00000000-0005-0000-0000-00005C0B0000}"/>
    <cellStyle name="스타일 4" xfId="1839" xr:uid="{00000000-0005-0000-0000-00005D0B0000}"/>
    <cellStyle name="스타일 40" xfId="1840" xr:uid="{00000000-0005-0000-0000-00005E0B0000}"/>
    <cellStyle name="스타일 400" xfId="1841" xr:uid="{00000000-0005-0000-0000-00005F0B0000}"/>
    <cellStyle name="스타일 401" xfId="1842" xr:uid="{00000000-0005-0000-0000-0000600B0000}"/>
    <cellStyle name="스타일 402" xfId="1843" xr:uid="{00000000-0005-0000-0000-0000610B0000}"/>
    <cellStyle name="스타일 403" xfId="1844" xr:uid="{00000000-0005-0000-0000-0000620B0000}"/>
    <cellStyle name="스타일 404" xfId="1845" xr:uid="{00000000-0005-0000-0000-0000630B0000}"/>
    <cellStyle name="스타일 405" xfId="1846" xr:uid="{00000000-0005-0000-0000-0000640B0000}"/>
    <cellStyle name="스타일 406" xfId="1847" xr:uid="{00000000-0005-0000-0000-0000650B0000}"/>
    <cellStyle name="스타일 407" xfId="1848" xr:uid="{00000000-0005-0000-0000-0000660B0000}"/>
    <cellStyle name="스타일 408" xfId="1849" xr:uid="{00000000-0005-0000-0000-0000670B0000}"/>
    <cellStyle name="스타일 409" xfId="1850" xr:uid="{00000000-0005-0000-0000-0000680B0000}"/>
    <cellStyle name="스타일 41" xfId="1851" xr:uid="{00000000-0005-0000-0000-0000690B0000}"/>
    <cellStyle name="스타일 410" xfId="1852" xr:uid="{00000000-0005-0000-0000-00006A0B0000}"/>
    <cellStyle name="스타일 411" xfId="1853" xr:uid="{00000000-0005-0000-0000-00006B0B0000}"/>
    <cellStyle name="스타일 412" xfId="1854" xr:uid="{00000000-0005-0000-0000-00006C0B0000}"/>
    <cellStyle name="스타일 413" xfId="1855" xr:uid="{00000000-0005-0000-0000-00006D0B0000}"/>
    <cellStyle name="스타일 414" xfId="1856" xr:uid="{00000000-0005-0000-0000-00006E0B0000}"/>
    <cellStyle name="스타일 415" xfId="1857" xr:uid="{00000000-0005-0000-0000-00006F0B0000}"/>
    <cellStyle name="스타일 416" xfId="1858" xr:uid="{00000000-0005-0000-0000-0000700B0000}"/>
    <cellStyle name="스타일 417" xfId="1859" xr:uid="{00000000-0005-0000-0000-0000710B0000}"/>
    <cellStyle name="스타일 418" xfId="1860" xr:uid="{00000000-0005-0000-0000-0000720B0000}"/>
    <cellStyle name="스타일 419" xfId="1861" xr:uid="{00000000-0005-0000-0000-0000730B0000}"/>
    <cellStyle name="스타일 42" xfId="1862" xr:uid="{00000000-0005-0000-0000-0000740B0000}"/>
    <cellStyle name="스타일 420" xfId="1863" xr:uid="{00000000-0005-0000-0000-0000750B0000}"/>
    <cellStyle name="스타일 421" xfId="1864" xr:uid="{00000000-0005-0000-0000-0000760B0000}"/>
    <cellStyle name="스타일 422" xfId="1865" xr:uid="{00000000-0005-0000-0000-0000770B0000}"/>
    <cellStyle name="스타일 423" xfId="1866" xr:uid="{00000000-0005-0000-0000-0000780B0000}"/>
    <cellStyle name="스타일 424" xfId="1867" xr:uid="{00000000-0005-0000-0000-0000790B0000}"/>
    <cellStyle name="스타일 425" xfId="1868" xr:uid="{00000000-0005-0000-0000-00007A0B0000}"/>
    <cellStyle name="스타일 426" xfId="1869" xr:uid="{00000000-0005-0000-0000-00007B0B0000}"/>
    <cellStyle name="스타일 427" xfId="1870" xr:uid="{00000000-0005-0000-0000-00007C0B0000}"/>
    <cellStyle name="스타일 428" xfId="1871" xr:uid="{00000000-0005-0000-0000-00007D0B0000}"/>
    <cellStyle name="스타일 429" xfId="1872" xr:uid="{00000000-0005-0000-0000-00007E0B0000}"/>
    <cellStyle name="스타일 43" xfId="1873" xr:uid="{00000000-0005-0000-0000-00007F0B0000}"/>
    <cellStyle name="스타일 430" xfId="1874" xr:uid="{00000000-0005-0000-0000-0000800B0000}"/>
    <cellStyle name="스타일 431" xfId="1875" xr:uid="{00000000-0005-0000-0000-0000810B0000}"/>
    <cellStyle name="스타일 432" xfId="1876" xr:uid="{00000000-0005-0000-0000-0000820B0000}"/>
    <cellStyle name="스타일 433" xfId="1877" xr:uid="{00000000-0005-0000-0000-0000830B0000}"/>
    <cellStyle name="스타일 434" xfId="1878" xr:uid="{00000000-0005-0000-0000-0000840B0000}"/>
    <cellStyle name="스타일 435" xfId="1879" xr:uid="{00000000-0005-0000-0000-0000850B0000}"/>
    <cellStyle name="스타일 436" xfId="1880" xr:uid="{00000000-0005-0000-0000-0000860B0000}"/>
    <cellStyle name="스타일 437" xfId="1881" xr:uid="{00000000-0005-0000-0000-0000870B0000}"/>
    <cellStyle name="스타일 438" xfId="1882" xr:uid="{00000000-0005-0000-0000-0000880B0000}"/>
    <cellStyle name="스타일 439" xfId="1883" xr:uid="{00000000-0005-0000-0000-0000890B0000}"/>
    <cellStyle name="스타일 44" xfId="1884" xr:uid="{00000000-0005-0000-0000-00008A0B0000}"/>
    <cellStyle name="스타일 440" xfId="1885" xr:uid="{00000000-0005-0000-0000-00008B0B0000}"/>
    <cellStyle name="스타일 441" xfId="1886" xr:uid="{00000000-0005-0000-0000-00008C0B0000}"/>
    <cellStyle name="스타일 442" xfId="1887" xr:uid="{00000000-0005-0000-0000-00008D0B0000}"/>
    <cellStyle name="스타일 443" xfId="1888" xr:uid="{00000000-0005-0000-0000-00008E0B0000}"/>
    <cellStyle name="스타일 444" xfId="1889" xr:uid="{00000000-0005-0000-0000-00008F0B0000}"/>
    <cellStyle name="스타일 445" xfId="1890" xr:uid="{00000000-0005-0000-0000-0000900B0000}"/>
    <cellStyle name="스타일 446" xfId="1891" xr:uid="{00000000-0005-0000-0000-0000910B0000}"/>
    <cellStyle name="스타일 447" xfId="1892" xr:uid="{00000000-0005-0000-0000-0000920B0000}"/>
    <cellStyle name="스타일 448" xfId="1893" xr:uid="{00000000-0005-0000-0000-0000930B0000}"/>
    <cellStyle name="스타일 449" xfId="1894" xr:uid="{00000000-0005-0000-0000-0000940B0000}"/>
    <cellStyle name="스타일 45" xfId="1895" xr:uid="{00000000-0005-0000-0000-0000950B0000}"/>
    <cellStyle name="스타일 450" xfId="1896" xr:uid="{00000000-0005-0000-0000-0000960B0000}"/>
    <cellStyle name="스타일 451" xfId="1897" xr:uid="{00000000-0005-0000-0000-0000970B0000}"/>
    <cellStyle name="스타일 452" xfId="1898" xr:uid="{00000000-0005-0000-0000-0000980B0000}"/>
    <cellStyle name="스타일 453" xfId="1899" xr:uid="{00000000-0005-0000-0000-0000990B0000}"/>
    <cellStyle name="스타일 454" xfId="1900" xr:uid="{00000000-0005-0000-0000-00009A0B0000}"/>
    <cellStyle name="스타일 455" xfId="1901" xr:uid="{00000000-0005-0000-0000-00009B0B0000}"/>
    <cellStyle name="스타일 456" xfId="1902" xr:uid="{00000000-0005-0000-0000-00009C0B0000}"/>
    <cellStyle name="스타일 457" xfId="1903" xr:uid="{00000000-0005-0000-0000-00009D0B0000}"/>
    <cellStyle name="스타일 458" xfId="1904" xr:uid="{00000000-0005-0000-0000-00009E0B0000}"/>
    <cellStyle name="스타일 459" xfId="1905" xr:uid="{00000000-0005-0000-0000-00009F0B0000}"/>
    <cellStyle name="스타일 46" xfId="1906" xr:uid="{00000000-0005-0000-0000-0000A00B0000}"/>
    <cellStyle name="스타일 460" xfId="1907" xr:uid="{00000000-0005-0000-0000-0000A10B0000}"/>
    <cellStyle name="스타일 461" xfId="1908" xr:uid="{00000000-0005-0000-0000-0000A20B0000}"/>
    <cellStyle name="스타일 462" xfId="1909" xr:uid="{00000000-0005-0000-0000-0000A30B0000}"/>
    <cellStyle name="스타일 463" xfId="1910" xr:uid="{00000000-0005-0000-0000-0000A40B0000}"/>
    <cellStyle name="스타일 464" xfId="1911" xr:uid="{00000000-0005-0000-0000-0000A50B0000}"/>
    <cellStyle name="스타일 465" xfId="1912" xr:uid="{00000000-0005-0000-0000-0000A60B0000}"/>
    <cellStyle name="스타일 466" xfId="1913" xr:uid="{00000000-0005-0000-0000-0000A70B0000}"/>
    <cellStyle name="스타일 467" xfId="1914" xr:uid="{00000000-0005-0000-0000-0000A80B0000}"/>
    <cellStyle name="스타일 468" xfId="1915" xr:uid="{00000000-0005-0000-0000-0000A90B0000}"/>
    <cellStyle name="스타일 469" xfId="1916" xr:uid="{00000000-0005-0000-0000-0000AA0B0000}"/>
    <cellStyle name="스타일 47" xfId="1917" xr:uid="{00000000-0005-0000-0000-0000AB0B0000}"/>
    <cellStyle name="스타일 470" xfId="1918" xr:uid="{00000000-0005-0000-0000-0000AC0B0000}"/>
    <cellStyle name="스타일 471" xfId="1919" xr:uid="{00000000-0005-0000-0000-0000AD0B0000}"/>
    <cellStyle name="스타일 472" xfId="1920" xr:uid="{00000000-0005-0000-0000-0000AE0B0000}"/>
    <cellStyle name="스타일 473" xfId="1921" xr:uid="{00000000-0005-0000-0000-0000AF0B0000}"/>
    <cellStyle name="스타일 474" xfId="1922" xr:uid="{00000000-0005-0000-0000-0000B00B0000}"/>
    <cellStyle name="스타일 475" xfId="1923" xr:uid="{00000000-0005-0000-0000-0000B10B0000}"/>
    <cellStyle name="스타일 476" xfId="1924" xr:uid="{00000000-0005-0000-0000-0000B20B0000}"/>
    <cellStyle name="스타일 477" xfId="1925" xr:uid="{00000000-0005-0000-0000-0000B30B0000}"/>
    <cellStyle name="스타일 478" xfId="1926" xr:uid="{00000000-0005-0000-0000-0000B40B0000}"/>
    <cellStyle name="스타일 479" xfId="1927" xr:uid="{00000000-0005-0000-0000-0000B50B0000}"/>
    <cellStyle name="스타일 48" xfId="1928" xr:uid="{00000000-0005-0000-0000-0000B60B0000}"/>
    <cellStyle name="스타일 480" xfId="1929" xr:uid="{00000000-0005-0000-0000-0000B70B0000}"/>
    <cellStyle name="스타일 481" xfId="1930" xr:uid="{00000000-0005-0000-0000-0000B80B0000}"/>
    <cellStyle name="스타일 482" xfId="1931" xr:uid="{00000000-0005-0000-0000-0000B90B0000}"/>
    <cellStyle name="스타일 483" xfId="1932" xr:uid="{00000000-0005-0000-0000-0000BA0B0000}"/>
    <cellStyle name="스타일 484" xfId="1933" xr:uid="{00000000-0005-0000-0000-0000BB0B0000}"/>
    <cellStyle name="스타일 485" xfId="1934" xr:uid="{00000000-0005-0000-0000-0000BC0B0000}"/>
    <cellStyle name="스타일 486" xfId="1935" xr:uid="{00000000-0005-0000-0000-0000BD0B0000}"/>
    <cellStyle name="스타일 487" xfId="1936" xr:uid="{00000000-0005-0000-0000-0000BE0B0000}"/>
    <cellStyle name="스타일 488" xfId="1937" xr:uid="{00000000-0005-0000-0000-0000BF0B0000}"/>
    <cellStyle name="스타일 489" xfId="1938" xr:uid="{00000000-0005-0000-0000-0000C00B0000}"/>
    <cellStyle name="스타일 49" xfId="1939" xr:uid="{00000000-0005-0000-0000-0000C10B0000}"/>
    <cellStyle name="스타일 490" xfId="1940" xr:uid="{00000000-0005-0000-0000-0000C20B0000}"/>
    <cellStyle name="스타일 491" xfId="1941" xr:uid="{00000000-0005-0000-0000-0000C30B0000}"/>
    <cellStyle name="스타일 492" xfId="1942" xr:uid="{00000000-0005-0000-0000-0000C40B0000}"/>
    <cellStyle name="스타일 493" xfId="1943" xr:uid="{00000000-0005-0000-0000-0000C50B0000}"/>
    <cellStyle name="스타일 494" xfId="1944" xr:uid="{00000000-0005-0000-0000-0000C60B0000}"/>
    <cellStyle name="스타일 495" xfId="1945" xr:uid="{00000000-0005-0000-0000-0000C70B0000}"/>
    <cellStyle name="스타일 496" xfId="1946" xr:uid="{00000000-0005-0000-0000-0000C80B0000}"/>
    <cellStyle name="스타일 497" xfId="1947" xr:uid="{00000000-0005-0000-0000-0000C90B0000}"/>
    <cellStyle name="스타일 498" xfId="1948" xr:uid="{00000000-0005-0000-0000-0000CA0B0000}"/>
    <cellStyle name="스타일 499" xfId="1949" xr:uid="{00000000-0005-0000-0000-0000CB0B0000}"/>
    <cellStyle name="스타일 5" xfId="1950" xr:uid="{00000000-0005-0000-0000-0000CC0B0000}"/>
    <cellStyle name="스타일 50" xfId="1951" xr:uid="{00000000-0005-0000-0000-0000CD0B0000}"/>
    <cellStyle name="스타일 500" xfId="1952" xr:uid="{00000000-0005-0000-0000-0000CE0B0000}"/>
    <cellStyle name="스타일 501" xfId="1953" xr:uid="{00000000-0005-0000-0000-0000CF0B0000}"/>
    <cellStyle name="스타일 502" xfId="1954" xr:uid="{00000000-0005-0000-0000-0000D00B0000}"/>
    <cellStyle name="스타일 503" xfId="1955" xr:uid="{00000000-0005-0000-0000-0000D10B0000}"/>
    <cellStyle name="스타일 504" xfId="1956" xr:uid="{00000000-0005-0000-0000-0000D20B0000}"/>
    <cellStyle name="스타일 505" xfId="1957" xr:uid="{00000000-0005-0000-0000-0000D30B0000}"/>
    <cellStyle name="스타일 506" xfId="1958" xr:uid="{00000000-0005-0000-0000-0000D40B0000}"/>
    <cellStyle name="스타일 507" xfId="1959" xr:uid="{00000000-0005-0000-0000-0000D50B0000}"/>
    <cellStyle name="스타일 508" xfId="1960" xr:uid="{00000000-0005-0000-0000-0000D60B0000}"/>
    <cellStyle name="스타일 509" xfId="1961" xr:uid="{00000000-0005-0000-0000-0000D70B0000}"/>
    <cellStyle name="스타일 51" xfId="1962" xr:uid="{00000000-0005-0000-0000-0000D80B0000}"/>
    <cellStyle name="스타일 510" xfId="1963" xr:uid="{00000000-0005-0000-0000-0000D90B0000}"/>
    <cellStyle name="스타일 511" xfId="1964" xr:uid="{00000000-0005-0000-0000-0000DA0B0000}"/>
    <cellStyle name="스타일 512" xfId="1965" xr:uid="{00000000-0005-0000-0000-0000DB0B0000}"/>
    <cellStyle name="스타일 513" xfId="1966" xr:uid="{00000000-0005-0000-0000-0000DC0B0000}"/>
    <cellStyle name="스타일 514" xfId="1967" xr:uid="{00000000-0005-0000-0000-0000DD0B0000}"/>
    <cellStyle name="스타일 515" xfId="1968" xr:uid="{00000000-0005-0000-0000-0000DE0B0000}"/>
    <cellStyle name="스타일 516" xfId="1969" xr:uid="{00000000-0005-0000-0000-0000DF0B0000}"/>
    <cellStyle name="스타일 517" xfId="1970" xr:uid="{00000000-0005-0000-0000-0000E00B0000}"/>
    <cellStyle name="스타일 518" xfId="1971" xr:uid="{00000000-0005-0000-0000-0000E10B0000}"/>
    <cellStyle name="스타일 519" xfId="1972" xr:uid="{00000000-0005-0000-0000-0000E20B0000}"/>
    <cellStyle name="스타일 52" xfId="1973" xr:uid="{00000000-0005-0000-0000-0000E30B0000}"/>
    <cellStyle name="스타일 520" xfId="1974" xr:uid="{00000000-0005-0000-0000-0000E40B0000}"/>
    <cellStyle name="스타일 521" xfId="1975" xr:uid="{00000000-0005-0000-0000-0000E50B0000}"/>
    <cellStyle name="스타일 522" xfId="1976" xr:uid="{00000000-0005-0000-0000-0000E60B0000}"/>
    <cellStyle name="스타일 523" xfId="1977" xr:uid="{00000000-0005-0000-0000-0000E70B0000}"/>
    <cellStyle name="스타일 524" xfId="1978" xr:uid="{00000000-0005-0000-0000-0000E80B0000}"/>
    <cellStyle name="스타일 525" xfId="1979" xr:uid="{00000000-0005-0000-0000-0000E90B0000}"/>
    <cellStyle name="스타일 526" xfId="1980" xr:uid="{00000000-0005-0000-0000-0000EA0B0000}"/>
    <cellStyle name="스타일 527" xfId="1981" xr:uid="{00000000-0005-0000-0000-0000EB0B0000}"/>
    <cellStyle name="스타일 528" xfId="1982" xr:uid="{00000000-0005-0000-0000-0000EC0B0000}"/>
    <cellStyle name="스타일 529" xfId="1983" xr:uid="{00000000-0005-0000-0000-0000ED0B0000}"/>
    <cellStyle name="스타일 53" xfId="1984" xr:uid="{00000000-0005-0000-0000-0000EE0B0000}"/>
    <cellStyle name="스타일 530" xfId="1985" xr:uid="{00000000-0005-0000-0000-0000EF0B0000}"/>
    <cellStyle name="스타일 531" xfId="1986" xr:uid="{00000000-0005-0000-0000-0000F00B0000}"/>
    <cellStyle name="스타일 532" xfId="1987" xr:uid="{00000000-0005-0000-0000-0000F10B0000}"/>
    <cellStyle name="스타일 533" xfId="1988" xr:uid="{00000000-0005-0000-0000-0000F20B0000}"/>
    <cellStyle name="스타일 534" xfId="1989" xr:uid="{00000000-0005-0000-0000-0000F30B0000}"/>
    <cellStyle name="스타일 535" xfId="1990" xr:uid="{00000000-0005-0000-0000-0000F40B0000}"/>
    <cellStyle name="스타일 536" xfId="1991" xr:uid="{00000000-0005-0000-0000-0000F50B0000}"/>
    <cellStyle name="스타일 537" xfId="1992" xr:uid="{00000000-0005-0000-0000-0000F60B0000}"/>
    <cellStyle name="스타일 538" xfId="1993" xr:uid="{00000000-0005-0000-0000-0000F70B0000}"/>
    <cellStyle name="스타일 539" xfId="1994" xr:uid="{00000000-0005-0000-0000-0000F80B0000}"/>
    <cellStyle name="스타일 54" xfId="1995" xr:uid="{00000000-0005-0000-0000-0000F90B0000}"/>
    <cellStyle name="스타일 540" xfId="1996" xr:uid="{00000000-0005-0000-0000-0000FA0B0000}"/>
    <cellStyle name="스타일 541" xfId="1997" xr:uid="{00000000-0005-0000-0000-0000FB0B0000}"/>
    <cellStyle name="스타일 542" xfId="1998" xr:uid="{00000000-0005-0000-0000-0000FC0B0000}"/>
    <cellStyle name="스타일 543" xfId="1999" xr:uid="{00000000-0005-0000-0000-0000FD0B0000}"/>
    <cellStyle name="스타일 544" xfId="2000" xr:uid="{00000000-0005-0000-0000-0000FE0B0000}"/>
    <cellStyle name="스타일 545" xfId="2001" xr:uid="{00000000-0005-0000-0000-0000FF0B0000}"/>
    <cellStyle name="스타일 546" xfId="2002" xr:uid="{00000000-0005-0000-0000-0000000C0000}"/>
    <cellStyle name="스타일 547" xfId="2003" xr:uid="{00000000-0005-0000-0000-0000010C0000}"/>
    <cellStyle name="스타일 55" xfId="2004" xr:uid="{00000000-0005-0000-0000-0000020C0000}"/>
    <cellStyle name="스타일 56" xfId="2005" xr:uid="{00000000-0005-0000-0000-0000030C0000}"/>
    <cellStyle name="스타일 57" xfId="2006" xr:uid="{00000000-0005-0000-0000-0000040C0000}"/>
    <cellStyle name="스타일 58" xfId="2007" xr:uid="{00000000-0005-0000-0000-0000050C0000}"/>
    <cellStyle name="스타일 59" xfId="2008" xr:uid="{00000000-0005-0000-0000-0000060C0000}"/>
    <cellStyle name="스타일 6" xfId="2009" xr:uid="{00000000-0005-0000-0000-0000070C0000}"/>
    <cellStyle name="스타일 60" xfId="2010" xr:uid="{00000000-0005-0000-0000-0000080C0000}"/>
    <cellStyle name="스타일 61" xfId="2011" xr:uid="{00000000-0005-0000-0000-0000090C0000}"/>
    <cellStyle name="스타일 62" xfId="2012" xr:uid="{00000000-0005-0000-0000-00000A0C0000}"/>
    <cellStyle name="스타일 63" xfId="2013" xr:uid="{00000000-0005-0000-0000-00000B0C0000}"/>
    <cellStyle name="스타일 64" xfId="2014" xr:uid="{00000000-0005-0000-0000-00000C0C0000}"/>
    <cellStyle name="스타일 65" xfId="2015" xr:uid="{00000000-0005-0000-0000-00000D0C0000}"/>
    <cellStyle name="스타일 66" xfId="2016" xr:uid="{00000000-0005-0000-0000-00000E0C0000}"/>
    <cellStyle name="스타일 67" xfId="2017" xr:uid="{00000000-0005-0000-0000-00000F0C0000}"/>
    <cellStyle name="스타일 68" xfId="2018" xr:uid="{00000000-0005-0000-0000-0000100C0000}"/>
    <cellStyle name="스타일 69" xfId="2019" xr:uid="{00000000-0005-0000-0000-0000110C0000}"/>
    <cellStyle name="스타일 7" xfId="2020" xr:uid="{00000000-0005-0000-0000-0000120C0000}"/>
    <cellStyle name="스타일 70" xfId="2021" xr:uid="{00000000-0005-0000-0000-0000130C0000}"/>
    <cellStyle name="스타일 71" xfId="2022" xr:uid="{00000000-0005-0000-0000-0000140C0000}"/>
    <cellStyle name="스타일 72" xfId="2023" xr:uid="{00000000-0005-0000-0000-0000150C0000}"/>
    <cellStyle name="스타일 73" xfId="2024" xr:uid="{00000000-0005-0000-0000-0000160C0000}"/>
    <cellStyle name="스타일 74" xfId="2025" xr:uid="{00000000-0005-0000-0000-0000170C0000}"/>
    <cellStyle name="스타일 75" xfId="2026" xr:uid="{00000000-0005-0000-0000-0000180C0000}"/>
    <cellStyle name="스타일 76" xfId="2027" xr:uid="{00000000-0005-0000-0000-0000190C0000}"/>
    <cellStyle name="스타일 77" xfId="2028" xr:uid="{00000000-0005-0000-0000-00001A0C0000}"/>
    <cellStyle name="스타일 78" xfId="2029" xr:uid="{00000000-0005-0000-0000-00001B0C0000}"/>
    <cellStyle name="스타일 79" xfId="2030" xr:uid="{00000000-0005-0000-0000-00001C0C0000}"/>
    <cellStyle name="스타일 8" xfId="2031" xr:uid="{00000000-0005-0000-0000-00001D0C0000}"/>
    <cellStyle name="스타일 80" xfId="2032" xr:uid="{00000000-0005-0000-0000-00001E0C0000}"/>
    <cellStyle name="스타일 81" xfId="2033" xr:uid="{00000000-0005-0000-0000-00001F0C0000}"/>
    <cellStyle name="스타일 82" xfId="2034" xr:uid="{00000000-0005-0000-0000-0000200C0000}"/>
    <cellStyle name="스타일 83" xfId="2035" xr:uid="{00000000-0005-0000-0000-0000210C0000}"/>
    <cellStyle name="스타일 84" xfId="2036" xr:uid="{00000000-0005-0000-0000-0000220C0000}"/>
    <cellStyle name="스타일 85" xfId="2037" xr:uid="{00000000-0005-0000-0000-0000230C0000}"/>
    <cellStyle name="스타일 86" xfId="2038" xr:uid="{00000000-0005-0000-0000-0000240C0000}"/>
    <cellStyle name="스타일 87" xfId="2039" xr:uid="{00000000-0005-0000-0000-0000250C0000}"/>
    <cellStyle name="스타일 88" xfId="2040" xr:uid="{00000000-0005-0000-0000-0000260C0000}"/>
    <cellStyle name="스타일 89" xfId="2041" xr:uid="{00000000-0005-0000-0000-0000270C0000}"/>
    <cellStyle name="스타일 9" xfId="2042" xr:uid="{00000000-0005-0000-0000-0000280C0000}"/>
    <cellStyle name="스타일 90" xfId="2043" xr:uid="{00000000-0005-0000-0000-0000290C0000}"/>
    <cellStyle name="스타일 91" xfId="2044" xr:uid="{00000000-0005-0000-0000-00002A0C0000}"/>
    <cellStyle name="스타일 92" xfId="2045" xr:uid="{00000000-0005-0000-0000-00002B0C0000}"/>
    <cellStyle name="스타일 93" xfId="2046" xr:uid="{00000000-0005-0000-0000-00002C0C0000}"/>
    <cellStyle name="스타일 94" xfId="2047" xr:uid="{00000000-0005-0000-0000-00002D0C0000}"/>
    <cellStyle name="스타일 95" xfId="2048" xr:uid="{00000000-0005-0000-0000-00002E0C0000}"/>
    <cellStyle name="스타일 96" xfId="2049" xr:uid="{00000000-0005-0000-0000-00002F0C0000}"/>
    <cellStyle name="스타일 97" xfId="2050" xr:uid="{00000000-0005-0000-0000-0000300C0000}"/>
    <cellStyle name="스타일 98" xfId="2051" xr:uid="{00000000-0005-0000-0000-0000310C0000}"/>
    <cellStyle name="스타일 99" xfId="2052" xr:uid="{00000000-0005-0000-0000-0000320C0000}"/>
    <cellStyle name="안건회계법인" xfId="2053" xr:uid="{00000000-0005-0000-0000-0000330C0000}"/>
    <cellStyle name="연결된 셀" xfId="2054" builtinId="24" customBuiltin="1"/>
    <cellStyle name="열어본 하이퍼링크" xfId="3180" xr:uid="{00000000-0005-0000-0000-0000350C0000}"/>
    <cellStyle name="요약" xfId="2055" builtinId="25" customBuiltin="1"/>
    <cellStyle name="우괄호_박심배수구조물공" xfId="2056" xr:uid="{00000000-0005-0000-0000-0000370C0000}"/>
    <cellStyle name="우측양괄호" xfId="2057" xr:uid="{00000000-0005-0000-0000-0000380C0000}"/>
    <cellStyle name="유1" xfId="2058" xr:uid="{00000000-0005-0000-0000-0000390C0000}"/>
    <cellStyle name="일반" xfId="2059" xr:uid="{00000000-0005-0000-0000-00003A0C0000}"/>
    <cellStyle name="입력" xfId="2060" builtinId="20" customBuiltin="1"/>
    <cellStyle name="자리수" xfId="2061" xr:uid="{00000000-0005-0000-0000-00003C0C0000}"/>
    <cellStyle name="자리수0" xfId="2062" xr:uid="{00000000-0005-0000-0000-00003D0C0000}"/>
    <cellStyle name="제곱" xfId="2063" xr:uid="{00000000-0005-0000-0000-00003E0C0000}"/>
    <cellStyle name="제목" xfId="2064" builtinId="15" customBuiltin="1"/>
    <cellStyle name="제목 1" xfId="2065" builtinId="16" customBuiltin="1"/>
    <cellStyle name="제목 2" xfId="2066" builtinId="17" customBuiltin="1"/>
    <cellStyle name="제목 3" xfId="2067" builtinId="18" customBuiltin="1"/>
    <cellStyle name="제목 4" xfId="2068" builtinId="19" customBuiltin="1"/>
    <cellStyle name="좁게_구조물 BOQ" xfId="2069" xr:uid="{00000000-0005-0000-0000-0000440C0000}"/>
    <cellStyle name="좋음" xfId="2070" builtinId="26" customBuiltin="1"/>
    <cellStyle name="좌괄호_박심배수구조물공" xfId="2071" xr:uid="{00000000-0005-0000-0000-0000460C0000}"/>
    <cellStyle name="좌측양괄호" xfId="2072" xr:uid="{00000000-0005-0000-0000-0000470C0000}"/>
    <cellStyle name="지정되지 않음" xfId="2073" xr:uid="{00000000-0005-0000-0000-0000480C0000}"/>
    <cellStyle name="출력" xfId="2074" builtinId="21" customBuiltin="1"/>
    <cellStyle name="콤" xfId="2075" xr:uid="{00000000-0005-0000-0000-00004A0C0000}"/>
    <cellStyle name="콤마 [" xfId="2076" xr:uid="{00000000-0005-0000-0000-00004B0C0000}"/>
    <cellStyle name="콤마 [0]_ 4.하중계산  " xfId="2077" xr:uid="{00000000-0005-0000-0000-00004C0C0000}"/>
    <cellStyle name="콤마 [0]기기자재비" xfId="2078" xr:uid="{00000000-0005-0000-0000-00004D0C0000}"/>
    <cellStyle name="콤마 [000]" xfId="2079" xr:uid="{00000000-0005-0000-0000-00004E0C0000}"/>
    <cellStyle name="콤마 [1]" xfId="2080" xr:uid="{00000000-0005-0000-0000-00004F0C0000}"/>
    <cellStyle name="콤마 [2]" xfId="2081" xr:uid="{00000000-0005-0000-0000-0000500C0000}"/>
    <cellStyle name="콤마[ ]" xfId="2082" xr:uid="{00000000-0005-0000-0000-0000510C0000}"/>
    <cellStyle name="콤마[*]" xfId="2083" xr:uid="{00000000-0005-0000-0000-0000520C0000}"/>
    <cellStyle name="콤마[,]" xfId="2084" xr:uid="{00000000-0005-0000-0000-0000530C0000}"/>
    <cellStyle name="콤마[.]" xfId="2085" xr:uid="{00000000-0005-0000-0000-0000540C0000}"/>
    <cellStyle name="콤마[0]" xfId="2086" xr:uid="{00000000-0005-0000-0000-0000550C0000}"/>
    <cellStyle name="콤마_ 4.하중계산  " xfId="2087" xr:uid="{00000000-0005-0000-0000-0000560C0000}"/>
    <cellStyle name="타이틀" xfId="2088" xr:uid="{00000000-0005-0000-0000-0000570C0000}"/>
    <cellStyle name="토공" xfId="2089" xr:uid="{00000000-0005-0000-0000-0000580C0000}"/>
    <cellStyle name="통" xfId="2090" xr:uid="{00000000-0005-0000-0000-0000590C0000}"/>
    <cellStyle name="통화 [" xfId="2091" xr:uid="{00000000-0005-0000-0000-00005A0C0000}"/>
    <cellStyle name="통화 [0] 2" xfId="3181" xr:uid="{00000000-0005-0000-0000-00005B0C0000}"/>
    <cellStyle name="통화 [0㉝〸" xfId="2092" xr:uid="{00000000-0005-0000-0000-00005C0C0000}"/>
    <cellStyle name="퍼센트" xfId="2093" xr:uid="{00000000-0005-0000-0000-00005D0C0000}"/>
    <cellStyle name="표" xfId="2094" xr:uid="{00000000-0005-0000-0000-00005E0C0000}"/>
    <cellStyle name="표_04-차도포장(1공구)" xfId="2095" xr:uid="{00000000-0005-0000-0000-00005F0C0000}"/>
    <cellStyle name="표_05-보도포장(1공구)" xfId="2096" xr:uid="{00000000-0005-0000-0000-0000600C0000}"/>
    <cellStyle name="표_10_도로경계석(1공구)" xfId="2097" xr:uid="{00000000-0005-0000-0000-0000610C0000}"/>
    <cellStyle name="표_자전거도로포장" xfId="2098" xr:uid="{00000000-0005-0000-0000-0000620C0000}"/>
    <cellStyle name="표준" xfId="0" builtinId="0"/>
    <cellStyle name="표준 2" xfId="3182" xr:uid="{00000000-0005-0000-0000-0000640C0000}"/>
    <cellStyle name="표준 3" xfId="2209" xr:uid="{00000000-0005-0000-0000-0000650C0000}"/>
    <cellStyle name="표준 3 2" xfId="3183" xr:uid="{00000000-0005-0000-0000-0000660C0000}"/>
    <cellStyle name="표준 4" xfId="3184" xr:uid="{00000000-0005-0000-0000-0000670C0000}"/>
    <cellStyle name="표준 5" xfId="3185" xr:uid="{00000000-0005-0000-0000-0000680C0000}"/>
    <cellStyle name="표준 6" xfId="3186" xr:uid="{00000000-0005-0000-0000-0000690C0000}"/>
    <cellStyle name="표준 7" xfId="3187" xr:uid="{00000000-0005-0000-0000-00006A0C0000}"/>
    <cellStyle name="표준 8" xfId="3189" xr:uid="{00000000-0005-0000-0000-00006B0C0000}"/>
    <cellStyle name="표준_03 중동막교 토공수량" xfId="2099" xr:uid="{00000000-0005-0000-0000-00006C0C0000}"/>
    <cellStyle name="표준_064.도당육교교대수량" xfId="3188" xr:uid="{00000000-0005-0000-0000-00006D0C0000}"/>
    <cellStyle name="標準_Akia(F）-8" xfId="2101" xr:uid="{00000000-0005-0000-0000-00006E0C0000}"/>
    <cellStyle name="표준_SON" xfId="2102" xr:uid="{00000000-0005-0000-0000-00006F0C0000}"/>
    <cellStyle name="標準_南青山報告書" xfId="2100" xr:uid="{00000000-0005-0000-0000-0000700C0000}"/>
    <cellStyle name="표준1" xfId="2103" xr:uid="{00000000-0005-0000-0000-0000710C0000}"/>
    <cellStyle name="표준2" xfId="2104" xr:uid="{00000000-0005-0000-0000-0000720C0000}"/>
    <cellStyle name="합산" xfId="2105" xr:uid="{00000000-0005-0000-0000-0000730C0000}"/>
    <cellStyle name="화폐기호" xfId="2106" xr:uid="{00000000-0005-0000-0000-0000740C0000}"/>
    <cellStyle name="화폐기호0" xfId="2107" xr:uid="{00000000-0005-0000-0000-0000750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25</xdr:row>
      <xdr:rowOff>9525</xdr:rowOff>
    </xdr:from>
    <xdr:to>
      <xdr:col>7</xdr:col>
      <xdr:colOff>66675</xdr:colOff>
      <xdr:row>26</xdr:row>
      <xdr:rowOff>0</xdr:rowOff>
    </xdr:to>
    <xdr:sp macro="" textlink="">
      <xdr:nvSpPr>
        <xdr:cNvPr id="2" name="Freeform 5">
          <a:extLst>
            <a:ext uri="{FF2B5EF4-FFF2-40B4-BE49-F238E27FC236}">
              <a16:creationId xmlns:a16="http://schemas.microsoft.com/office/drawing/2014/main" id="{7AB4D72B-88A7-48D8-9186-CE4E5BE1932D}"/>
            </a:ext>
          </a:extLst>
        </xdr:cNvPr>
        <xdr:cNvSpPr>
          <a:spLocks/>
        </xdr:cNvSpPr>
      </xdr:nvSpPr>
      <xdr:spPr bwMode="auto">
        <a:xfrm>
          <a:off x="1190625" y="4695825"/>
          <a:ext cx="1143000" cy="171450"/>
        </a:xfrm>
        <a:custGeom>
          <a:avLst/>
          <a:gdLst>
            <a:gd name="T0" fmla="*/ 0 w 126"/>
            <a:gd name="T1" fmla="*/ 15 h 19"/>
            <a:gd name="T2" fmla="*/ 1 w 126"/>
            <a:gd name="T3" fmla="*/ 12 h 19"/>
            <a:gd name="T4" fmla="*/ 5 w 126"/>
            <a:gd name="T5" fmla="*/ 19 h 19"/>
            <a:gd name="T6" fmla="*/ 7 w 126"/>
            <a:gd name="T7" fmla="*/ 0 h 19"/>
            <a:gd name="T8" fmla="*/ 126 w 126"/>
            <a:gd name="T9" fmla="*/ 0 h 19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6"/>
            <a:gd name="T16" fmla="*/ 0 h 19"/>
            <a:gd name="T17" fmla="*/ 126 w 126"/>
            <a:gd name="T18" fmla="*/ 19 h 19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6" h="19">
              <a:moveTo>
                <a:pt x="0" y="15"/>
              </a:moveTo>
              <a:lnTo>
                <a:pt x="1" y="12"/>
              </a:lnTo>
              <a:lnTo>
                <a:pt x="5" y="19"/>
              </a:lnTo>
              <a:lnTo>
                <a:pt x="7" y="0"/>
              </a:lnTo>
              <a:lnTo>
                <a:pt x="126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28575</xdr:colOff>
      <xdr:row>9</xdr:row>
      <xdr:rowOff>9525</xdr:rowOff>
    </xdr:from>
    <xdr:to>
      <xdr:col>16</xdr:col>
      <xdr:colOff>142875</xdr:colOff>
      <xdr:row>10</xdr:row>
      <xdr:rowOff>76200</xdr:rowOff>
    </xdr:to>
    <xdr:grpSp>
      <xdr:nvGrpSpPr>
        <xdr:cNvPr id="3" name="Group 25">
          <a:extLst>
            <a:ext uri="{FF2B5EF4-FFF2-40B4-BE49-F238E27FC236}">
              <a16:creationId xmlns:a16="http://schemas.microsoft.com/office/drawing/2014/main" id="{355DE4D3-2E78-4115-B8E7-22B392686A10}"/>
            </a:ext>
          </a:extLst>
        </xdr:cNvPr>
        <xdr:cNvGrpSpPr>
          <a:grpSpLocks/>
        </xdr:cNvGrpSpPr>
      </xdr:nvGrpSpPr>
      <xdr:grpSpPr bwMode="auto">
        <a:xfrm>
          <a:off x="2714625" y="1800225"/>
          <a:ext cx="1581150" cy="247650"/>
          <a:chOff x="293" y="189"/>
          <a:chExt cx="173" cy="26"/>
        </a:xfrm>
      </xdr:grpSpPr>
      <xdr:sp macro="" textlink="">
        <xdr:nvSpPr>
          <xdr:cNvPr id="4" name="Line 26">
            <a:extLst>
              <a:ext uri="{FF2B5EF4-FFF2-40B4-BE49-F238E27FC236}">
                <a16:creationId xmlns:a16="http://schemas.microsoft.com/office/drawing/2014/main" id="{0EC50DF9-23A2-47CC-864C-C09A9D7C6A08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437" y="202"/>
            <a:ext cx="26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 type="oval" w="sm" len="sm"/>
          </a:ln>
        </xdr:spPr>
      </xdr:sp>
      <xdr:sp macro="" textlink="">
        <xdr:nvSpPr>
          <xdr:cNvPr id="5" name="Line 27">
            <a:extLst>
              <a:ext uri="{FF2B5EF4-FFF2-40B4-BE49-F238E27FC236}">
                <a16:creationId xmlns:a16="http://schemas.microsoft.com/office/drawing/2014/main" id="{E3C5AE60-0F2A-4BDA-A89C-CCB7A6D847D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80" y="102"/>
            <a:ext cx="0" cy="173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6" name="Line 28">
            <a:extLst>
              <a:ext uri="{FF2B5EF4-FFF2-40B4-BE49-F238E27FC236}">
                <a16:creationId xmlns:a16="http://schemas.microsoft.com/office/drawing/2014/main" id="{A8056225-36CA-4F07-9D78-49ADDEAFE8BE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96" y="202"/>
            <a:ext cx="26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 type="oval" w="sm" len="sm"/>
          </a:ln>
        </xdr:spPr>
      </xdr:sp>
      <xdr:sp macro="" textlink="">
        <xdr:nvSpPr>
          <xdr:cNvPr id="7" name="Line 29">
            <a:extLst>
              <a:ext uri="{FF2B5EF4-FFF2-40B4-BE49-F238E27FC236}">
                <a16:creationId xmlns:a16="http://schemas.microsoft.com/office/drawing/2014/main" id="{1E1183D9-6102-480A-942F-D1FD2E877202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80" y="202"/>
            <a:ext cx="26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 type="oval" w="sm" len="sm"/>
          </a:ln>
        </xdr:spPr>
      </xdr:sp>
      <xdr:sp macro="" textlink="">
        <xdr:nvSpPr>
          <xdr:cNvPr id="8" name="Line 30">
            <a:extLst>
              <a:ext uri="{FF2B5EF4-FFF2-40B4-BE49-F238E27FC236}">
                <a16:creationId xmlns:a16="http://schemas.microsoft.com/office/drawing/2014/main" id="{801ED5B9-306E-4DC3-8639-C95106A0F393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452" y="202"/>
            <a:ext cx="26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 type="oval" w="sm" len="sm"/>
          </a:ln>
        </xdr:spPr>
      </xdr:sp>
    </xdr:grpSp>
    <xdr:clientData/>
  </xdr:twoCellAnchor>
  <xdr:twoCellAnchor>
    <xdr:from>
      <xdr:col>5</xdr:col>
      <xdr:colOff>47625</xdr:colOff>
      <xdr:row>14</xdr:row>
      <xdr:rowOff>123825</xdr:rowOff>
    </xdr:from>
    <xdr:to>
      <xdr:col>20</xdr:col>
      <xdr:colOff>152400</xdr:colOff>
      <xdr:row>16</xdr:row>
      <xdr:rowOff>9525</xdr:rowOff>
    </xdr:to>
    <xdr:grpSp>
      <xdr:nvGrpSpPr>
        <xdr:cNvPr id="9" name="Group 31">
          <a:extLst>
            <a:ext uri="{FF2B5EF4-FFF2-40B4-BE49-F238E27FC236}">
              <a16:creationId xmlns:a16="http://schemas.microsoft.com/office/drawing/2014/main" id="{7E6ABDFE-CCE1-46D0-9D49-27833C3A16E1}"/>
            </a:ext>
          </a:extLst>
        </xdr:cNvPr>
        <xdr:cNvGrpSpPr>
          <a:grpSpLocks/>
        </xdr:cNvGrpSpPr>
      </xdr:nvGrpSpPr>
      <xdr:grpSpPr bwMode="auto">
        <a:xfrm>
          <a:off x="1895475" y="2819400"/>
          <a:ext cx="3248025" cy="247650"/>
          <a:chOff x="293" y="296"/>
          <a:chExt cx="173" cy="26"/>
        </a:xfrm>
      </xdr:grpSpPr>
      <xdr:sp macro="" textlink="">
        <xdr:nvSpPr>
          <xdr:cNvPr id="10" name="Line 32">
            <a:extLst>
              <a:ext uri="{FF2B5EF4-FFF2-40B4-BE49-F238E27FC236}">
                <a16:creationId xmlns:a16="http://schemas.microsoft.com/office/drawing/2014/main" id="{84DF5151-ED78-4586-A518-63084F7C94CA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80" y="235"/>
            <a:ext cx="0" cy="173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 type="none" w="sm" len="sm"/>
            <a:tailEnd type="none" w="sm" len="sm"/>
          </a:ln>
        </xdr:spPr>
      </xdr:sp>
      <xdr:sp macro="" textlink="">
        <xdr:nvSpPr>
          <xdr:cNvPr id="11" name="Line 33">
            <a:extLst>
              <a:ext uri="{FF2B5EF4-FFF2-40B4-BE49-F238E27FC236}">
                <a16:creationId xmlns:a16="http://schemas.microsoft.com/office/drawing/2014/main" id="{814827F2-4859-4ABE-9933-96030508803E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280" y="309"/>
            <a:ext cx="26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 type="oval" w="sm" len="sm"/>
          </a:ln>
        </xdr:spPr>
      </xdr:sp>
      <xdr:sp macro="" textlink="">
        <xdr:nvSpPr>
          <xdr:cNvPr id="12" name="Line 34">
            <a:extLst>
              <a:ext uri="{FF2B5EF4-FFF2-40B4-BE49-F238E27FC236}">
                <a16:creationId xmlns:a16="http://schemas.microsoft.com/office/drawing/2014/main" id="{8C9D4082-E62A-439D-98B5-D48B92CB217A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309"/>
            <a:ext cx="26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 type="oval" w="sm" len="sm"/>
          </a:ln>
        </xdr:spPr>
      </xdr:sp>
    </xdr:grpSp>
    <xdr:clientData/>
  </xdr:twoCellAnchor>
  <xdr:twoCellAnchor>
    <xdr:from>
      <xdr:col>9</xdr:col>
      <xdr:colOff>28575</xdr:colOff>
      <xdr:row>7</xdr:row>
      <xdr:rowOff>85725</xdr:rowOff>
    </xdr:from>
    <xdr:to>
      <xdr:col>16</xdr:col>
      <xdr:colOff>142875</xdr:colOff>
      <xdr:row>7</xdr:row>
      <xdr:rowOff>85725</xdr:rowOff>
    </xdr:to>
    <xdr:sp macro="" textlink="">
      <xdr:nvSpPr>
        <xdr:cNvPr id="13" name="Line 35">
          <a:extLst>
            <a:ext uri="{FF2B5EF4-FFF2-40B4-BE49-F238E27FC236}">
              <a16:creationId xmlns:a16="http://schemas.microsoft.com/office/drawing/2014/main" id="{2F4039D0-6C8B-4BEE-9AEF-009E2BB01444}"/>
            </a:ext>
          </a:extLst>
        </xdr:cNvPr>
        <xdr:cNvSpPr>
          <a:spLocks noChangeShapeType="1"/>
        </xdr:cNvSpPr>
      </xdr:nvSpPr>
      <xdr:spPr bwMode="auto">
        <a:xfrm rot="-5400000">
          <a:off x="3505200" y="723900"/>
          <a:ext cx="0" cy="1581150"/>
        </a:xfrm>
        <a:prstGeom prst="line">
          <a:avLst/>
        </a:prstGeom>
        <a:noFill/>
        <a:ln w="3175">
          <a:solidFill>
            <a:srgbClr val="000000"/>
          </a:solidFill>
          <a:round/>
          <a:headEnd type="none" w="sm" len="sm"/>
          <a:tailEnd type="none" w="sm" len="sm"/>
        </a:ln>
      </xdr:spPr>
    </xdr:sp>
    <xdr:clientData/>
  </xdr:twoCellAnchor>
  <xdr:twoCellAnchor>
    <xdr:from>
      <xdr:col>9</xdr:col>
      <xdr:colOff>28575</xdr:colOff>
      <xdr:row>7</xdr:row>
      <xdr:rowOff>85725</xdr:rowOff>
    </xdr:from>
    <xdr:to>
      <xdr:col>9</xdr:col>
      <xdr:colOff>28575</xdr:colOff>
      <xdr:row>8</xdr:row>
      <xdr:rowOff>152400</xdr:rowOff>
    </xdr:to>
    <xdr:sp macro="" textlink="">
      <xdr:nvSpPr>
        <xdr:cNvPr id="14" name="Line 36">
          <a:extLst>
            <a:ext uri="{FF2B5EF4-FFF2-40B4-BE49-F238E27FC236}">
              <a16:creationId xmlns:a16="http://schemas.microsoft.com/office/drawing/2014/main" id="{FA7DF986-B7EF-4223-A2A3-8C12C05BA5B5}"/>
            </a:ext>
          </a:extLst>
        </xdr:cNvPr>
        <xdr:cNvSpPr>
          <a:spLocks noChangeShapeType="1"/>
        </xdr:cNvSpPr>
      </xdr:nvSpPr>
      <xdr:spPr bwMode="auto">
        <a:xfrm rot="-5400000">
          <a:off x="2590800" y="1638300"/>
          <a:ext cx="2476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oval" w="sm" len="sm"/>
        </a:ln>
      </xdr:spPr>
    </xdr:sp>
    <xdr:clientData/>
  </xdr:twoCellAnchor>
  <xdr:twoCellAnchor>
    <xdr:from>
      <xdr:col>16</xdr:col>
      <xdr:colOff>133350</xdr:colOff>
      <xdr:row>7</xdr:row>
      <xdr:rowOff>85725</xdr:rowOff>
    </xdr:from>
    <xdr:to>
      <xdr:col>16</xdr:col>
      <xdr:colOff>133350</xdr:colOff>
      <xdr:row>8</xdr:row>
      <xdr:rowOff>152400</xdr:rowOff>
    </xdr:to>
    <xdr:sp macro="" textlink="">
      <xdr:nvSpPr>
        <xdr:cNvPr id="15" name="Line 37">
          <a:extLst>
            <a:ext uri="{FF2B5EF4-FFF2-40B4-BE49-F238E27FC236}">
              <a16:creationId xmlns:a16="http://schemas.microsoft.com/office/drawing/2014/main" id="{E5430752-E5E2-42B9-AFA5-D41997F8028F}"/>
            </a:ext>
          </a:extLst>
        </xdr:cNvPr>
        <xdr:cNvSpPr>
          <a:spLocks noChangeShapeType="1"/>
        </xdr:cNvSpPr>
      </xdr:nvSpPr>
      <xdr:spPr bwMode="auto">
        <a:xfrm rot="-5400000">
          <a:off x="4162425" y="1638300"/>
          <a:ext cx="2476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 type="oval" w="sm" len="sm"/>
        </a:ln>
      </xdr:spPr>
    </xdr:sp>
    <xdr:clientData/>
  </xdr:twoCellAnchor>
  <xdr:twoCellAnchor>
    <xdr:from>
      <xdr:col>3</xdr:col>
      <xdr:colOff>180975</xdr:colOff>
      <xdr:row>10</xdr:row>
      <xdr:rowOff>161925</xdr:rowOff>
    </xdr:from>
    <xdr:to>
      <xdr:col>21</xdr:col>
      <xdr:colOff>179070</xdr:colOff>
      <xdr:row>14</xdr:row>
      <xdr:rowOff>9525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B420BCDD-009B-439A-9DB0-B17818FCB066}"/>
            </a:ext>
          </a:extLst>
        </xdr:cNvPr>
        <xdr:cNvGrpSpPr/>
      </xdr:nvGrpSpPr>
      <xdr:grpSpPr>
        <a:xfrm>
          <a:off x="1609725" y="2133600"/>
          <a:ext cx="3769995" cy="571500"/>
          <a:chOff x="1628775" y="2314575"/>
          <a:chExt cx="3769995" cy="571500"/>
        </a:xfrm>
      </xdr:grpSpPr>
      <xdr:sp macro="" textlink="">
        <xdr:nvSpPr>
          <xdr:cNvPr id="25" name="Line 2">
            <a:extLst>
              <a:ext uri="{FF2B5EF4-FFF2-40B4-BE49-F238E27FC236}">
                <a16:creationId xmlns:a16="http://schemas.microsoft.com/office/drawing/2014/main" id="{0ACDDEAD-2CF0-444C-A61A-8BB368E8E4FF}"/>
              </a:ext>
            </a:extLst>
          </xdr:cNvPr>
          <xdr:cNvSpPr>
            <a:spLocks noChangeShapeType="1"/>
          </xdr:cNvSpPr>
        </xdr:nvSpPr>
        <xdr:spPr bwMode="auto">
          <a:xfrm>
            <a:off x="1866900" y="2886075"/>
            <a:ext cx="228600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" name="Line 3">
            <a:extLst>
              <a:ext uri="{FF2B5EF4-FFF2-40B4-BE49-F238E27FC236}">
                <a16:creationId xmlns:a16="http://schemas.microsoft.com/office/drawing/2014/main" id="{71E42901-891B-41A3-9861-E8E4E14B0475}"/>
              </a:ext>
            </a:extLst>
          </xdr:cNvPr>
          <xdr:cNvSpPr>
            <a:spLocks noChangeShapeType="1"/>
          </xdr:cNvSpPr>
        </xdr:nvSpPr>
        <xdr:spPr bwMode="auto">
          <a:xfrm>
            <a:off x="1866900" y="2343150"/>
            <a:ext cx="0" cy="542925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 type="oval" w="sm" len="sm"/>
            <a:tailEnd type="oval" w="sm" len="sm"/>
          </a:ln>
        </xdr:spPr>
      </xdr:sp>
      <xdr:sp macro="" textlink="">
        <xdr:nvSpPr>
          <xdr:cNvPr id="27" name="Line 4">
            <a:extLst>
              <a:ext uri="{FF2B5EF4-FFF2-40B4-BE49-F238E27FC236}">
                <a16:creationId xmlns:a16="http://schemas.microsoft.com/office/drawing/2014/main" id="{26099FF0-D980-468F-B47B-539EF6E4D7B6}"/>
              </a:ext>
            </a:extLst>
          </xdr:cNvPr>
          <xdr:cNvSpPr>
            <a:spLocks noChangeShapeType="1"/>
          </xdr:cNvSpPr>
        </xdr:nvSpPr>
        <xdr:spPr bwMode="auto">
          <a:xfrm>
            <a:off x="1866900" y="2343150"/>
            <a:ext cx="228600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" name="Line 7">
            <a:extLst>
              <a:ext uri="{FF2B5EF4-FFF2-40B4-BE49-F238E27FC236}">
                <a16:creationId xmlns:a16="http://schemas.microsoft.com/office/drawing/2014/main" id="{01BF65C1-FE8D-4979-AD11-BC30A7E57C32}"/>
              </a:ext>
            </a:extLst>
          </xdr:cNvPr>
          <xdr:cNvSpPr>
            <a:spLocks noChangeShapeType="1"/>
          </xdr:cNvSpPr>
        </xdr:nvSpPr>
        <xdr:spPr bwMode="auto">
          <a:xfrm>
            <a:off x="2867717" y="2344654"/>
            <a:ext cx="127538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Line 8">
            <a:extLst>
              <a:ext uri="{FF2B5EF4-FFF2-40B4-BE49-F238E27FC236}">
                <a16:creationId xmlns:a16="http://schemas.microsoft.com/office/drawing/2014/main" id="{DFF38616-1627-4CDB-9AD9-5B2EAFB03819}"/>
              </a:ext>
            </a:extLst>
          </xdr:cNvPr>
          <xdr:cNvSpPr>
            <a:spLocks noChangeShapeType="1"/>
          </xdr:cNvSpPr>
        </xdr:nvSpPr>
        <xdr:spPr bwMode="auto">
          <a:xfrm flipH="1">
            <a:off x="2038719" y="2344654"/>
            <a:ext cx="828998" cy="53390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9">
            <a:extLst>
              <a:ext uri="{FF2B5EF4-FFF2-40B4-BE49-F238E27FC236}">
                <a16:creationId xmlns:a16="http://schemas.microsoft.com/office/drawing/2014/main" id="{E07861CB-1C6C-4EE6-ADBF-D9BB467A8BC6}"/>
              </a:ext>
            </a:extLst>
          </xdr:cNvPr>
          <xdr:cNvSpPr>
            <a:spLocks noChangeShapeType="1"/>
          </xdr:cNvSpPr>
        </xdr:nvSpPr>
        <xdr:spPr bwMode="auto">
          <a:xfrm>
            <a:off x="4143098" y="2344654"/>
            <a:ext cx="828998" cy="53390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" name="Line 14">
            <a:extLst>
              <a:ext uri="{FF2B5EF4-FFF2-40B4-BE49-F238E27FC236}">
                <a16:creationId xmlns:a16="http://schemas.microsoft.com/office/drawing/2014/main" id="{C3D19B41-B29A-4346-9878-9D39E2945514}"/>
              </a:ext>
            </a:extLst>
          </xdr:cNvPr>
          <xdr:cNvSpPr>
            <a:spLocks noChangeShapeType="1"/>
          </xdr:cNvSpPr>
        </xdr:nvSpPr>
        <xdr:spPr bwMode="auto">
          <a:xfrm>
            <a:off x="1628775" y="2886075"/>
            <a:ext cx="37623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" name="Oval 18">
            <a:extLst>
              <a:ext uri="{FF2B5EF4-FFF2-40B4-BE49-F238E27FC236}">
                <a16:creationId xmlns:a16="http://schemas.microsoft.com/office/drawing/2014/main" id="{71D9C347-D12D-498A-85BA-69E1680610DB}"/>
              </a:ext>
            </a:extLst>
          </xdr:cNvPr>
          <xdr:cNvSpPr>
            <a:spLocks noChangeArrowheads="1"/>
          </xdr:cNvSpPr>
        </xdr:nvSpPr>
        <xdr:spPr bwMode="auto">
          <a:xfrm>
            <a:off x="4215977" y="2314575"/>
            <a:ext cx="173087" cy="9775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" name="Oval 19">
            <a:extLst>
              <a:ext uri="{FF2B5EF4-FFF2-40B4-BE49-F238E27FC236}">
                <a16:creationId xmlns:a16="http://schemas.microsoft.com/office/drawing/2014/main" id="{83507200-8193-48A3-8D7A-0E7CCB8DD283}"/>
              </a:ext>
            </a:extLst>
          </xdr:cNvPr>
          <xdr:cNvSpPr>
            <a:spLocks noChangeArrowheads="1"/>
          </xdr:cNvSpPr>
        </xdr:nvSpPr>
        <xdr:spPr bwMode="auto">
          <a:xfrm>
            <a:off x="4343515" y="2389772"/>
            <a:ext cx="173087" cy="9775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" name="Oval 20">
            <a:extLst>
              <a:ext uri="{FF2B5EF4-FFF2-40B4-BE49-F238E27FC236}">
                <a16:creationId xmlns:a16="http://schemas.microsoft.com/office/drawing/2014/main" id="{B951FEAC-E0CC-4800-96AC-E4B8B7023242}"/>
              </a:ext>
            </a:extLst>
          </xdr:cNvPr>
          <xdr:cNvSpPr>
            <a:spLocks noChangeArrowheads="1"/>
          </xdr:cNvSpPr>
        </xdr:nvSpPr>
        <xdr:spPr bwMode="auto">
          <a:xfrm>
            <a:off x="4461944" y="2472489"/>
            <a:ext cx="173087" cy="9775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" name="Oval 21">
            <a:extLst>
              <a:ext uri="{FF2B5EF4-FFF2-40B4-BE49-F238E27FC236}">
                <a16:creationId xmlns:a16="http://schemas.microsoft.com/office/drawing/2014/main" id="{1F6D6790-75A6-494C-8864-9C240DB7B809}"/>
              </a:ext>
            </a:extLst>
          </xdr:cNvPr>
          <xdr:cNvSpPr>
            <a:spLocks noChangeArrowheads="1"/>
          </xdr:cNvSpPr>
        </xdr:nvSpPr>
        <xdr:spPr bwMode="auto">
          <a:xfrm>
            <a:off x="4589482" y="2555207"/>
            <a:ext cx="173087" cy="9775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" name="Oval 22">
            <a:extLst>
              <a:ext uri="{FF2B5EF4-FFF2-40B4-BE49-F238E27FC236}">
                <a16:creationId xmlns:a16="http://schemas.microsoft.com/office/drawing/2014/main" id="{B86CEABB-CA18-4C77-B44A-0A4B5C1ECFC9}"/>
              </a:ext>
            </a:extLst>
          </xdr:cNvPr>
          <xdr:cNvSpPr>
            <a:spLocks noChangeArrowheads="1"/>
          </xdr:cNvSpPr>
        </xdr:nvSpPr>
        <xdr:spPr bwMode="auto">
          <a:xfrm>
            <a:off x="4707910" y="2622884"/>
            <a:ext cx="173087" cy="9775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" name="Oval 23">
            <a:extLst>
              <a:ext uri="{FF2B5EF4-FFF2-40B4-BE49-F238E27FC236}">
                <a16:creationId xmlns:a16="http://schemas.microsoft.com/office/drawing/2014/main" id="{1A60D2FB-8076-47ED-9CEB-F7F85CE7215E}"/>
              </a:ext>
            </a:extLst>
          </xdr:cNvPr>
          <xdr:cNvSpPr>
            <a:spLocks noChangeArrowheads="1"/>
          </xdr:cNvSpPr>
        </xdr:nvSpPr>
        <xdr:spPr bwMode="auto">
          <a:xfrm>
            <a:off x="4817228" y="2713121"/>
            <a:ext cx="173087" cy="9775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" name="Oval 24">
            <a:extLst>
              <a:ext uri="{FF2B5EF4-FFF2-40B4-BE49-F238E27FC236}">
                <a16:creationId xmlns:a16="http://schemas.microsoft.com/office/drawing/2014/main" id="{E8C02D0C-EA66-4BA0-A3F4-BDA81CB78379}"/>
              </a:ext>
            </a:extLst>
          </xdr:cNvPr>
          <xdr:cNvSpPr>
            <a:spLocks noChangeArrowheads="1"/>
          </xdr:cNvSpPr>
        </xdr:nvSpPr>
        <xdr:spPr bwMode="auto">
          <a:xfrm>
            <a:off x="4935657" y="2788318"/>
            <a:ext cx="173087" cy="9775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" name="Line 7">
            <a:extLst>
              <a:ext uri="{FF2B5EF4-FFF2-40B4-BE49-F238E27FC236}">
                <a16:creationId xmlns:a16="http://schemas.microsoft.com/office/drawing/2014/main" id="{72D1DFD8-C0C4-40E4-96BA-4A703CFE8492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7280" y="2653834"/>
            <a:ext cx="49149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" name="이등변 삼각형 39">
            <a:extLst>
              <a:ext uri="{FF2B5EF4-FFF2-40B4-BE49-F238E27FC236}">
                <a16:creationId xmlns:a16="http://schemas.microsoft.com/office/drawing/2014/main" id="{CFF7B197-C07C-4303-AE13-E5149FC6D0C9}"/>
              </a:ext>
            </a:extLst>
          </xdr:cNvPr>
          <xdr:cNvSpPr/>
        </xdr:nvSpPr>
        <xdr:spPr>
          <a:xfrm rot="10800000">
            <a:off x="5105140" y="2552700"/>
            <a:ext cx="114848" cy="82525"/>
          </a:xfrm>
          <a:prstGeom prst="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180975</xdr:colOff>
      <xdr:row>25</xdr:row>
      <xdr:rowOff>9525</xdr:rowOff>
    </xdr:from>
    <xdr:to>
      <xdr:col>7</xdr:col>
      <xdr:colOff>66675</xdr:colOff>
      <xdr:row>26</xdr:row>
      <xdr:rowOff>0</xdr:rowOff>
    </xdr:to>
    <xdr:sp macro="" textlink="">
      <xdr:nvSpPr>
        <xdr:cNvPr id="42" name="Freeform 5">
          <a:extLst>
            <a:ext uri="{FF2B5EF4-FFF2-40B4-BE49-F238E27FC236}">
              <a16:creationId xmlns:a16="http://schemas.microsoft.com/office/drawing/2014/main" id="{35BC73C1-6D59-4D82-BCA2-1DE813B315EF}"/>
            </a:ext>
          </a:extLst>
        </xdr:cNvPr>
        <xdr:cNvSpPr>
          <a:spLocks/>
        </xdr:cNvSpPr>
      </xdr:nvSpPr>
      <xdr:spPr bwMode="auto">
        <a:xfrm>
          <a:off x="1190625" y="4695825"/>
          <a:ext cx="1143000" cy="171450"/>
        </a:xfrm>
        <a:custGeom>
          <a:avLst/>
          <a:gdLst>
            <a:gd name="T0" fmla="*/ 0 w 126"/>
            <a:gd name="T1" fmla="*/ 15 h 19"/>
            <a:gd name="T2" fmla="*/ 1 w 126"/>
            <a:gd name="T3" fmla="*/ 12 h 19"/>
            <a:gd name="T4" fmla="*/ 5 w 126"/>
            <a:gd name="T5" fmla="*/ 19 h 19"/>
            <a:gd name="T6" fmla="*/ 7 w 126"/>
            <a:gd name="T7" fmla="*/ 0 h 19"/>
            <a:gd name="T8" fmla="*/ 126 w 126"/>
            <a:gd name="T9" fmla="*/ 0 h 19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6"/>
            <a:gd name="T16" fmla="*/ 0 h 19"/>
            <a:gd name="T17" fmla="*/ 126 w 126"/>
            <a:gd name="T18" fmla="*/ 19 h 19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6" h="19">
              <a:moveTo>
                <a:pt x="0" y="15"/>
              </a:moveTo>
              <a:lnTo>
                <a:pt x="1" y="12"/>
              </a:lnTo>
              <a:lnTo>
                <a:pt x="5" y="19"/>
              </a:lnTo>
              <a:lnTo>
                <a:pt x="7" y="0"/>
              </a:lnTo>
              <a:lnTo>
                <a:pt x="126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51116;&#50857;\&#45800;&#51648;&#48512;\hb\&#49340;&#49328;1&#51648;&#44396;(&#49892;&#49884;)\&#51452;&#44277;&#49688;&#47049;\&#51068;&#50948;&#45824;&#44032;98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b\&#49340;&#49328;1&#51648;&#44396;(&#49892;&#49884;)\&#51452;&#44277;&#49688;&#47049;\&#51068;&#50948;&#45824;&#44032;98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IWOOK\&#50641;&#49828;&#54252;\hb\&#49340;&#49328;1&#51648;&#44396;(&#49892;&#49884;)\&#51452;&#44277;&#49688;&#47049;\&#51068;&#50948;&#45824;&#44032;98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4788;&#50857;\&#54532;&#47196;&#51229;&#53944;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9692;\&#45824;&#51204;%20EXPO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hb\&#49340;&#49328;1&#51648;&#44396;(&#49892;&#49884;)\&#51452;&#44277;&#49688;&#47049;\&#51068;&#50948;&#45824;&#44032;98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2호맨홀공제수량"/>
      <sheetName val="토사(PE)"/>
      <sheetName val="Sheet1"/>
      <sheetName val="금액내역서"/>
      <sheetName val="Sheet1 (2)"/>
      <sheetName val="단면 (2)"/>
      <sheetName val="#REF"/>
      <sheetName val="8.3해석단면 선정"/>
      <sheetName val="INPUT(덕도방향-시점)"/>
      <sheetName val="대로근거"/>
      <sheetName val="중로근거"/>
      <sheetName val="TYPE-A"/>
      <sheetName val="6PILE  (돌출)"/>
      <sheetName val="BOX-1510"/>
      <sheetName val="Sheet2"/>
      <sheetName val="수량산출"/>
      <sheetName val="산출근거"/>
      <sheetName val="ABUT수량-A1"/>
      <sheetName val="3BL공동구 수량"/>
      <sheetName val="관경결정"/>
      <sheetName val="구조물철거타공정이월"/>
      <sheetName val="일위대가9803"/>
      <sheetName val="DATE"/>
      <sheetName val="공구"/>
      <sheetName val="관로토공"/>
      <sheetName val="단위수량"/>
      <sheetName val="말뚝지지력산정"/>
      <sheetName val="역T형(H=6.0) (2)"/>
      <sheetName val="철근단면적"/>
      <sheetName val="원형1호맨홀토공수량"/>
      <sheetName val="조건표"/>
      <sheetName val="토목품셈"/>
      <sheetName val="사다리"/>
      <sheetName val="원형측구(B-type)"/>
      <sheetName val="포장직선구간"/>
      <sheetName val="수량3"/>
      <sheetName val="노임단가"/>
      <sheetName val="포장물량집계"/>
      <sheetName val="오수표시테이프단위수량"/>
      <sheetName val="1호맨홀토공"/>
      <sheetName val="관보호공단위수량"/>
      <sheetName val="안산기계장치"/>
      <sheetName val="입력시트"/>
      <sheetName val="터파기및재료"/>
      <sheetName val="철근량"/>
      <sheetName val="다이꾸"/>
      <sheetName val="차액보증"/>
      <sheetName val="예가표"/>
      <sheetName val="사통"/>
      <sheetName val="TOTAL"/>
      <sheetName val="산근(1)"/>
      <sheetName val="우수관"/>
      <sheetName val="1TL종점(1)"/>
      <sheetName val="공사비증감(P4) "/>
      <sheetName val="교각계산"/>
      <sheetName val="공사비예산서(토목분)"/>
      <sheetName val="수안보-MBR1"/>
      <sheetName val="실행"/>
      <sheetName val="guard(mac)"/>
      <sheetName val="날개벽(시점좌측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000000"/>
      <sheetName val="일위대가"/>
      <sheetName val="조명시설"/>
      <sheetName val="말뚝지지력산정"/>
      <sheetName val="대로근거"/>
      <sheetName val="중로근거"/>
      <sheetName val="내역서 "/>
      <sheetName val="단가"/>
      <sheetName val="1.설계조건"/>
      <sheetName val="철근단면적"/>
      <sheetName val="DATE"/>
      <sheetName val="하도금액분계"/>
      <sheetName val="DATA"/>
      <sheetName val="단면가정"/>
      <sheetName val="기둥(원형)"/>
      <sheetName val="견적990322"/>
      <sheetName val="#REF"/>
      <sheetName val="교각1"/>
      <sheetName val="원형맨홀수량"/>
      <sheetName val="산출근거"/>
      <sheetName val="guard(mac)"/>
      <sheetName val="SLAB&quot;1&quot;"/>
      <sheetName val="가도공"/>
      <sheetName val="ABUT수량-A1"/>
      <sheetName val="danga"/>
      <sheetName val="ilch"/>
      <sheetName val="8.PILE  (돌출)"/>
      <sheetName val="입찰안"/>
      <sheetName val="Y-WORK"/>
      <sheetName val="ITEM"/>
      <sheetName val="용산1(해보)"/>
      <sheetName val="터파기및재료"/>
      <sheetName val="배수통관(좌)"/>
      <sheetName val="일위대가9803"/>
      <sheetName val="플랜트 설치"/>
      <sheetName val="정부노임단가"/>
      <sheetName val="자료"/>
      <sheetName val="찍기"/>
      <sheetName val="토목"/>
      <sheetName val="설명서 "/>
      <sheetName val="가중치"/>
      <sheetName val="70%"/>
      <sheetName val="견적조건"/>
      <sheetName val="개략"/>
      <sheetName val="2호맨홀공제수량"/>
      <sheetName val="갑지(추정)"/>
      <sheetName val="대비"/>
      <sheetName val="hvac(제어동)"/>
      <sheetName val="단위수량"/>
      <sheetName val="신표지1"/>
      <sheetName val="표  지"/>
      <sheetName val="대전21토목내역서"/>
      <sheetName val="hvac내역서(제어동)"/>
      <sheetName val="전기"/>
      <sheetName val="Macro(전선)"/>
      <sheetName val="총괄표"/>
      <sheetName val="을"/>
      <sheetName val="Sheet1"/>
      <sheetName val="설계조건"/>
      <sheetName val="안정계산"/>
      <sheetName val="단면검토"/>
      <sheetName val="일위대가(가설)"/>
      <sheetName val="노임단가"/>
      <sheetName val="몰탈재료산출"/>
      <sheetName val="신규 수주분(사용자 정의)"/>
      <sheetName val="수량산출"/>
      <sheetName val="DATA2000"/>
      <sheetName val="내력서"/>
      <sheetName val="가로등내역서"/>
      <sheetName val="COPING"/>
      <sheetName val="1.설계기준"/>
      <sheetName val="역T형"/>
      <sheetName val="구조물철거타공정이월"/>
      <sheetName val="1.우편집중내역서"/>
      <sheetName val="식생블럭단위수량"/>
      <sheetName val="자재단가"/>
      <sheetName val="데이타"/>
      <sheetName val="Front"/>
      <sheetName val="wall"/>
      <sheetName val="9GNG운반"/>
      <sheetName val="설계내역서"/>
      <sheetName val="보온자재단가표"/>
      <sheetName val="설직재-1"/>
      <sheetName val="전기일위대가"/>
      <sheetName val="주차구획선수량"/>
      <sheetName val="3BL공동구 수량"/>
      <sheetName val="20관리비율"/>
      <sheetName val="방음벽기초(H=4m)"/>
      <sheetName val="WVAL"/>
      <sheetName val="토공총괄집계"/>
      <sheetName val="합계금액"/>
      <sheetName val="코드표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1"/>
      <sheetName val="1,2,3,4,5단위수량"/>
      <sheetName val="TYPE-A"/>
      <sheetName val="기기리스트"/>
      <sheetName val="내역서_"/>
      <sheetName val="CODE"/>
      <sheetName val="H-pile(298x299)"/>
      <sheetName val="H-pile(250x250)"/>
      <sheetName val="소업1교"/>
      <sheetName val="총집계"/>
      <sheetName val="토공(우물통,기타) "/>
      <sheetName val="참조"/>
      <sheetName val="분석"/>
      <sheetName val="계단"/>
      <sheetName val="철근량"/>
      <sheetName val="안산기계장치"/>
      <sheetName val="sw1"/>
      <sheetName val="원형1호맨홀토공수량"/>
      <sheetName val="본체"/>
      <sheetName val="송라터널총괄"/>
      <sheetName val="INPUT(덕도방향-시점)"/>
      <sheetName val="input"/>
      <sheetName val="일위대가표"/>
      <sheetName val="접속도로"/>
      <sheetName val="6PILE  (돌출)"/>
      <sheetName val="Macro1"/>
      <sheetName val="노임이"/>
      <sheetName val="내역서"/>
      <sheetName val="마산방향철근집계"/>
      <sheetName val="진주방향"/>
      <sheetName val="마산방향"/>
      <sheetName val="일위대가(계측기설치)"/>
      <sheetName val="한강운반비"/>
      <sheetName val="전체"/>
      <sheetName val="DATA 입력란"/>
      <sheetName val="CPM챠트"/>
      <sheetName val="조작대(1연)"/>
      <sheetName val="산출내역서집계표"/>
      <sheetName val="W3단면"/>
      <sheetName val="금액내역서"/>
      <sheetName val="설계예산"/>
      <sheetName val="업체별기성내역"/>
      <sheetName val="연령현황"/>
      <sheetName val="기계경비(시간당)"/>
      <sheetName val="램머"/>
      <sheetName val="내역표지"/>
      <sheetName val="Sheet1 (2)"/>
      <sheetName val="우수공"/>
      <sheetName val="98수문일위"/>
      <sheetName val="물가자료"/>
      <sheetName val="관리,공감"/>
      <sheetName val="물량표S"/>
      <sheetName val="PAINT"/>
      <sheetName val="SUMMARY"/>
      <sheetName val="물량표"/>
      <sheetName val="물량표(신)"/>
      <sheetName val="3.하중산정4.지지력"/>
      <sheetName val="표지 (2)"/>
      <sheetName val="시설물기초"/>
      <sheetName val="단가산출서1"/>
      <sheetName val="식재총괄"/>
      <sheetName val="좌측"/>
      <sheetName val="수량BOQ"/>
      <sheetName val="노임"/>
      <sheetName val="개산공사비"/>
      <sheetName val="지장물C"/>
      <sheetName val="법면"/>
      <sheetName val="부대공"/>
      <sheetName val="구조물공"/>
      <sheetName val="중기일위대가"/>
      <sheetName val="포장공"/>
      <sheetName val="토공"/>
      <sheetName val="배수공1"/>
      <sheetName val="일반부표"/>
      <sheetName val="N賃率-職"/>
      <sheetName val="제직재"/>
      <sheetName val="제-노임"/>
      <sheetName val="단면 (2)"/>
      <sheetName val="공통가설"/>
      <sheetName val="BID"/>
      <sheetName val="토목품셈"/>
      <sheetName val="음료실행"/>
      <sheetName val="하수급견적대비"/>
      <sheetName val="Total"/>
      <sheetName val="품셈TABLE"/>
      <sheetName val="식재인부"/>
      <sheetName val="맨홀수량"/>
      <sheetName val="토사(PE)"/>
      <sheetName val="DIAPHRAGM"/>
      <sheetName val="99노임기준"/>
      <sheetName val="2.가정단면"/>
      <sheetName val="총괄"/>
      <sheetName val="기초공"/>
      <sheetName val="우수관"/>
      <sheetName val="Sheet2"/>
      <sheetName val="세목전체"/>
      <sheetName val="관경별우수관집계"/>
      <sheetName val="실행철강하도"/>
      <sheetName val="수로단위수량"/>
      <sheetName val="기초일위"/>
      <sheetName val="수목단가"/>
      <sheetName val="시설수량표"/>
      <sheetName val="시설일위"/>
      <sheetName val="식재수량표"/>
      <sheetName val="식재일위"/>
      <sheetName val="1. 설계조건 2.단면가정 3. 하중계산"/>
      <sheetName val="교대(A1)"/>
      <sheetName val="총괄내역서"/>
      <sheetName val="MOTOR"/>
      <sheetName val="식재일위대가"/>
      <sheetName val="정렬"/>
      <sheetName val="토적계산서"/>
      <sheetName val="날개벽수량표"/>
      <sheetName val="덕전리"/>
      <sheetName val="교각계산"/>
      <sheetName val="crude.SLAB RE-bar"/>
      <sheetName val="CRUDE RE-bar"/>
      <sheetName val="COMPARISON TABLE"/>
      <sheetName val="부대공Ⅱ"/>
      <sheetName val="견적대비"/>
      <sheetName val="단가조사서"/>
      <sheetName val="목차"/>
      <sheetName val="절취및터파기"/>
      <sheetName val="통영LNG입찰현황"/>
      <sheetName val="슬래브"/>
      <sheetName val="내역및총괄"/>
      <sheetName val="신우"/>
      <sheetName val="2.입력sheet"/>
      <sheetName val="M1"/>
      <sheetName val="뚝토공"/>
      <sheetName val="직공비"/>
      <sheetName val="(3.품질관리 시험 총괄표)"/>
      <sheetName val="지급자재"/>
      <sheetName val="차액보증"/>
      <sheetName val="공사비예산서(토목분)"/>
      <sheetName val="토량1-1"/>
      <sheetName val="토목주소"/>
      <sheetName val="프랜트면허"/>
      <sheetName val="별표 "/>
      <sheetName val="조명율표"/>
      <sheetName val="단가조사-2"/>
      <sheetName val="VE절감"/>
      <sheetName val="2000년1차"/>
      <sheetName val="대비표"/>
      <sheetName val="공량산출서"/>
      <sheetName val="건축공사"/>
      <sheetName val="물가시세표"/>
      <sheetName val="1.2.1 마루높이결정"/>
      <sheetName val="전력구구조물산근"/>
      <sheetName val="1TL종점(1)"/>
      <sheetName val="도로경계블럭연장조서"/>
      <sheetName val="WORK"/>
      <sheetName val="1062-X방향 "/>
      <sheetName val="옥룡잡비"/>
      <sheetName val="개요"/>
      <sheetName val="원하도급내역서(당초)"/>
      <sheetName val="현장일반사항"/>
      <sheetName val="PAD TR보호대기초"/>
      <sheetName val="가로등기초"/>
      <sheetName val="중기사용료산출근거"/>
      <sheetName val="단가 및 재료비"/>
      <sheetName val="토공총괄표"/>
      <sheetName val="원형측구(B-type)"/>
      <sheetName val="변경후-SHEET"/>
      <sheetName val="지주목시비량산출서"/>
      <sheetName val="단가조사"/>
      <sheetName val="용수량(생활용수)"/>
      <sheetName val="BOX전기내역"/>
      <sheetName val="소운반"/>
      <sheetName val="수입"/>
      <sheetName val="조경"/>
      <sheetName val="SILICATE"/>
      <sheetName val="TB-내역서"/>
      <sheetName val="내역"/>
      <sheetName val="데리네이타현황"/>
      <sheetName val="COL"/>
      <sheetName val="1_설계조건"/>
      <sheetName val="plan&amp;section_of_foundation"/>
      <sheetName val="working_load_at_the_btm_ft_"/>
      <sheetName val="stability_check"/>
      <sheetName val="design_criteria"/>
      <sheetName val="design_load"/>
      <sheetName val="spiral"/>
      <sheetName val="배수철근"/>
      <sheetName val="관경"/>
      <sheetName val="토목내역"/>
      <sheetName val="시행후면적"/>
      <sheetName val="시가지우회도로공내역서"/>
      <sheetName val="o현장경비"/>
      <sheetName val="2000용수잠관-수량집계"/>
      <sheetName val="기계시공"/>
      <sheetName val="00000"/>
      <sheetName val="수량집계표"/>
      <sheetName val="도장수량(하1)"/>
      <sheetName val="주형"/>
      <sheetName val="금융비용"/>
      <sheetName val="거래처등록"/>
      <sheetName val="BOILING검토"/>
      <sheetName val="입찰보고"/>
      <sheetName val="CON포장수량"/>
      <sheetName val="CONUNIT"/>
      <sheetName val="자재목록"/>
      <sheetName val="입력"/>
      <sheetName val="설계변경원가계산총괄표"/>
      <sheetName val="간지9)"/>
      <sheetName val="7.PILE  (돌출)"/>
      <sheetName val="기안"/>
      <sheetName val="WEON"/>
      <sheetName val="차선도색현황"/>
      <sheetName val="손익분석"/>
      <sheetName val="일위대가(건축)"/>
      <sheetName val="견적서"/>
      <sheetName val="BOX(1.5X1.5)"/>
      <sheetName val="U-TYPE(1)"/>
      <sheetName val="설계명세"/>
      <sheetName val="산근(PE,300)"/>
      <sheetName val="특2호부관하천산근"/>
      <sheetName val="특2호하천산근"/>
      <sheetName val="SLIDES"/>
      <sheetName val="실행대비"/>
      <sheetName val="일반공사"/>
      <sheetName val="유림골조"/>
      <sheetName val="증감내역서"/>
      <sheetName val="기계경비일람"/>
      <sheetName val="PD-5(직선)"/>
      <sheetName val="갑지"/>
      <sheetName val="종배수관(신)"/>
      <sheetName val="적용단위길이"/>
      <sheetName val="자료입력"/>
      <sheetName val="종배수관면벽신"/>
      <sheetName val="아스콘단위"/>
      <sheetName val="기자재비"/>
      <sheetName val="단가(반정1교-원주)"/>
      <sheetName val="Sheet10"/>
      <sheetName val="바닥판(1)"/>
      <sheetName val="지구단위계획"/>
      <sheetName val="전선 및 전선관"/>
      <sheetName val="시선유도표지집계표"/>
      <sheetName val="옹벽"/>
      <sheetName val="배수내역"/>
      <sheetName val="공내역"/>
      <sheetName val="현황산출서"/>
      <sheetName val="XL4Poppy"/>
      <sheetName val="준검 내역서"/>
      <sheetName val="TYPE1"/>
      <sheetName val="공사비집계"/>
      <sheetName val="상수도공-간지"/>
      <sheetName val="전차선로 물량표"/>
      <sheetName val="부하계산서"/>
      <sheetName val="보차도경계석"/>
      <sheetName val="일위대가1"/>
      <sheetName val="맨홀수량산출"/>
      <sheetName val="포장복구집계"/>
      <sheetName val="단가일람"/>
      <sheetName val="단위량당중기"/>
      <sheetName val="수량산출근거"/>
      <sheetName val="방음벽기초"/>
      <sheetName val="웅진교-S2"/>
      <sheetName val="공구"/>
      <sheetName val="내역서(전기)"/>
      <sheetName val="상시"/>
      <sheetName val="Sheet3"/>
      <sheetName val="단가(1)"/>
      <sheetName val="BOX-1515"/>
      <sheetName val="BOX-1510"/>
      <sheetName val="woo(mac)"/>
      <sheetName val="산근목록"/>
      <sheetName val="type-F"/>
      <sheetName val="A-4"/>
      <sheetName val="수량집계"/>
      <sheetName val="각사별공사비분개 "/>
      <sheetName val="설계예산서"/>
      <sheetName val="예산작성기준(전기)"/>
      <sheetName val="전력"/>
      <sheetName val="통합"/>
      <sheetName val="P3"/>
      <sheetName val="※참고자료※"/>
      <sheetName val="UEC영화관본공사내역"/>
      <sheetName val="대운산출"/>
      <sheetName val="세부내역"/>
      <sheetName val="소방현물"/>
      <sheetName val="맨홀토공수량"/>
      <sheetName val="간선계산"/>
      <sheetName val="Macro(차단기)"/>
      <sheetName val="터널조도"/>
      <sheetName val="도급예산내역서봉투"/>
      <sheetName val="공사원가계산서"/>
      <sheetName val="도급예산내역서총괄표"/>
      <sheetName val="Baby일위대가"/>
      <sheetName val="분전함신설"/>
      <sheetName val="설계산출표지"/>
      <sheetName val="을부담운반비"/>
      <sheetName val="운반비산출"/>
      <sheetName val="접지1종"/>
      <sheetName val="지급자재조서"/>
      <sheetName val="Pier 3"/>
      <sheetName val="배수공"/>
      <sheetName val="측구공"/>
      <sheetName val="기둥(하중)"/>
      <sheetName val="인명부"/>
      <sheetName val="평균터파기"/>
      <sheetName val="계화배수"/>
      <sheetName val="&lt;목록&gt;"/>
      <sheetName val="별총"/>
      <sheetName val="날개벽(시점좌측)"/>
      <sheetName val="설계기준"/>
      <sheetName val="BID9697"/>
      <sheetName val="갑지1"/>
      <sheetName val="6호기"/>
      <sheetName val="공사내역"/>
      <sheetName val="주식"/>
      <sheetName val="집계표(육상)"/>
      <sheetName val="조건표"/>
      <sheetName val="참조M"/>
      <sheetName val="Sheet15"/>
      <sheetName val="하중"/>
      <sheetName val="횡배수관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주요자재집계표"/>
      <sheetName val="ACUNIT"/>
      <sheetName val="-몰탈콘크리트"/>
      <sheetName val="품의"/>
      <sheetName val="약품공급2"/>
      <sheetName val="2011.(4)"/>
      <sheetName val="재집"/>
      <sheetName val="직재"/>
      <sheetName val="설계기준 및 하중계산"/>
      <sheetName val="단면 _2_"/>
      <sheetName val="상승요인분석"/>
      <sheetName val=" 냉각수펌프"/>
      <sheetName val="주경기-오배수"/>
      <sheetName val="Sheet5"/>
      <sheetName val="예상"/>
      <sheetName val="수정내역서"/>
      <sheetName val="TEL"/>
      <sheetName val="맨홀평균높이"/>
      <sheetName val="결과조달"/>
      <sheetName val="날개벽"/>
      <sheetName val="2002년12월"/>
      <sheetName val="터널구조물산근"/>
      <sheetName val="유림총괄"/>
      <sheetName val="노무비계"/>
      <sheetName val="sheeet2"/>
      <sheetName val="공사비산출내역"/>
      <sheetName val="은행"/>
      <sheetName val="입력시트"/>
      <sheetName val="공사현황"/>
      <sheetName val="계산서(곡선부)"/>
      <sheetName val="-치수표(곡선부)"/>
      <sheetName val="설정"/>
      <sheetName val="코드"/>
      <sheetName val="공종별수량집계"/>
      <sheetName val="11.자재단가"/>
      <sheetName val="대림경상68억"/>
      <sheetName val="기계경비"/>
      <sheetName val="포장물량집계"/>
      <sheetName val="기계내역"/>
      <sheetName val="화단 철거"/>
      <sheetName val="2000전체분"/>
      <sheetName val="인천제철"/>
      <sheetName val="(A)내역서"/>
      <sheetName val="집계"/>
      <sheetName val="수량산출서 갑지"/>
      <sheetName val="2000년하반기"/>
      <sheetName val="중기집계"/>
      <sheetName val="재료"/>
      <sheetName val="역T형(H=6.0) (2)"/>
      <sheetName val="예산대비"/>
      <sheetName val="원가계산서"/>
      <sheetName val="단가산출"/>
      <sheetName val="2공구산출내역"/>
      <sheetName val="GAEYO"/>
      <sheetName val="SUMDO"/>
      <sheetName val="ENDDO"/>
      <sheetName val="PLDB"/>
      <sheetName val="AAA"/>
      <sheetName val="M-HOUR"/>
      <sheetName val="공기"/>
      <sheetName val="원가입력"/>
      <sheetName val="ASP"/>
      <sheetName val="입력값"/>
      <sheetName val="수지예산"/>
      <sheetName val="예정(3)"/>
      <sheetName val="Sheet6"/>
      <sheetName val="북방3터널"/>
      <sheetName val="실행"/>
      <sheetName val="예산내역서"/>
      <sheetName val="석축"/>
      <sheetName val="산근"/>
      <sheetName val="기둥"/>
      <sheetName val="저판(버림100)"/>
      <sheetName val="CTEMCOST"/>
      <sheetName val="DESCRIPTION"/>
      <sheetName val="내역(전체)"/>
      <sheetName val="옥내아파트(전기)"/>
      <sheetName val="공정별 수량산출서"/>
      <sheetName val="일반시방서"/>
      <sheetName val="일위대가(조경)"/>
      <sheetName val="자재 및 폐기물견적(2008)"/>
      <sheetName val="전계가"/>
      <sheetName val="인건비"/>
      <sheetName val="슬래브(유곡)"/>
      <sheetName val="inter"/>
      <sheetName val="중동공구"/>
      <sheetName val="Dike for 49T03 &amp; 49T04"/>
      <sheetName val="Dike for 49T02, 05~07, 19 (1)"/>
      <sheetName val="M_DB"/>
      <sheetName val="TYPE"/>
      <sheetName val="품셈총괄표"/>
      <sheetName val="FOOTING단면력"/>
      <sheetName val="대정2공구"/>
      <sheetName val="0226"/>
      <sheetName val="1호맨홀토공"/>
      <sheetName val="현장관리비"/>
      <sheetName val="포장직선구간"/>
      <sheetName val="관로토공"/>
      <sheetName val="명세서"/>
      <sheetName val="추정공사비_산출내역1.xlsx"/>
      <sheetName val="견적대비 견적서"/>
      <sheetName val="건축내역"/>
      <sheetName val="재료비"/>
      <sheetName val="배수관산출"/>
      <sheetName val="수량명세서"/>
      <sheetName val="우수"/>
      <sheetName val="공사내역서(을)실행"/>
      <sheetName val="2.단면가정 "/>
      <sheetName val="내역서_1"/>
      <sheetName val="8_PILE__(돌출)"/>
      <sheetName val="1_설계기준"/>
      <sheetName val="최적단면"/>
      <sheetName val="현장별계약현황('98.10.31)"/>
      <sheetName val="기본DATA"/>
      <sheetName val="기초(중마오수)"/>
      <sheetName val="일위대가_호표"/>
      <sheetName val="일위대가_호표 (계약)"/>
      <sheetName val="차선도색수량집계"/>
      <sheetName val="BLOCK(1)"/>
      <sheetName val="Sheet4"/>
      <sheetName val="설계개요"/>
      <sheetName val="중기비"/>
      <sheetName val="EP0618"/>
      <sheetName val="하중계산"/>
      <sheetName val="국공유지및사유지"/>
      <sheetName val="Model"/>
      <sheetName val="CONSTRUCTION COMPONENT"/>
      <sheetName val="wk prgs"/>
      <sheetName val="3CHBDC"/>
      <sheetName val="사급자재"/>
      <sheetName val="CAT_5"/>
      <sheetName val="간접비내역-1"/>
      <sheetName val="cable data1"/>
      <sheetName val="수목표준대가"/>
      <sheetName val="BOQ"/>
      <sheetName val="공통부대비"/>
      <sheetName val="costing_FE"/>
      <sheetName val="공종집계"/>
      <sheetName val="음봉방향"/>
      <sheetName val="접속 SLAB,BRACKET 설계"/>
      <sheetName val="가정급수관"/>
      <sheetName val="점수계산1-2"/>
      <sheetName val="약품설비"/>
      <sheetName val="건축집계"/>
      <sheetName val="1호-아(오)0.4"/>
      <sheetName val="세부내역서"/>
      <sheetName val="단가대비표"/>
      <sheetName val="주beam"/>
      <sheetName val="자재 집계표"/>
      <sheetName val="EQ"/>
      <sheetName val="Berm"/>
      <sheetName val="일위대가목차"/>
      <sheetName val="결재갑지"/>
      <sheetName val="간접비계산"/>
      <sheetName val="산출내역서"/>
      <sheetName val="COPING-1"/>
      <sheetName val="역T형교대-2수량"/>
      <sheetName val="1-1"/>
      <sheetName val="집수정"/>
      <sheetName val="pvc연결관"/>
      <sheetName val="2. 공원조도"/>
      <sheetName val="장비사양"/>
      <sheetName val="빙장비사양"/>
      <sheetName val="Tables"/>
      <sheetName val="공사비증감"/>
      <sheetName val="CABLE SIZE-3"/>
      <sheetName val="대치판정"/>
      <sheetName val="소비자가"/>
      <sheetName val="경산"/>
      <sheetName val="부속동"/>
      <sheetName val="변화치수"/>
      <sheetName val="밸브설치"/>
      <sheetName val="Sheet16"/>
      <sheetName val="Sheet14"/>
      <sheetName val="부하"/>
      <sheetName val="안정검토"/>
      <sheetName val="단면설계"/>
      <sheetName val="개방1"/>
      <sheetName val="APT"/>
      <sheetName val="Sheet13"/>
      <sheetName val="단면_(2)"/>
      <sheetName val="1_우편집중내역서"/>
      <sheetName val="3BL공동구_수량"/>
      <sheetName val="6PILE__(돌출)"/>
      <sheetName val="Sheet1_(2)"/>
      <sheetName val="신규_수주분(사용자_정의)"/>
      <sheetName val="pile_bearing_capa_&amp;_arrenge"/>
      <sheetName val="설명서_"/>
      <sheetName val="플랜트_설치"/>
      <sheetName val="DATA_입력란"/>
      <sheetName val="3_하중산정4_지지력"/>
      <sheetName val="2_가정단면"/>
      <sheetName val="표__지"/>
      <sheetName val="crude_SLAB_RE-bar"/>
      <sheetName val="CRUDE_RE-bar"/>
      <sheetName val="표지_(2)"/>
      <sheetName val="COMPARISON_TABLE"/>
      <sheetName val="경비_원본"/>
      <sheetName val="3.공통공사대비"/>
      <sheetName val="-배수구조물공토공"/>
      <sheetName val="횡배수관재료-"/>
      <sheetName val="계산서(직선부)"/>
      <sheetName val="IMPEADENCE MAP 취수장"/>
      <sheetName val="AC포장수량"/>
      <sheetName val="위치조서"/>
      <sheetName val="노임단가기준"/>
      <sheetName val="수량"/>
      <sheetName val="배수개거"/>
      <sheetName val="화산경계"/>
      <sheetName val="I.설계조건"/>
      <sheetName val="업무"/>
      <sheetName val="범례표"/>
      <sheetName val="예가표"/>
      <sheetName val="총수량집계표"/>
      <sheetName val="구조물공위치조서"/>
      <sheetName val="암거 제원표"/>
      <sheetName val="중간간지 (2)"/>
      <sheetName val="BOX(1_5X1_5)"/>
      <sheetName val="2_입력sheet"/>
      <sheetName val="(3_품질관리_시험_총괄표)"/>
      <sheetName val="별표_"/>
      <sheetName val="토공(우물통,기타)_"/>
      <sheetName val="7_PILE__(돌출)"/>
      <sheetName val="목표세부명세"/>
      <sheetName val="3련 BOX"/>
      <sheetName val="BSD (2)"/>
      <sheetName val="N10(미지급) "/>
      <sheetName val="(평균)"/>
      <sheetName val="청천내"/>
      <sheetName val="단면A-A(TR)"/>
      <sheetName val="영동(D)"/>
      <sheetName val="J直材4"/>
      <sheetName val="일반수량총괄집계"/>
      <sheetName val="항목"/>
      <sheetName val="DNW"/>
      <sheetName val="tggwan(mac)"/>
      <sheetName val="종단계산"/>
      <sheetName val="단위중량"/>
      <sheetName val="현금및현금등가물1"/>
      <sheetName val="지장물총괄표"/>
      <sheetName val="97 사업추정(WEKI)"/>
      <sheetName val="농로수량집계"/>
      <sheetName val="농로토공집계"/>
      <sheetName val="S.중기사용료"/>
      <sheetName val="97노임단가"/>
      <sheetName val="입력란"/>
      <sheetName val="96보완계획7.12"/>
      <sheetName val="포장재료집계표"/>
      <sheetName val="특수선일위대가"/>
      <sheetName val="SG"/>
      <sheetName val="물가시세"/>
      <sheetName val="빌딩 안내"/>
      <sheetName val="대우단가(풍산)"/>
      <sheetName val="LKVL-CK-HT-GD1"/>
      <sheetName val="TONGKE-HT"/>
      <sheetName val="깨기"/>
      <sheetName val="전체내역서"/>
      <sheetName val="6공구(당초)"/>
      <sheetName val="종배수관"/>
      <sheetName val="1.폐기물집계표"/>
      <sheetName val="2.2 S-Curve"/>
      <sheetName val="단지조성공(가포)"/>
      <sheetName val="CTG"/>
      <sheetName val="대포2교접속"/>
      <sheetName val="천방교접속"/>
      <sheetName val="돌담교 상부수량"/>
      <sheetName val="H-PILE수량집계"/>
      <sheetName val="수량-가로등"/>
      <sheetName val="가시설수량"/>
      <sheetName val="우수받이"/>
      <sheetName val="제원및배치"/>
      <sheetName val="돌담교_상부수량"/>
      <sheetName val="해평견적"/>
      <sheetName val="CON기초"/>
      <sheetName val="역T형교대(말뚝기초)"/>
      <sheetName val="SAP_INPUT"/>
      <sheetName val="1단계"/>
      <sheetName val="테이블"/>
      <sheetName val="건축"/>
      <sheetName val="8.석축단위(H=1.5M)"/>
      <sheetName val="원가계산"/>
      <sheetName val="장비집계"/>
      <sheetName val="자재집계표"/>
      <sheetName val="구천"/>
      <sheetName val="평가데이터"/>
      <sheetName val="일위"/>
      <sheetName val="산출금액내역"/>
      <sheetName val="현장예산"/>
      <sheetName val="예총"/>
      <sheetName val="요율"/>
      <sheetName val="조경내역서"/>
      <sheetName val="공사기본내용입력"/>
      <sheetName val="동원인원"/>
      <sheetName val="2공구하도급내역서"/>
      <sheetName val="TOTAL_BOQ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견적"/>
      <sheetName val="수량3"/>
      <sheetName val="이토변실(A3-LINE)"/>
      <sheetName val="골재산출"/>
      <sheetName val="바닥판"/>
      <sheetName val="입력DATA"/>
      <sheetName val="흥양2교토공집계표"/>
      <sheetName val="주소록2000(전화번호부)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변실"/>
      <sheetName val="이음부"/>
      <sheetName val="6.단면검토"/>
      <sheetName val="설직재_1"/>
      <sheetName val="편입용지조서"/>
      <sheetName val="CAL"/>
      <sheetName val="도"/>
      <sheetName val="S0"/>
      <sheetName val="STRA2"/>
      <sheetName val=""/>
      <sheetName val="부대내역"/>
      <sheetName val="배수내역 (2)"/>
      <sheetName val="Multi-dims"/>
      <sheetName val="단면치수"/>
      <sheetName val="기초자료"/>
      <sheetName val="수문보고"/>
      <sheetName val="성곽내역서"/>
      <sheetName val="수안보-MBR1"/>
      <sheetName val="기초코드"/>
      <sheetName val="계약ITEM"/>
      <sheetName val="D-철근총괄"/>
      <sheetName val="기초단가"/>
      <sheetName val="중기손료"/>
      <sheetName val="설계명세서"/>
      <sheetName val="#3_일위대가목록"/>
      <sheetName val="차수공개요"/>
      <sheetName val="당초"/>
      <sheetName val="PIPING"/>
      <sheetName val="#2_일위대가목록"/>
      <sheetName val="중기"/>
      <sheetName val="DB"/>
      <sheetName val="6MONTHS"/>
      <sheetName val="Chiet tinh dz35"/>
      <sheetName val="가압장(토목)"/>
      <sheetName val="RFP002"/>
      <sheetName val="01"/>
      <sheetName val="Rooms"/>
      <sheetName val="TABLE DB"/>
      <sheetName val="쌍용 data base"/>
      <sheetName val="업무분장"/>
      <sheetName val="침하계"/>
      <sheetName val="DI-ESTI"/>
      <sheetName val="일위대가표(유단가)"/>
      <sheetName val="SORCE1"/>
      <sheetName val="6PILE__(돌출)1"/>
      <sheetName val="1_설계조건1"/>
      <sheetName val="2_2_S-Curve"/>
      <sheetName val="1_2_1_마루높이결정"/>
      <sheetName val="3BL공동구_수량1"/>
      <sheetName val="Pier_3"/>
      <sheetName val="돌담교_상부수량1"/>
      <sheetName val="8_석축단위(H=1_5M)"/>
      <sheetName val="준검_내역서"/>
      <sheetName val="3_공통공사대비"/>
      <sheetName val="방배동내역_(총괄)"/>
      <sheetName val="PAD_TR보호대기초"/>
      <sheetName val="Notes"/>
      <sheetName val="code HTT Thap"/>
      <sheetName val="FitOutConfCentre"/>
      <sheetName val="물류최종8월7"/>
      <sheetName val="gvl"/>
      <sheetName val="dongia (2)"/>
      <sheetName val="RAB AR&amp;STR"/>
      <sheetName val="Civil. Sub-Station 1"/>
      <sheetName val="Z"/>
      <sheetName val="escon"/>
      <sheetName val="BG"/>
      <sheetName val="실행내역서 "/>
      <sheetName val="Thuc thanh"/>
      <sheetName val="GIAVLIEU"/>
      <sheetName val="SAP"/>
      <sheetName val="Mall"/>
      <sheetName val="D&amp;W def."/>
      <sheetName val="4-Lane bridge"/>
      <sheetName val="정읍농소"/>
      <sheetName val="직접인건비"/>
      <sheetName val="단가산출총괄표"/>
      <sheetName val="chitimc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FAB별"/>
      <sheetName val="264"/>
      <sheetName val="Quantity"/>
      <sheetName val="Coax Designer"/>
      <sheetName val="tong du toan"/>
      <sheetName val="DAF-2"/>
      <sheetName val="TOSHIBA-Structure"/>
      <sheetName val="MAIN GATE HOUSE"/>
      <sheetName val="수리결과"/>
      <sheetName val="Rebar"/>
      <sheetName val="Bảng mã VT"/>
      <sheetName val="수로교총재료집계"/>
      <sheetName val="경비"/>
      <sheetName val="7월천안현장 집계표"/>
      <sheetName val="장비.자재"/>
      <sheetName val="장비명세서"/>
      <sheetName val=" 노무집계"/>
      <sheetName val="일용노무비"/>
      <sheetName val="汇总表"/>
      <sheetName val="철거산출근거"/>
      <sheetName val="수량산출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/>
      <sheetData sheetId="896"/>
      <sheetData sheetId="897"/>
      <sheetData sheetId="898" refreshError="1"/>
      <sheetData sheetId="899" refreshError="1"/>
      <sheetData sheetId="90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실행대비"/>
      <sheetName val="돌담교 상부수량"/>
      <sheetName val="SLAB&quot;1&quot;"/>
      <sheetName val="H-PILE수량집계"/>
      <sheetName val="수량-가로등"/>
      <sheetName val="단가"/>
      <sheetName val="A2"/>
      <sheetName val="말뚝지지력산정"/>
      <sheetName val="토적표"/>
      <sheetName val="우수받이"/>
      <sheetName val="역T형교대(말뚝기초)"/>
      <sheetName val="토목주소"/>
      <sheetName val="기안"/>
      <sheetName val="해평견적"/>
      <sheetName val="단위수량"/>
      <sheetName val="1단계"/>
      <sheetName val="가시설수량"/>
      <sheetName val="기초단가"/>
      <sheetName val="중기손료"/>
      <sheetName val="산출근거"/>
      <sheetName val="3BL공동구 수량"/>
      <sheetName val="견적단가"/>
      <sheetName val="일위대가9803"/>
      <sheetName val="내역서1999.8최종"/>
      <sheetName val="건축"/>
      <sheetName val="원가계산"/>
      <sheetName val="8.석축단위(H=1.5M)"/>
      <sheetName val="설계기준"/>
      <sheetName val="내역1"/>
      <sheetName val="테이블"/>
      <sheetName val="데이타"/>
      <sheetName val="단가대비표"/>
      <sheetName val="수량산출"/>
      <sheetName val="노임단가"/>
      <sheetName val="SAP_INPUT"/>
      <sheetName val="산근"/>
      <sheetName val="갑지(추정)"/>
      <sheetName val="개산공사비"/>
      <sheetName val="철거산출근거"/>
      <sheetName val="건축명"/>
      <sheetName val="기계명"/>
      <sheetName val="전기명"/>
      <sheetName val="토목명"/>
      <sheetName val="단중표"/>
      <sheetName val="POL6차-PIPING"/>
      <sheetName val="b_balju_cho"/>
      <sheetName val="총괄"/>
      <sheetName val="대림경상68억"/>
      <sheetName val="전기"/>
      <sheetName val="CON'C"/>
      <sheetName val="입력자료"/>
      <sheetName val="Sheet1"/>
      <sheetName val="Sheet2"/>
      <sheetName val="FILE1"/>
      <sheetName val="BID"/>
      <sheetName val="식재인부"/>
      <sheetName val="구체"/>
      <sheetName val="좌측날개벽"/>
      <sheetName val="우측날개벽"/>
      <sheetName val="Sheet3"/>
      <sheetName val="setup"/>
      <sheetName val="Total"/>
      <sheetName val="정부노임단가"/>
      <sheetName val="설계명세서"/>
      <sheetName val="내역서 제출"/>
      <sheetName val="날개벽수량표"/>
      <sheetName val="덕전리"/>
      <sheetName val="입찰안"/>
      <sheetName val="제원및배치"/>
      <sheetName val="INPUT"/>
      <sheetName val="pier-1"/>
      <sheetName val="사급자재"/>
      <sheetName val="내역표지"/>
      <sheetName val="#REF"/>
      <sheetName val="용수량(생활용수)"/>
      <sheetName val="노임이"/>
      <sheetName val="실행철강하도"/>
      <sheetName val="2.가정단면"/>
      <sheetName val="돌담교_상부수량"/>
      <sheetName val="CON기초"/>
      <sheetName val="청주(철골발주의뢰서)"/>
      <sheetName val="일위대가표"/>
      <sheetName val="공사개요"/>
      <sheetName val="설계예시"/>
      <sheetName val="방음벽기초"/>
      <sheetName val="2호맨홀공제수량"/>
      <sheetName val="6PILE  (돌출)"/>
      <sheetName val="2000전체분"/>
      <sheetName val="2000년1차"/>
      <sheetName val="노무비단가"/>
      <sheetName val="관급자재대"/>
      <sheetName val="2.토목공사"/>
      <sheetName val="3.하중산정4.지지력"/>
      <sheetName val="2-1. 경관조명 내역총괄표"/>
      <sheetName val="데리네이타현황"/>
      <sheetName val="플랜트 설치"/>
      <sheetName val="BOX-1510"/>
      <sheetName val="신규보류입력"/>
      <sheetName val="이름정의"/>
      <sheetName val="입력"/>
      <sheetName val="초기화면"/>
      <sheetName val="중동공구"/>
      <sheetName val="건물철거"/>
      <sheetName val="기타배수구조물깨기-단위수량"/>
      <sheetName val="집수정(600-700)"/>
      <sheetName val="교각계산"/>
      <sheetName val="단면치수"/>
      <sheetName val="안전장치"/>
      <sheetName val="6호기"/>
      <sheetName val="적용기준"/>
      <sheetName val="수목단가"/>
      <sheetName val="시설수량표"/>
      <sheetName val="식재수량표"/>
      <sheetName val="노임,재료비"/>
      <sheetName val="T13(P68~72,78)"/>
      <sheetName val="Macro2"/>
      <sheetName val="년도별노임표"/>
      <sheetName val="중기목록표"/>
      <sheetName val="자재단가"/>
      <sheetName val="소비자가"/>
      <sheetName val="건축내역"/>
      <sheetName val="단가조사서"/>
      <sheetName val="터파기및재료"/>
      <sheetName val="공사비 증감 내역서"/>
      <sheetName val="갑지"/>
      <sheetName val="8.PILE  (돌출)"/>
      <sheetName val="작업입력"/>
      <sheetName val="Macro1"/>
      <sheetName val="노임"/>
      <sheetName val="2003상반기노임기준"/>
      <sheetName val="내역을"/>
      <sheetName val="COPING"/>
      <sheetName val="표지"/>
      <sheetName val="I一般比"/>
      <sheetName val="계단"/>
      <sheetName val=" 상부공통집계(총괄)"/>
      <sheetName val="대창(함평)"/>
      <sheetName val="대창(장성)"/>
      <sheetName val="대창(함평)-창열"/>
      <sheetName val="7.PILE  (돌출)"/>
      <sheetName val="기계경비(시간당)"/>
      <sheetName val="램머"/>
      <sheetName val="일위목록"/>
      <sheetName val="대전가오_견출_집계표"/>
      <sheetName val="공사"/>
      <sheetName val="BOX(1.5X1.5)"/>
      <sheetName val="일반수량"/>
      <sheetName val="집계"/>
      <sheetName val="부대내역"/>
      <sheetName val="GT 1050x650"/>
      <sheetName val="기존건물 깨기원단위"/>
      <sheetName val="ABUT수량-A1"/>
      <sheetName val="조작대(1연)"/>
      <sheetName val="Sheet1 (2)"/>
      <sheetName val="초"/>
      <sheetName val="가도공"/>
      <sheetName val="토공개요C"/>
      <sheetName val="정공공사"/>
      <sheetName val="관경별내역서"/>
      <sheetName val="수로BOX"/>
      <sheetName val="원가계산서"/>
      <sheetName val="수량"/>
      <sheetName val="건축일위"/>
      <sheetName val="그라우팅일위"/>
      <sheetName val="문산방향-교대(A2)"/>
      <sheetName val="건축내역서"/>
      <sheetName val="설비내역서"/>
      <sheetName val="전기내역서"/>
      <sheetName val="집계표"/>
      <sheetName val="설계변경총괄표(계산식)"/>
      <sheetName val="Sheet5"/>
      <sheetName val="연결관암거"/>
      <sheetName val="예산명세서"/>
      <sheetName val="자료입력"/>
      <sheetName val="DATE"/>
      <sheetName val="도로"/>
      <sheetName val="견적서"/>
      <sheetName val="원가&amp;하도급원가"/>
      <sheetName val="각형맨홀"/>
      <sheetName val="배수공수집"/>
      <sheetName val="슬래브 -연속(3경간)"/>
      <sheetName val="시장성초안camera"/>
      <sheetName val="대비"/>
      <sheetName val="맨홀수량"/>
      <sheetName val="내역서적용수량"/>
      <sheetName val="터파기단면도(보도)"/>
      <sheetName val="실행내역(10.13)"/>
      <sheetName val="격점수량"/>
      <sheetName val="단관데이터"/>
      <sheetName val="이형관데이터"/>
      <sheetName val="N賃率-職"/>
      <sheetName val="우수공"/>
      <sheetName val="대로근거"/>
      <sheetName val="중로근거"/>
      <sheetName val="차액보증"/>
      <sheetName val="실행"/>
      <sheetName val="골조시행"/>
      <sheetName val="기본일위"/>
      <sheetName val="2"/>
      <sheetName val="II손익관리"/>
      <sheetName val="내역서"/>
      <sheetName val="내역"/>
      <sheetName val="설명서 "/>
      <sheetName val="토목"/>
      <sheetName val="구조물철거타공정이월"/>
      <sheetName val="AS포장복구 "/>
      <sheetName val="산출내역서집계표"/>
      <sheetName val="총괄표"/>
      <sheetName val="99노임기준"/>
      <sheetName val="공사원가계산서"/>
      <sheetName val="도급예산내역서총괄표"/>
      <sheetName val="공구"/>
      <sheetName val="관로토공"/>
      <sheetName val="CONCRETE"/>
      <sheetName val="L_RPTB02_01"/>
      <sheetName val="1.설계조건"/>
      <sheetName val="기본단가표"/>
      <sheetName val="간지"/>
      <sheetName val="날개벽(TYPE2)"/>
      <sheetName val="단가 및 재료비"/>
      <sheetName val="중기사용료산출근거"/>
      <sheetName val="가설공사비"/>
      <sheetName val="도로구조공사비"/>
      <sheetName val="도로토공공사비"/>
      <sheetName val="여수토공사비"/>
      <sheetName val="역T형"/>
      <sheetName val="재료비"/>
      <sheetName val="토공개요"/>
      <sheetName val="토공(1)"/>
      <sheetName val="EQUIP LIST"/>
      <sheetName val="철거현황"/>
      <sheetName val="토공분배표"/>
      <sheetName val="장비종합부표"/>
      <sheetName val="집계표_식재"/>
      <sheetName val="부표"/>
      <sheetName val="변화치수"/>
      <sheetName val="코드표"/>
      <sheetName val="증감내역서"/>
      <sheetName val="FAB별"/>
      <sheetName val="투찰"/>
      <sheetName val="준공조서"/>
      <sheetName val="공사준공계"/>
      <sheetName val="준공검사보고서"/>
      <sheetName val="단가산출2"/>
      <sheetName val="가감수량"/>
      <sheetName val="맨홀수량산출"/>
      <sheetName val="고창방향"/>
      <sheetName val="빗물받이(910-510-410)"/>
      <sheetName val="장비집계"/>
      <sheetName val="돌담교_상부수량1"/>
      <sheetName val="3BL공동구_수량"/>
      <sheetName val="내역서1999_8최종"/>
      <sheetName val="8_석축단위(H=1_5M)"/>
      <sheetName val="2_가정단면"/>
      <sheetName val="6PILE__(돌출)"/>
      <sheetName val="2_토목공사"/>
      <sheetName val="_상부공통집계(총괄)"/>
      <sheetName val="개별직종노임단가(2003.9)"/>
      <sheetName val="대공종"/>
      <sheetName val="수목표준대가"/>
      <sheetName val="중기단가LIST"/>
      <sheetName val="산출기준"/>
      <sheetName val="개별직종노임"/>
      <sheetName val="엔지니어링노임"/>
      <sheetName val="Front"/>
      <sheetName val="wall"/>
      <sheetName val="도급"/>
      <sheetName val="unitpric"/>
      <sheetName val="noyim"/>
      <sheetName val="99노임단가"/>
      <sheetName val="설계내역서"/>
      <sheetName val="준비공"/>
      <sheetName val="목교수량산출"/>
      <sheetName val="보도교산출근거"/>
      <sheetName val="공종별자재"/>
      <sheetName val="환경기계공정표 (3)"/>
      <sheetName val="부속동"/>
      <sheetName val="원형맨홀수량"/>
      <sheetName val="물가시세"/>
      <sheetName val="사  업  비  수  지  예  산  서"/>
      <sheetName val="1구간FRP수량산출"/>
      <sheetName val="DATA"/>
      <sheetName val="기본데이타입력"/>
      <sheetName val="시설일위"/>
      <sheetName val="식재일위"/>
      <sheetName val="tggwan(mac)"/>
      <sheetName val="HVAC"/>
      <sheetName val="3련 BOX"/>
      <sheetName val="터널굴착단산"/>
      <sheetName val="터널구조물산근"/>
      <sheetName val="type-F"/>
      <sheetName val="sw1"/>
      <sheetName val="세목전체"/>
      <sheetName val="과거자료"/>
      <sheetName val="공사비예산서(토목분)"/>
      <sheetName val="노임단가 (2)"/>
      <sheetName val="배수관산출"/>
      <sheetName val="PIER토수량"/>
      <sheetName val="산출3-동력"/>
      <sheetName val="산출4-전등"/>
      <sheetName val="종배수단위_CON기초"/>
      <sheetName val="건축계약내역"/>
      <sheetName val="수량산출서"/>
      <sheetName val="일위"/>
      <sheetName val="경비_원본"/>
      <sheetName val="설계설명서"/>
      <sheetName val="2공구산출내역"/>
      <sheetName val="식재가격"/>
      <sheetName val="식재총괄"/>
      <sheetName val="교각1"/>
      <sheetName val="단가산출서1"/>
      <sheetName val="바닥판"/>
      <sheetName val="입력DATA"/>
      <sheetName val="총괄내역서"/>
      <sheetName val="신천3호용수로"/>
      <sheetName val="CC16-내역서"/>
      <sheetName val="4.2유효폭의 계산"/>
      <sheetName val="이토변실"/>
      <sheetName val="단위단가"/>
      <sheetName val="교대(A1)"/>
      <sheetName val="건축공사실행"/>
      <sheetName val="종형증설공"/>
      <sheetName val="DATE2001"/>
      <sheetName val="평가데이터"/>
      <sheetName val="각사별공사비분개 "/>
      <sheetName val="방수"/>
      <sheetName val="포장자재집계표"/>
      <sheetName val="물가단가"/>
      <sheetName val="제표일위대가"/>
      <sheetName val="208-238"/>
      <sheetName val="노무비"/>
      <sheetName val="밸브설치"/>
      <sheetName val="3-구교-오리지날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Macro(차단기)"/>
      <sheetName val="프랜트면허"/>
      <sheetName val="JUCKEYK"/>
      <sheetName val="단가산출1"/>
      <sheetName val="COVER"/>
      <sheetName val="철근량 산정"/>
      <sheetName val="구분표"/>
      <sheetName val="개거산출내역"/>
      <sheetName val="운임료"/>
      <sheetName val="실행(ALT1)"/>
      <sheetName val="총 원가계산"/>
      <sheetName val="원가"/>
      <sheetName val="목포방향"/>
      <sheetName val="노무자도장2"/>
      <sheetName val="토목공사일반"/>
      <sheetName val="기계경비"/>
      <sheetName val="정의"/>
      <sheetName val="공사비산출내역"/>
      <sheetName val="대구은행"/>
      <sheetName val="D"/>
      <sheetName val="노.표-조"/>
      <sheetName val="설비공사(4)"/>
      <sheetName val="일위대가목차"/>
      <sheetName val="양식3"/>
      <sheetName val="위생"/>
      <sheetName val="시노501"/>
      <sheetName val="캔개발배경"/>
      <sheetName val="캔판매목표"/>
      <sheetName val="시장"/>
      <sheetName val="손익"/>
      <sheetName val="일정표"/>
      <sheetName val="개요"/>
      <sheetName val="마케팅"/>
      <sheetName val="목차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기초자료입력"/>
      <sheetName val="준공정산"/>
      <sheetName val="입력란"/>
      <sheetName val="97노임단가"/>
      <sheetName val="내역- CCTV"/>
      <sheetName val="잡비계산"/>
      <sheetName val="DHEQSUPT"/>
      <sheetName val="(X)품셈집계"/>
      <sheetName val="참여현황 (직원)"/>
      <sheetName val="견적1"/>
      <sheetName val="인부신상자료"/>
      <sheetName val="0226"/>
      <sheetName val="터널조도"/>
      <sheetName val="001"/>
      <sheetName val="ITEM"/>
      <sheetName val="ilch"/>
      <sheetName val="Sheet4"/>
      <sheetName val="2F 회의실견적(5_14 일대)"/>
      <sheetName val="을"/>
      <sheetName val="토공(우물통,기타) "/>
      <sheetName val="Y-WORK"/>
      <sheetName val="공통가설"/>
      <sheetName val="1-1"/>
      <sheetName val="총_구조물공"/>
      <sheetName val="원형1호맨홀토공수량"/>
      <sheetName val="설계"/>
      <sheetName val="RDP2"/>
      <sheetName val="우수"/>
      <sheetName val="재료집계표"/>
      <sheetName val="주공 갑지"/>
      <sheetName val="설계예산서"/>
      <sheetName val="제경비"/>
      <sheetName val="입력(K0)"/>
      <sheetName val="장비"/>
      <sheetName val="토공"/>
      <sheetName val="2000노임기준"/>
      <sheetName val="견적갑지"/>
      <sheetName val="물량내역"/>
      <sheetName val="대3류 "/>
      <sheetName val="기초수량자료"/>
      <sheetName val="우각부보강"/>
      <sheetName val="인제내역"/>
      <sheetName val="포장집계"/>
      <sheetName val="포장연장"/>
      <sheetName val="천방교접속"/>
      <sheetName val="을지"/>
      <sheetName val="단가비교표"/>
      <sheetName val="전등수량산출"/>
      <sheetName val="날개벽"/>
      <sheetName val="공사비"/>
      <sheetName val="검측감리공제요율"/>
      <sheetName val="시공감리공제요율"/>
      <sheetName val="책임감리공제요율"/>
      <sheetName val="자재단가_사급"/>
      <sheetName val="중기적산목록"/>
      <sheetName val="4)유동표"/>
      <sheetName val="98수문일위"/>
      <sheetName val="공사일위대가"/>
      <sheetName val="설명서_"/>
      <sheetName val="내역서_제출"/>
      <sheetName val="설계개요"/>
      <sheetName val="진주방향"/>
      <sheetName val="분전반계산서(석관)"/>
      <sheetName val="산출3-유도등"/>
      <sheetName val="산출2-동력"/>
      <sheetName val="산출2-피뢰침"/>
      <sheetName val="TOTAL_BOQ"/>
      <sheetName val="연동내역"/>
      <sheetName val="건설성적"/>
      <sheetName val="기초자료"/>
      <sheetName val="본문"/>
      <sheetName val="참조"/>
      <sheetName val="BOQ"/>
      <sheetName val="지수"/>
      <sheetName val="거래처등록"/>
      <sheetName val="참고자료"/>
      <sheetName val="토사(PE)"/>
      <sheetName val="지급자재"/>
      <sheetName val="산출2-전력"/>
      <sheetName val="산출9-TRAY"/>
      <sheetName val="식재"/>
      <sheetName val="시설물"/>
      <sheetName val="식재출력용"/>
      <sheetName val="유지관리"/>
      <sheetName val="설계서(동안동)"/>
      <sheetName val="총정리"/>
      <sheetName val="INPUTDATA"/>
      <sheetName val="아파트"/>
      <sheetName val="부대시설"/>
      <sheetName val="제잡비"/>
      <sheetName val="단가조사"/>
      <sheetName val="BS2"/>
      <sheetName val="내역서(도급)"/>
      <sheetName val="계수시트"/>
      <sheetName val="1.견적보고서"/>
      <sheetName val="지점별강우량"/>
      <sheetName val="노임자재단가"/>
      <sheetName val="현장경비"/>
      <sheetName val="학습율"/>
      <sheetName val="PL단가산정"/>
      <sheetName val="그림"/>
      <sheetName val="그림2"/>
      <sheetName val="교대철근집계"/>
      <sheetName val="건축공사"/>
      <sheetName val="1~9 하중계산"/>
      <sheetName val="일위대가(가설)"/>
      <sheetName val="노임단가표"/>
      <sheetName val="예총"/>
      <sheetName val="Bldg Brkdown"/>
      <sheetName val="식생블럭단위수량"/>
      <sheetName val="woo(mac)"/>
      <sheetName val="설치조서"/>
      <sheetName val="배수공집계표"/>
      <sheetName val="예정공정표"/>
      <sheetName val="산출서-1"/>
      <sheetName val="산출서-수식"/>
      <sheetName val="준검 내역서"/>
      <sheetName val="건축집계"/>
      <sheetName val="2.대외공문"/>
      <sheetName val="노임DB"/>
      <sheetName val="간접"/>
      <sheetName val="1.토공"/>
      <sheetName val="검사원"/>
      <sheetName val="준공조서갑지"/>
      <sheetName val="간이(갑)"/>
      <sheetName val="매원개착터널총괄"/>
      <sheetName val="공사요율"/>
      <sheetName val="설계내역"/>
      <sheetName val="경율산정.XLS"/>
      <sheetName val="상부수량"/>
      <sheetName val="공량산출서"/>
      <sheetName val="단가(자재)"/>
      <sheetName val="단가(노임)"/>
      <sheetName val="기초목록"/>
      <sheetName val="단위중량"/>
      <sheetName val="산출집계표"/>
      <sheetName val="산정표"/>
      <sheetName val="건설사업관리 공제요율"/>
      <sheetName val="건설공사 감리원 배치기준"/>
      <sheetName val="책임감리 공제요율"/>
      <sheetName val="약품공급2"/>
      <sheetName val="금액"/>
      <sheetName val="8_PILE__(돌출)"/>
      <sheetName val="EQUIP_LIST"/>
      <sheetName val="BOX(1_5X1_5)"/>
      <sheetName val="7_PILE__(돌출)"/>
      <sheetName val="공사비_증감_내역서"/>
      <sheetName val="실행내역(10_13)"/>
      <sheetName val="01노임적용기준"/>
      <sheetName val="소방"/>
      <sheetName val="출력"/>
      <sheetName val="근로자명단"/>
      <sheetName val="횡배수관수량집계"/>
      <sheetName val="횡배수관기초"/>
      <sheetName val="토목검측서"/>
      <sheetName val="제원입력"/>
      <sheetName val="노임단가(직종번호 순)"/>
      <sheetName val="가로등"/>
      <sheetName val="5사남"/>
      <sheetName val="단가목록"/>
      <sheetName val="직재"/>
      <sheetName val="재집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집계표"/>
      <sheetName val="참조자료"/>
      <sheetName val="단위량당중기"/>
      <sheetName val="BSD (2)"/>
      <sheetName val="1호맨홀토공"/>
      <sheetName val="소요자재명세서"/>
      <sheetName val="시설국장자료"/>
      <sheetName val="교대"/>
      <sheetName val="기초수량산출서"/>
      <sheetName val=""/>
      <sheetName val="기계경비산출기준"/>
      <sheetName val="기계경비목록"/>
      <sheetName val="건설기계가격1"/>
      <sheetName val="회사기초자료"/>
      <sheetName val="가시설단위수량"/>
      <sheetName val="01 Summary"/>
      <sheetName val="CW,HW,NW"/>
      <sheetName val="SAN"/>
      <sheetName val="03 Rev.Log"/>
      <sheetName val="설비(제출)"/>
      <sheetName val="자단"/>
      <sheetName val="48일위"/>
      <sheetName val="48수량"/>
      <sheetName val="22수량"/>
      <sheetName val="49일위"/>
      <sheetName val="22일위"/>
      <sheetName val="49수량"/>
      <sheetName val="대창토공"/>
      <sheetName val="노무비계"/>
      <sheetName val="설계내역2"/>
      <sheetName val="단가산출서 (2)"/>
      <sheetName val="단가산출서"/>
      <sheetName val="포장공집계"/>
      <sheetName val="주요자재집계"/>
      <sheetName val="내역(포장)"/>
      <sheetName val="가시설(TYPE-A)"/>
      <sheetName val="포장수량"/>
      <sheetName val="Sheet17"/>
      <sheetName val="수지예산"/>
      <sheetName val="CTEMCOST"/>
      <sheetName val="7월천안현장 집계표"/>
      <sheetName val="장비.자재"/>
      <sheetName val="장비명세서"/>
      <sheetName val=" 노무집계"/>
      <sheetName val="일용노무비"/>
      <sheetName val="NN"/>
      <sheetName val="4.2.1 마루높이 검토"/>
      <sheetName val="구역화물"/>
      <sheetName val="건설기계가격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Sheet1"/>
      <sheetName val="공구"/>
      <sheetName val="기계경비(시간당)"/>
      <sheetName val="램머"/>
      <sheetName val="장비집계"/>
      <sheetName val="3BL공동구 수량"/>
      <sheetName val="자재집계표"/>
      <sheetName val="가중치"/>
      <sheetName val="말뚝지지력산정"/>
      <sheetName val="용수량(생활용수)"/>
      <sheetName val="제-노임"/>
      <sheetName val="제직재"/>
      <sheetName val="경산"/>
      <sheetName val="신표지1"/>
      <sheetName val="내역서"/>
      <sheetName val="DATE"/>
      <sheetName val="조경내역서"/>
      <sheetName val="평가데이터"/>
      <sheetName val="수량산출"/>
      <sheetName val="산출금액내역"/>
      <sheetName val="구천"/>
      <sheetName val="총괄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집계표"/>
      <sheetName val="청천내"/>
      <sheetName val="명세서"/>
      <sheetName val="내역"/>
      <sheetName val="설계예산서"/>
      <sheetName val="#REF"/>
      <sheetName val="일위"/>
      <sheetName val="기계경비"/>
      <sheetName val="9GNG운반"/>
      <sheetName val="실행철강하도"/>
      <sheetName val="현장예산"/>
      <sheetName val="예총"/>
      <sheetName val="2000년1차"/>
      <sheetName val="2000전체분"/>
      <sheetName val="자재대"/>
      <sheetName val="일위대가9803"/>
      <sheetName val="실행내역서"/>
      <sheetName val="연결관암거"/>
      <sheetName val="터파기및재료"/>
      <sheetName val="연습"/>
      <sheetName val="ABUT수량-A1"/>
      <sheetName val="철근량"/>
      <sheetName val="맨홀수량"/>
      <sheetName val="동원인원"/>
      <sheetName val="주차구획선수량"/>
      <sheetName val="요율"/>
      <sheetName val="포장공"/>
      <sheetName val="옹벽일반수량"/>
      <sheetName val="2공구하도급내역서"/>
      <sheetName val="3.공통공사대비"/>
      <sheetName val="설계서을"/>
      <sheetName val="견적"/>
      <sheetName val="조명율표"/>
      <sheetName val="설계내역서"/>
      <sheetName val="원가"/>
      <sheetName val="준검 내역서"/>
      <sheetName val="대창(함평)"/>
      <sheetName val="대창(장성)"/>
      <sheetName val="대창(함평)-창열"/>
      <sheetName val="산출근거"/>
      <sheetName val="TOTAL_BOQ"/>
      <sheetName val="품셈집계표"/>
      <sheetName val="자재조사표"/>
      <sheetName val="범례표"/>
      <sheetName val="현장경비"/>
      <sheetName val="방배동내역(리라)"/>
      <sheetName val="건축공사집계표"/>
      <sheetName val="방배동내역 (총괄)"/>
      <sheetName val="부대공사총괄"/>
      <sheetName val="3BL공동구_수량"/>
      <sheetName val="안정검토"/>
      <sheetName val="단면설계"/>
      <sheetName val="6PILE  (돌출)"/>
      <sheetName val="Total"/>
      <sheetName val="공사기본내용입력"/>
      <sheetName val="본선차로수량집계표"/>
      <sheetName val="데이타"/>
      <sheetName val="원형1호맨홀토공수량"/>
      <sheetName val="한강운반비"/>
      <sheetName val="신우"/>
      <sheetName val="원본(갑지)"/>
      <sheetName val="단열-자재"/>
      <sheetName val="공제수량총집계표"/>
      <sheetName val="임금단가"/>
      <sheetName val="공사개요"/>
      <sheetName val="토적표"/>
      <sheetName val="수량3"/>
      <sheetName val="설계예산"/>
      <sheetName val="WORK"/>
      <sheetName val="토사(PE)"/>
      <sheetName val="설비"/>
      <sheetName val="하조서"/>
      <sheetName val="날개벽"/>
      <sheetName val="현장경상비"/>
      <sheetName val="bid"/>
      <sheetName val="빙장비사양"/>
      <sheetName val="총투입계"/>
      <sheetName val="우수맨홀공제단위수량"/>
      <sheetName val="내역서단가산출용"/>
      <sheetName val="Sheet5"/>
      <sheetName val="심사공종"/>
      <sheetName val="단가산출"/>
      <sheetName val="기초코드"/>
      <sheetName val="증감내역서"/>
      <sheetName val="입력란"/>
      <sheetName val="97노임단가"/>
      <sheetName val="을"/>
      <sheetName val="SG"/>
      <sheetName val="초기화면"/>
      <sheetName val="관급자재"/>
      <sheetName val="배수철근"/>
      <sheetName val="날개벽수량표"/>
      <sheetName val="시선유도표지집계표"/>
      <sheetName val="70%"/>
      <sheetName val="코드표"/>
      <sheetName val="SANBAISU"/>
      <sheetName val="(A)내역서"/>
      <sheetName val="slurrywall설계가"/>
      <sheetName val="1차 내역서"/>
      <sheetName val="신호등일위대가"/>
      <sheetName val="덕전리"/>
      <sheetName val="흄관기초"/>
      <sheetName val="총집계표"/>
      <sheetName val="가압장(토목)"/>
      <sheetName val="자재단가"/>
      <sheetName val="Sheet1 (2)"/>
      <sheetName val="12호기내역서(건축분)"/>
      <sheetName val="파형강관집계"/>
      <sheetName val="2002하반기노임기준"/>
      <sheetName val="단가 (2)"/>
      <sheetName val="9.정착구 보강"/>
      <sheetName val="CTEMCOST"/>
      <sheetName val="내역갑지"/>
      <sheetName val="환경기계공정표 (3)"/>
      <sheetName val="A-8 PD(도로중앙)"/>
      <sheetName val="대치판정"/>
      <sheetName val="배관배선 단가조사"/>
      <sheetName val="일위대가집계"/>
      <sheetName val="빗물받이(910-510-410)"/>
      <sheetName val="용산1(해보)"/>
      <sheetName val="Sheet3"/>
      <sheetName val="간지"/>
      <sheetName val="H-PILE수량집계"/>
      <sheetName val="말뚝기초(안정검토)-외측"/>
      <sheetName val="이토변실(A3-LINE)"/>
      <sheetName val="Sheet2"/>
      <sheetName val="T13(P68~72,78)"/>
      <sheetName val="토목검측서"/>
      <sheetName val="부하계산서"/>
      <sheetName val="전선 및 전선관"/>
      <sheetName val="일반수량"/>
      <sheetName val="직노"/>
      <sheetName val="DATA 입력란"/>
      <sheetName val="1. 설계조건 2.단면가정 3. 하중계산"/>
      <sheetName val="교각계산"/>
      <sheetName val="우각부보강"/>
      <sheetName val="대로근거"/>
      <sheetName val="중로근거"/>
      <sheetName val="200"/>
      <sheetName val="마산방향"/>
      <sheetName val="진주방향"/>
      <sheetName val="배수공"/>
      <sheetName val="파일의이용"/>
      <sheetName val="DATA"/>
      <sheetName val="COPING"/>
      <sheetName val="상 부"/>
      <sheetName val="차액보증"/>
      <sheetName val="구조물터파기수량집계"/>
      <sheetName val="노임이"/>
      <sheetName val="청 구"/>
      <sheetName val="설계산출기초"/>
      <sheetName val="내역서01"/>
      <sheetName val="절대삭제금지"/>
      <sheetName val="공사비집계"/>
      <sheetName val="수량증감표"/>
      <sheetName val="터파기운반비산출"/>
      <sheetName val="산적토운반비산출"/>
      <sheetName val="적용단가"/>
      <sheetName val="실행대비"/>
      <sheetName val="노임"/>
      <sheetName val="준공평가"/>
      <sheetName val="N賃率-職"/>
      <sheetName val="배수공 시멘트 및 골재량 산출"/>
      <sheetName val="공량(1월22일)"/>
      <sheetName val="측구터파기공수량집계"/>
      <sheetName val="96보완계획7.12"/>
      <sheetName val="비교1"/>
      <sheetName val="물량표"/>
      <sheetName val="Sheet4"/>
      <sheetName val="구의33고"/>
      <sheetName val="총괄내역서"/>
      <sheetName val="시설물단가표"/>
      <sheetName val="노무비단가표"/>
      <sheetName val="기초자료입력"/>
      <sheetName val="지중자재단가"/>
      <sheetName val="본사공가현황"/>
      <sheetName val="내역서(전기)"/>
      <sheetName val="목차"/>
      <sheetName val="입찰안"/>
      <sheetName val="일위대가표"/>
      <sheetName val="일위단위"/>
      <sheetName val="원형맨홀수량"/>
      <sheetName val="TYPE-A"/>
      <sheetName val="15"/>
      <sheetName val="단가조사-2"/>
      <sheetName val="설계"/>
      <sheetName val="실행내역"/>
      <sheetName val="현금흐름"/>
      <sheetName val="오수주요자재"/>
      <sheetName val="s"/>
      <sheetName val="용역비내역-진짜"/>
      <sheetName val="계양가시설"/>
      <sheetName val="교대(A1)"/>
      <sheetName val="몰탈"/>
      <sheetName val="8.PILE  (돌출)"/>
      <sheetName val="데리네이타현황"/>
      <sheetName val="다곡2교"/>
      <sheetName val="하수급견적대비"/>
      <sheetName val="을지"/>
      <sheetName val="가로등내역서"/>
      <sheetName val="일반수량총괄집계"/>
      <sheetName val="슬래브수량"/>
      <sheetName val="수량집계"/>
      <sheetName val="건축내역"/>
      <sheetName val="시점교대"/>
      <sheetName val="총괄내역"/>
      <sheetName val="단면가정"/>
      <sheetName val="구조물공집계"/>
      <sheetName val="이름정의"/>
      <sheetName val="Macro1"/>
      <sheetName val="Baby일위대가"/>
      <sheetName val="플랜트 설치"/>
      <sheetName val="danga"/>
      <sheetName val="ilch"/>
      <sheetName val="9811"/>
      <sheetName val="위치조서"/>
      <sheetName val="수산(당)"/>
      <sheetName val="BSD (2)"/>
      <sheetName val="guard(mac)"/>
      <sheetName val="교각1"/>
      <sheetName val="옹벽공 수량집계표"/>
      <sheetName val="98NS-N"/>
      <sheetName val="추가예산"/>
      <sheetName val="단중표"/>
      <sheetName val="현장관리비참조"/>
      <sheetName val="전기"/>
      <sheetName val="포장복구집계"/>
      <sheetName val="실행간접비용"/>
      <sheetName val="EACT10"/>
      <sheetName val="2호맨홀공제수량"/>
      <sheetName val="전기단가조사서"/>
      <sheetName val="물가시세"/>
      <sheetName val="공내역"/>
      <sheetName val="7.PILE  (돌출)"/>
      <sheetName val="사  업  비  수  지  예  산  서"/>
      <sheetName val="프랜트면허"/>
      <sheetName val="날개벽(시점좌측)"/>
      <sheetName val="견적서"/>
      <sheetName val="변경비교-을"/>
      <sheetName val="내역서 (2)"/>
      <sheetName val="화설내"/>
      <sheetName val="SORCE1"/>
      <sheetName val="자료입력"/>
      <sheetName val="표지"/>
      <sheetName val="토목(용인)"/>
      <sheetName val="중기사용료"/>
      <sheetName val="노무비"/>
      <sheetName val="재료비단가"/>
      <sheetName val="고유코드_설계"/>
      <sheetName val="도기류"/>
      <sheetName val="할증"/>
      <sheetName val="확약서"/>
      <sheetName val="98수문일위"/>
      <sheetName val="간접"/>
      <sheetName val="날개벽(TYPE2)"/>
      <sheetName val="교사기준면적(중)"/>
      <sheetName val="식재인부"/>
      <sheetName val="VXXXXXX"/>
      <sheetName val="물가대비표"/>
      <sheetName val="Sheet2 (2)"/>
      <sheetName val="단위단가"/>
      <sheetName val="수주추정"/>
      <sheetName val="Customer Databas"/>
      <sheetName val="9-1차이내역"/>
      <sheetName val="환율CHANGE"/>
      <sheetName val="실행견적"/>
      <sheetName val="수입"/>
      <sheetName val="반포2차"/>
      <sheetName val="첨"/>
      <sheetName val="6공구(당초)"/>
      <sheetName val="포장공수량집계"/>
      <sheetName val="우수공"/>
      <sheetName val="설계조건"/>
      <sheetName val="수량집계표"/>
      <sheetName val="탄성1"/>
      <sheetName val="단면 (2)"/>
      <sheetName val="database"/>
      <sheetName val="관경별내역서"/>
      <sheetName val="VII-2현장경비"/>
      <sheetName val="Ⅴ-2.공종별내역"/>
      <sheetName val="GI-LIST"/>
      <sheetName val="시점경사로"/>
      <sheetName val="2_단면가정"/>
      <sheetName val="조경"/>
      <sheetName val="대비"/>
      <sheetName val="산출내역서집계표"/>
      <sheetName val="4.2.1 마루높이 검토"/>
      <sheetName val="앵커설치(590)"/>
      <sheetName val="1.1설계기준"/>
      <sheetName val="INPUT"/>
      <sheetName val="총괄표"/>
      <sheetName val="inputdata"/>
      <sheetName val="DATA입력"/>
      <sheetName val="해평견적"/>
      <sheetName val="건축공사"/>
      <sheetName val="내역서1999.8최종"/>
      <sheetName val="총괄서"/>
      <sheetName val="1000 DB구축 부표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특수선일위대가"/>
      <sheetName val="1.CB"/>
      <sheetName val="변수"/>
      <sheetName val="역T형교대(말뚝기초)"/>
      <sheetName val="산근"/>
      <sheetName val="중요"/>
      <sheetName val="총내역서"/>
      <sheetName val="일위대가(1)"/>
      <sheetName val="집수정(600-700)"/>
      <sheetName val="설계명세서"/>
      <sheetName val="예산명세서"/>
      <sheetName val="남양내역"/>
      <sheetName val="MAIN_TABLE"/>
      <sheetName val="1.설계조건"/>
      <sheetName val="원가서"/>
      <sheetName val="기초단가"/>
      <sheetName val="단가"/>
      <sheetName val="포장물량집계"/>
      <sheetName val="표지 (2)"/>
      <sheetName val="세부내역서"/>
      <sheetName val="감액총괄표"/>
      <sheetName val="시운전연료"/>
      <sheetName val="b_balju"/>
      <sheetName val="입력시트"/>
      <sheetName val="차선도색-연장,수량(1)"/>
      <sheetName val="배수공 주요자재 집계표"/>
      <sheetName val="예가표"/>
      <sheetName val="출장내역"/>
      <sheetName val="공사설명서"/>
      <sheetName val="수안보-MBR1"/>
      <sheetName val="단위수량산출"/>
      <sheetName val="조건"/>
      <sheetName val="갑지"/>
      <sheetName val="수로단위수량"/>
      <sheetName val="현장소운반"/>
      <sheetName val="관구보호몰탈"/>
      <sheetName val="우수"/>
      <sheetName val="입력"/>
      <sheetName val="설계예시"/>
      <sheetName val="부대내역"/>
      <sheetName val="1.수인터널"/>
      <sheetName val="흙쌓기도수로설치현황"/>
      <sheetName val="관접합및부설"/>
      <sheetName val="계수시트"/>
      <sheetName val="설계가"/>
      <sheetName val="공량산출서"/>
      <sheetName val="계림(함평)"/>
      <sheetName val="계림(장성)"/>
      <sheetName val="산수배수"/>
      <sheetName val="내역(신례)"/>
      <sheetName val="wall"/>
      <sheetName val="품셈"/>
      <sheetName val="인부임"/>
      <sheetName val="원가+내역"/>
      <sheetName val="선정요령"/>
      <sheetName val="배수통관(좌)"/>
      <sheetName val="MAT"/>
      <sheetName val="11.1 단면hwp"/>
      <sheetName val="공사비증감"/>
      <sheetName val="토공(우물통,기타) "/>
      <sheetName val="인원투입"/>
      <sheetName val="연결임시"/>
      <sheetName val="포장공자재집계표"/>
      <sheetName val="앵커구조계산"/>
      <sheetName val="교대철근집계"/>
      <sheetName val="음성방향"/>
      <sheetName val="산출기준자료"/>
      <sheetName val="구역화물"/>
      <sheetName val="단위목록"/>
      <sheetName val="시험비"/>
      <sheetName val="일위대가목록"/>
      <sheetName val="INPUT(덕도방향-시점)"/>
      <sheetName val="직접경비"/>
      <sheetName val="직접인건비"/>
      <sheetName val="사통"/>
      <sheetName val="금액"/>
      <sheetName val="내역_FILE"/>
      <sheetName val="유림골조"/>
      <sheetName val="수목표준대가"/>
      <sheetName val="6호기"/>
      <sheetName val="용역단가"/>
      <sheetName val="효성CB 1P기초"/>
      <sheetName val="조견표"/>
      <sheetName val="전차선로 물량표"/>
      <sheetName val="공용(현대건설공구)"/>
      <sheetName val="현대건설공구(UNIT)"/>
      <sheetName val="금액내역서"/>
      <sheetName val="노임단가"/>
      <sheetName val="PROJECT BRIEF(EX.NEW)"/>
      <sheetName val="Site Expenses"/>
      <sheetName val="부표총괄"/>
      <sheetName val="내역서적용수량"/>
      <sheetName val="갑지(추정)"/>
      <sheetName val="출력X"/>
      <sheetName val="공사"/>
      <sheetName val="06 일위대가목록"/>
      <sheetName val="공사비 증감 내역서"/>
      <sheetName val="nys"/>
      <sheetName val="입력DATA"/>
      <sheetName val="바닥판"/>
      <sheetName val="옹벽수량집계"/>
      <sheetName val="내역표지"/>
      <sheetName val="보차도경계석"/>
      <sheetName val="연장및면적(좌측)"/>
      <sheetName val="PI"/>
      <sheetName val="건축내역서 (경제상무실)"/>
      <sheetName val="원가계산하도"/>
      <sheetName val="입력자료"/>
      <sheetName val="설내역서 "/>
      <sheetName val="pier-1"/>
      <sheetName val="공사현황"/>
      <sheetName val="단양 00 아파트-세부내역"/>
      <sheetName val="정부노임단가"/>
      <sheetName val="일위대가_가설_"/>
      <sheetName val="중기사용료산출근거"/>
      <sheetName val="각형맨홀"/>
      <sheetName val="상행-교대(A1-A2)"/>
      <sheetName val="건축공사실행"/>
      <sheetName val="관급자재대"/>
      <sheetName val="단가 및 재료비"/>
      <sheetName val="4.내진설계"/>
      <sheetName val=" ｹ-ﾌﾞﾙ"/>
      <sheetName val="노임단가 (2)"/>
      <sheetName val="도장수량(하1)"/>
      <sheetName val="주형"/>
      <sheetName val="(당평)자재"/>
      <sheetName val="당초명세(평)"/>
      <sheetName val="부대tu"/>
      <sheetName val="연도별cash"/>
      <sheetName val="대림경상68억"/>
      <sheetName val="GR"/>
      <sheetName val="폐기물"/>
      <sheetName val="1"/>
      <sheetName val="공사품의서"/>
      <sheetName val="터파기단면도(보도)"/>
      <sheetName val="3BL공동구_수량1"/>
      <sheetName val="3_공통공사대비"/>
      <sheetName val="9_정착구_보강"/>
      <sheetName val="6PILE__(돌출)"/>
      <sheetName val="방배동내역_(총괄)"/>
      <sheetName val="준검_내역서"/>
      <sheetName val="단가_(2)"/>
      <sheetName val="1차_내역서"/>
      <sheetName val="전선_및_전선관"/>
      <sheetName val="배관배선_단가조사"/>
      <sheetName val="환경기계공정표_(3)"/>
      <sheetName val="DATA_입력란"/>
      <sheetName val="1__설계조건_2_단면가정_3__하중계산"/>
      <sheetName val="BSD_(2)"/>
      <sheetName val="배수공_시멘트_및_골재량_산출"/>
      <sheetName val="96보완계획7_12"/>
      <sheetName val="7_PILE__(돌출)"/>
      <sheetName val="8_PILE__(돌출)"/>
      <sheetName val="사__업__비__수__지__예__산__서"/>
      <sheetName val="단가(1)"/>
      <sheetName val="45,46"/>
      <sheetName val="입찰견적보고서"/>
      <sheetName val="2공구산출내역"/>
      <sheetName val="자재"/>
      <sheetName val="토목공사"/>
      <sheetName val="경비_원본"/>
      <sheetName val="Sheet1_(2)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경영상태"/>
      <sheetName val="낙석방지수량"/>
      <sheetName val="1차설계변경내역"/>
      <sheetName val="참조"/>
      <sheetName val="제경비율"/>
      <sheetName val="산출내역서"/>
      <sheetName val="공사명입력"/>
      <sheetName val="근로자자료입력"/>
      <sheetName val="참고자료"/>
      <sheetName val="기초일위"/>
      <sheetName val="수목단가"/>
      <sheetName val="시설수량표"/>
      <sheetName val="시설일위"/>
      <sheetName val="식재수량표"/>
      <sheetName val="기본일위"/>
      <sheetName val="갑지1"/>
      <sheetName val="단가조건(02년)"/>
      <sheetName val="GAEYO"/>
      <sheetName val="법면단"/>
      <sheetName val="기존포장깨기"/>
      <sheetName val="석축헐기"/>
      <sheetName val="도로경계단위"/>
      <sheetName val="시설물기초"/>
      <sheetName val="상호참고자료"/>
      <sheetName val="발주처자료입력"/>
      <sheetName val="회사기본자료"/>
      <sheetName val="하자보증자료"/>
      <sheetName val="기술자관련자료"/>
      <sheetName val="호프"/>
      <sheetName val="08-공사비총괄표"/>
      <sheetName val="01-적용기준"/>
      <sheetName val="조명일위"/>
      <sheetName val="도급내역"/>
      <sheetName val="물집"/>
      <sheetName val="도급금액"/>
      <sheetName val="재노경"/>
      <sheetName val="마산월령동골조물량변경"/>
      <sheetName val="setup"/>
      <sheetName val="SLAB&quot;1&quot;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산근(1)"/>
      <sheetName val="토목주소"/>
      <sheetName val="평내중"/>
      <sheetName val="내역전기"/>
      <sheetName val="코드"/>
      <sheetName val="중강당 내역"/>
      <sheetName val="설계내역"/>
      <sheetName val="tggwan(mac)"/>
      <sheetName val="맨홀수량산출(A-LINE)"/>
      <sheetName val="개별직종노임단가(2005.1)"/>
      <sheetName val="노단"/>
      <sheetName val="단산"/>
      <sheetName val="명세"/>
      <sheetName val="일대"/>
      <sheetName val="sub"/>
      <sheetName val="기둥(원형)"/>
      <sheetName val="전체내역서"/>
      <sheetName val="단가조정표"/>
      <sheetName val="05-원가계산"/>
      <sheetName val="인건비"/>
      <sheetName val="단위중량"/>
      <sheetName val="보도포장연장조서-표준차도부"/>
      <sheetName val="표준차도부연장조서-ASP"/>
      <sheetName val="업무처리전"/>
      <sheetName val="우수받이"/>
      <sheetName val="품셈TABLE"/>
      <sheetName val="1.설계기준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하도급 검토"/>
      <sheetName val="3.하중계산"/>
      <sheetName val=" 상부공통집계(총괄)"/>
      <sheetName val="순공사비"/>
      <sheetName val="집수A"/>
      <sheetName val="공사분석"/>
      <sheetName val="낙찰표"/>
      <sheetName val="단 box"/>
      <sheetName val="단"/>
      <sheetName val="원유_BANK"/>
      <sheetName val="개요"/>
      <sheetName val="sst,stl창호"/>
      <sheetName val="역T형"/>
      <sheetName val="ETC"/>
      <sheetName val="A4"/>
      <sheetName val="기안"/>
      <sheetName val="2-1. 경관조명 내역총괄표"/>
      <sheetName val="포장공수량집계표"/>
      <sheetName val="뚝토공"/>
      <sheetName val="가열로SW"/>
      <sheetName val="고창방향"/>
      <sheetName val="결과조달"/>
      <sheetName val="1.우편집중내역서"/>
      <sheetName val="일위대가(가설)"/>
      <sheetName val="List"/>
      <sheetName val="수량산출서-2"/>
      <sheetName val="단면치수"/>
      <sheetName val="기계"/>
      <sheetName val="인부노임"/>
      <sheetName val="콘크리트타설집계표"/>
      <sheetName val="전 기"/>
      <sheetName val="원하도급내역서(당초)"/>
      <sheetName val="사유서제출현황-2"/>
      <sheetName val="시화점실행"/>
      <sheetName val="해외(원화)"/>
      <sheetName val="1차"/>
      <sheetName val="노면및방향"/>
      <sheetName val="99노임단가"/>
      <sheetName val="unitpric"/>
      <sheetName val="noyim"/>
      <sheetName val="03전반노무비"/>
      <sheetName val="사각맨홀"/>
      <sheetName val="공비현2"/>
      <sheetName val="참고사항"/>
      <sheetName val="총 원가계산"/>
      <sheetName val="돌담교 상부수량"/>
      <sheetName val="쇠(1)"/>
      <sheetName val="가격(3)"/>
      <sheetName val="연속벽현황"/>
      <sheetName val="ⴭⴭⴭⴭⴭ"/>
      <sheetName val="세금자료"/>
      <sheetName val="CAT_5"/>
      <sheetName val="특별교실"/>
      <sheetName val="관경"/>
      <sheetName val="전기혼잡제경비(45)"/>
      <sheetName val="안전시설"/>
      <sheetName val="철근단면적"/>
      <sheetName val="J형측구단위수량"/>
      <sheetName val="계산서(곡선부)"/>
      <sheetName val="포장재료집계표"/>
      <sheetName val="구조물철거타공정이월"/>
      <sheetName val="공통비(전체)"/>
      <sheetName val="5수지"/>
      <sheetName val="I一般比"/>
      <sheetName val="금호"/>
      <sheetName val="설-원가"/>
      <sheetName val="일위대가-1"/>
      <sheetName val="토공"/>
      <sheetName val="수량명세서"/>
      <sheetName val="가계부"/>
      <sheetName val="제품목록"/>
      <sheetName val="매입매출관리"/>
      <sheetName val="Sheet22"/>
      <sheetName val="설계명세서(종합)"/>
      <sheetName val="소요자재"/>
      <sheetName val="노무산출서"/>
      <sheetName val="-치수표(곡선부)"/>
      <sheetName val="수질정화시설"/>
      <sheetName val="단가산출서(기계)"/>
      <sheetName val="배관단가조사서"/>
      <sheetName val="DB"/>
      <sheetName val="건축내역서"/>
      <sheetName val="공통가설"/>
      <sheetName val="이음개소"/>
      <sheetName val="2"/>
      <sheetName val="3"/>
      <sheetName val="4"/>
      <sheetName val="6"/>
      <sheetName val="횡배수관집현황(2공구)"/>
      <sheetName val="단가목록"/>
      <sheetName val="배수공수집"/>
      <sheetName val="단위수량"/>
      <sheetName val="ELECTRIC"/>
      <sheetName val="J直材4"/>
      <sheetName val="기자재비"/>
      <sheetName val="가도공"/>
      <sheetName val="달서천-대비"/>
      <sheetName val="현장관리비"/>
      <sheetName val="소방"/>
      <sheetName val="APT"/>
      <sheetName val="지장물 철거 물량 산출서"/>
      <sheetName val="P4-C"/>
      <sheetName val="민감도"/>
      <sheetName val="일위_파일"/>
      <sheetName val="협력업체"/>
      <sheetName val="산출내역(K2)"/>
      <sheetName val="집수정"/>
      <sheetName val="A-4"/>
      <sheetName val="인건비 "/>
      <sheetName val="90.03실행 "/>
      <sheetName val="1차기성"/>
      <sheetName val="마산방향철근집계"/>
      <sheetName val="단가산출서"/>
      <sheetName val="단가산출서 (2)"/>
      <sheetName val="몰탈재료산출"/>
      <sheetName val="3.하중산정4.지지력"/>
      <sheetName val="내역서1999_8최종"/>
      <sheetName val="단가조사"/>
      <sheetName val="심사물량"/>
      <sheetName val="지급(1)"/>
      <sheetName val="목록"/>
      <sheetName val="Y-WORK"/>
      <sheetName val="BJJIN"/>
      <sheetName val="화전내"/>
      <sheetName val="공사품旼ã"/>
      <sheetName val="수토공단위당"/>
      <sheetName val="4차원가계산서"/>
      <sheetName val="가설"/>
      <sheetName val="일람표"/>
      <sheetName val="관로토공"/>
      <sheetName val="케이블트레이"/>
      <sheetName val="기기리스트"/>
      <sheetName val="토공정보"/>
      <sheetName val="적용(기계)"/>
      <sheetName val="연부97-1"/>
      <sheetName val="견적대비"/>
      <sheetName val="배수관토공산출"/>
      <sheetName val="2.관대집계표"/>
      <sheetName val="공사설계"/>
      <sheetName val="지구단위계획"/>
      <sheetName val="토공개요"/>
      <sheetName val="토공(1)"/>
      <sheetName val="가로등설치"/>
      <sheetName val="실행"/>
      <sheetName val="본문"/>
      <sheetName val="품종별월계"/>
      <sheetName val="전신환매도율"/>
      <sheetName val="코스모공장 (어음)"/>
      <sheetName val="골막이(야매)"/>
      <sheetName val="원가계산서 "/>
      <sheetName val="일위집계표"/>
      <sheetName val="일위목록"/>
      <sheetName val="일위대가 "/>
      <sheetName val="본체"/>
      <sheetName val="금속및금속창호"/>
      <sheetName val="계측제어설비"/>
      <sheetName val="공정data"/>
      <sheetName val="설계내역2"/>
      <sheetName val="공종단가"/>
      <sheetName val="증감대비"/>
      <sheetName val="2_단면ﾈȋ"/>
      <sheetName val="배수관산출"/>
      <sheetName val="투찰추정"/>
      <sheetName val="토목"/>
      <sheetName val="건축명"/>
      <sheetName val="기계명"/>
      <sheetName val="전기명"/>
      <sheetName val="TOSHIBA-Structure"/>
      <sheetName val="포집"/>
      <sheetName val="제잡비"/>
      <sheetName val="설계기준"/>
      <sheetName val="내역1"/>
      <sheetName val="99노임기준"/>
      <sheetName val="단가대비표"/>
      <sheetName val="은행"/>
      <sheetName val="1-1평균터파기고(1)"/>
      <sheetName val="HRSG SMALL07220"/>
      <sheetName val="기본"/>
      <sheetName val="견적대비표"/>
      <sheetName val="기계경비및산출근거서"/>
      <sheetName val="A4288"/>
      <sheetName val="집행안"/>
      <sheetName val="7-2"/>
      <sheetName val="중기손료집계(1209)"/>
      <sheetName val="99총공사내역서"/>
      <sheetName val="교대(A1-A2)"/>
      <sheetName val="화해(함평)"/>
      <sheetName val="화해(장성)"/>
      <sheetName val="중기손료"/>
      <sheetName val="공사비_NDE"/>
      <sheetName val="흙막이 개산견적"/>
      <sheetName val="투입비"/>
      <sheetName val="pier(각형)"/>
      <sheetName val="옥룡잡비"/>
      <sheetName val="예산"/>
      <sheetName val="단가비교표_공통1"/>
      <sheetName val="약품공급2"/>
      <sheetName val="접지수량"/>
      <sheetName val="자재테이블"/>
      <sheetName val="원가계산서"/>
      <sheetName val="여과지동"/>
      <sheetName val="울산자동제어"/>
      <sheetName val="구성비"/>
      <sheetName val="8.석축단위(H=1.5M)"/>
      <sheetName val="예정공정표"/>
      <sheetName val="깨기"/>
      <sheetName val="도급"/>
      <sheetName val="(2)자금(신용)"/>
      <sheetName val="FOOTING단면력"/>
      <sheetName val="자재비"/>
      <sheetName val="FAB별"/>
      <sheetName val="15-1)VE제안서(유형2,4)"/>
      <sheetName val="설계명세"/>
      <sheetName val="01"/>
      <sheetName val="97년 추정"/>
      <sheetName val="細目"/>
      <sheetName val="철거산출근거"/>
      <sheetName val="공통가설(기준안)"/>
      <sheetName val="신축(단위)"/>
      <sheetName val="지장물헐기조서"/>
      <sheetName val="입출재고현황 (2)"/>
      <sheetName val="변화치수"/>
      <sheetName val="영동(D)"/>
      <sheetName val="아파트 내역"/>
      <sheetName val="난방방식분류"/>
      <sheetName val="공사정보입력"/>
      <sheetName val="설비내역서"/>
      <sheetName val="전기내역서"/>
      <sheetName val="수불계획서(전체)"/>
      <sheetName val="대총괄"/>
      <sheetName val="1_CB"/>
      <sheetName val="옹벽공_수량집계표"/>
      <sheetName val="A-8_PD(도로중앙)"/>
      <sheetName val="Flaer_Area"/>
      <sheetName val="1_설계기준"/>
      <sheetName val="단가_및_재료비"/>
      <sheetName val="건축내역서_(경제상무실)"/>
      <sheetName val="설내역서_"/>
      <sheetName val="S.중기사용료"/>
      <sheetName val="spiral"/>
      <sheetName val="공사비예산서(토목분)"/>
      <sheetName val="수량산출서"/>
      <sheetName val="어음수표추가테스트"/>
      <sheetName val="A 견적"/>
      <sheetName val="물가시세표"/>
      <sheetName val="노임 및 중기단가"/>
      <sheetName val="소방사항"/>
      <sheetName val="암거단위-1련"/>
      <sheetName val="형질변경"/>
      <sheetName val="시중노임단가"/>
      <sheetName val="종단계산"/>
      <sheetName val="자재표"/>
      <sheetName val="비품"/>
      <sheetName val="단가조사서"/>
      <sheetName val="새공통(96임금인상기준)"/>
      <sheetName val="경비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내역서 "/>
      <sheetName val="견적990322"/>
      <sheetName val="대비표"/>
      <sheetName val="내역서_"/>
      <sheetName val="1_설계조건"/>
      <sheetName val="예상"/>
      <sheetName val="1,2,3,4,5단위수량"/>
      <sheetName val="전체"/>
      <sheetName val="CODE"/>
      <sheetName val="하도금액분계"/>
      <sheetName val="보온자재단가표"/>
      <sheetName val="자료"/>
      <sheetName val="대전21토목내역서"/>
      <sheetName val="Front"/>
      <sheetName val="hvac(제어동)"/>
      <sheetName val="hvac내역서(제어동)"/>
      <sheetName val="일위대가(계측기설치)"/>
      <sheetName val="합계금액"/>
      <sheetName val="방음벽기초(H=4m)"/>
      <sheetName val="업체별기성내역"/>
      <sheetName val="WVAL"/>
      <sheetName val="수량-가로등"/>
      <sheetName val="1단계"/>
      <sheetName val="내역서 제출"/>
      <sheetName val="테이블"/>
      <sheetName val="건축"/>
      <sheetName val="원가계산"/>
      <sheetName val="CON'C"/>
      <sheetName val="SAP_INPUT"/>
      <sheetName val="골재산출"/>
      <sheetName val="공동구수량"/>
      <sheetName val="분석"/>
      <sheetName val="일위대가목차"/>
      <sheetName val="인명부"/>
      <sheetName val="당초"/>
      <sheetName val="PIPING"/>
      <sheetName val="#3_일위대가목록"/>
      <sheetName val="#2_일위대가목록"/>
      <sheetName val="설명서 "/>
      <sheetName val="자재 집계표"/>
      <sheetName val="단가산출2"/>
      <sheetName val="공종집계"/>
      <sheetName val="하도급계획"/>
      <sheetName val="토공(본관-토사)"/>
      <sheetName val="토공(분기관-토사)"/>
      <sheetName val="토공(분기관-암)"/>
      <sheetName val="토공(본관-암)"/>
      <sheetName val="교통대책내역"/>
      <sheetName val="실행(ALT1)"/>
      <sheetName val="약전설비"/>
      <sheetName val="분전함신설"/>
      <sheetName val="접지1종"/>
      <sheetName val="1공구내역서(1)"/>
      <sheetName val="기초자료"/>
      <sheetName val="2.대외공문"/>
      <sheetName val="배지거총재료집계표"/>
      <sheetName val="cal"/>
      <sheetName val="보안등"/>
      <sheetName val="쌍송교"/>
      <sheetName val="사본 _ b_balju"/>
      <sheetName val="골조시행"/>
      <sheetName val="공사내역서(을)실행"/>
      <sheetName val="단가조사표"/>
      <sheetName val="설계내역서(기계)"/>
      <sheetName val="금전출납"/>
      <sheetName val="직영명부"/>
      <sheetName val="개산공사비"/>
      <sheetName val="미드수량"/>
      <sheetName val="중단원본"/>
      <sheetName val="업체별담당"/>
      <sheetName val="1.3.1절점좌표"/>
      <sheetName val="6차2회변경내역서"/>
      <sheetName val="별표 "/>
      <sheetName val="제경비최종"/>
      <sheetName val="관일"/>
      <sheetName val="직재"/>
      <sheetName val="재집"/>
      <sheetName val="적용토목"/>
      <sheetName val="포장면적산출"/>
      <sheetName val="포장수량집계"/>
      <sheetName val="gyun"/>
      <sheetName val="토공사B동추가"/>
      <sheetName val="1.RAMP-A"/>
      <sheetName val="BOJUNGGM"/>
      <sheetName val="국공유지및사유지"/>
      <sheetName val="기초계산(Pmax)"/>
      <sheetName val="수량간지코드"/>
      <sheetName val="수량목차코드"/>
      <sheetName val="준공정산"/>
      <sheetName val="준공조서"/>
      <sheetName val="공사준공계"/>
      <sheetName val="준공검사보고서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4 공통갑지"/>
      <sheetName val="구체"/>
      <sheetName val="좌측날개벽"/>
      <sheetName val="우측날개벽"/>
      <sheetName val="이름"/>
      <sheetName val="급여표"/>
      <sheetName val="직원투입계획"/>
      <sheetName val="중기조종사 단위단가"/>
      <sheetName val="견적보고"/>
      <sheetName val="인사자료총집계"/>
      <sheetName val="ESC (공정표기준)"/>
      <sheetName val="골조"/>
      <sheetName val="투입비분석표"/>
      <sheetName val="구조물공"/>
      <sheetName val="부대공"/>
      <sheetName val="36+45-113-18+19+20I"/>
      <sheetName val="일위산출"/>
      <sheetName val="PAINT"/>
      <sheetName val="방화도료"/>
      <sheetName val="형식 - 1-2-3"/>
      <sheetName val="음료실행"/>
      <sheetName val="가시설수량"/>
      <sheetName val="대포2교접속"/>
      <sheetName val="천방교접속"/>
      <sheetName val="지장물C"/>
      <sheetName val="찍기"/>
      <sheetName val="입력장소"/>
      <sheetName val="지수980731이후"/>
      <sheetName val="203"/>
      <sheetName val="유효폭의 계산"/>
      <sheetName val="일위(PN)"/>
      <sheetName val="도체종-상수표"/>
      <sheetName val="공정추가"/>
      <sheetName val="계약내역서"/>
      <sheetName val="공통자료"/>
      <sheetName val="작성"/>
      <sheetName val="10동"/>
      <sheetName val="판매시설"/>
      <sheetName val="유림총괄"/>
      <sheetName val="물량표S"/>
      <sheetName val="SUMMARY"/>
      <sheetName val="물량표(신)"/>
      <sheetName val="총집계"/>
      <sheetName val="관리,공감"/>
      <sheetName val="금융비용"/>
      <sheetName val="식생블럭단위수량"/>
      <sheetName val="송라터널총괄"/>
      <sheetName val="ITEM"/>
      <sheetName val="Macro(전선)"/>
      <sheetName val="sw1"/>
      <sheetName val="W3단면"/>
      <sheetName val="연령현황"/>
      <sheetName val="설직재-1"/>
      <sheetName val="안산기계장치"/>
      <sheetName val="내력서"/>
      <sheetName val="안정계산"/>
      <sheetName val="단면검토"/>
      <sheetName val="신규 수주분(사용자 정의)"/>
      <sheetName val="DATA2000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COMPARISON TABLE"/>
      <sheetName val="crude.SLAB RE-bar"/>
      <sheetName val="CRUDE RE-bar"/>
      <sheetName val="부대공Ⅱ"/>
      <sheetName val="설계변경원가계산총괄표"/>
      <sheetName val="식재일위대가"/>
      <sheetName val="주경기-오배수"/>
      <sheetName val="단가산출서1"/>
      <sheetName val="식재총괄"/>
      <sheetName val="좌측"/>
      <sheetName val="수량BOQ"/>
      <sheetName val="관경별우수관집계"/>
      <sheetName val="법면"/>
      <sheetName val="중기일위대가"/>
      <sheetName val="배수공1"/>
      <sheetName val="일반부표"/>
      <sheetName val="전기일위대가"/>
      <sheetName val="토목품셈"/>
      <sheetName val="CPM챠트"/>
      <sheetName val="H-pile(298x299)"/>
      <sheetName val="H-pile(250x250)"/>
      <sheetName val="내역및총괄"/>
      <sheetName val="토적계산서"/>
      <sheetName val="2.입력sheet"/>
      <sheetName val="M1"/>
      <sheetName val="SILICATE"/>
      <sheetName val="TB-내역서"/>
      <sheetName val="절취및터파기"/>
      <sheetName val="토공총괄집계"/>
      <sheetName val="세목전체"/>
      <sheetName val="20관리비율"/>
      <sheetName val="견적조건"/>
      <sheetName val="개략"/>
      <sheetName val="공사비산출내역"/>
      <sheetName val="정렬"/>
      <sheetName val="소방현물"/>
      <sheetName val="슬래브"/>
      <sheetName val="직공비"/>
      <sheetName val="(3.품질관리 시험 총괄표)"/>
      <sheetName val="지급자재"/>
      <sheetName val="토량1-1"/>
      <sheetName val="조작대(1연)"/>
      <sheetName val="VE절감"/>
      <sheetName val="2.가정단면"/>
      <sheetName val="거래처등록"/>
      <sheetName val="물가자료"/>
      <sheetName val="지주목시비량산출서"/>
      <sheetName val="일반공사"/>
      <sheetName val="손익분석"/>
      <sheetName val="일위대가(건축)"/>
      <sheetName val="Pier 3"/>
      <sheetName val="집계"/>
      <sheetName val="수량산출서 갑지"/>
      <sheetName val="DIAPHRAGM"/>
      <sheetName val="상시"/>
      <sheetName val="현장일반사항"/>
      <sheetName val="원형측구(B-type)"/>
      <sheetName val="토공총괄표"/>
      <sheetName val="1TL종점(1)"/>
      <sheetName val="도로경계블럭연장조서"/>
      <sheetName val="기계내역"/>
      <sheetName val="전력"/>
      <sheetName val="산근(PE,300)"/>
      <sheetName val="특2호부관하천산근"/>
      <sheetName val="특2호하천산근"/>
      <sheetName val="종배수관(신)"/>
      <sheetName val="적용단위길이"/>
      <sheetName val="종배수관면벽신"/>
      <sheetName val="1062-X방향 "/>
      <sheetName val="단가(반정1교-원주)"/>
      <sheetName val="Sheet10"/>
      <sheetName val="통영LNG입찰현황"/>
      <sheetName val="전력구구조물산근"/>
      <sheetName val="COL"/>
      <sheetName val="간지9)"/>
      <sheetName val="별총"/>
      <sheetName val="BOX전기내역"/>
      <sheetName val="소운반"/>
      <sheetName val="표  지"/>
      <sheetName val="BOX(1.5X1.5)"/>
      <sheetName val="U-TYPE(1)"/>
      <sheetName val="1.2.1 마루높이결정"/>
      <sheetName val="BOILING검토"/>
      <sheetName val="입찰보고"/>
      <sheetName val="차선도색현황"/>
      <sheetName val="우수관"/>
      <sheetName val="기계시공"/>
      <sheetName val="2000용수잠관-수량집계"/>
      <sheetName val="&lt;목록&gt;"/>
      <sheetName val="기계경비일람"/>
      <sheetName val="BID9697"/>
      <sheetName val="토목내역"/>
      <sheetName val="시행후면적"/>
      <sheetName val="시가지우회도로공내역서"/>
      <sheetName val="o현장경비"/>
      <sheetName val="공사내역"/>
      <sheetName val="※참고자료※"/>
      <sheetName val="UEC영화관본공사내역"/>
      <sheetName val="대운산출"/>
      <sheetName val="세부내역"/>
      <sheetName val="SLIDES"/>
      <sheetName val="노무비계"/>
      <sheetName val="sheeet2"/>
      <sheetName val="단면 _2_"/>
      <sheetName val="Dike for 49T03 &amp; 49T04"/>
      <sheetName val="Dike for 49T02, 05~07, 19 (1)"/>
      <sheetName val=" 냉각수펌프"/>
      <sheetName val="Sheet15"/>
      <sheetName val="상수도공-간지"/>
      <sheetName val="옹벽"/>
      <sheetName val="주식"/>
      <sheetName val="집계표(육상)"/>
      <sheetName val="조건표"/>
      <sheetName val="지급자재조서"/>
      <sheetName val="참조M"/>
      <sheetName val="하중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일위대가1"/>
      <sheetName val="type-F"/>
      <sheetName val="수량산출근거"/>
      <sheetName val="XL4Poppy"/>
      <sheetName val="소업1교"/>
      <sheetName val="변경후-SHEET"/>
      <sheetName val="CON포장수량"/>
      <sheetName val="CONUNIT"/>
      <sheetName val="웅진교-S2"/>
      <sheetName val="방음벽기초"/>
      <sheetName val="품셈총괄표"/>
      <sheetName val="PD-5(직선)"/>
      <sheetName val="ACUNIT"/>
      <sheetName val="현황산출서"/>
      <sheetName val="plan&amp;section_of_foundation"/>
      <sheetName val="working_load_at_the_btm_ft_"/>
      <sheetName val="stability_check"/>
      <sheetName val="design_criteria"/>
      <sheetName val="design_load"/>
      <sheetName val="주요자재집계표"/>
      <sheetName val="상승요인분석"/>
      <sheetName val="식재일위"/>
      <sheetName val="woo(mac)"/>
      <sheetName val="계단"/>
      <sheetName val="터널구조물산근"/>
      <sheetName val="예산작성기준(전기)"/>
      <sheetName val="수정내역서"/>
      <sheetName val="자재목록"/>
      <sheetName val="TEL"/>
      <sheetName val="품의"/>
      <sheetName val="2011.(4)"/>
      <sheetName val="맨홀평균높이"/>
      <sheetName val="2002년12월"/>
      <sheetName val="MOTOR"/>
      <sheetName val="WEON"/>
      <sheetName val="바닥판(1)"/>
      <sheetName val="통합"/>
      <sheetName val="설계기준 및 하중계산"/>
      <sheetName val="단가일람"/>
      <sheetName val="단위량당중기"/>
      <sheetName val="11.자재단가"/>
      <sheetName val="배수내역"/>
      <sheetName val="PAD TR보호대기초"/>
      <sheetName val="가로등기초"/>
      <sheetName val="설정"/>
      <sheetName val="공종별수량집계"/>
      <sheetName val="기초공"/>
      <sheetName val="맨홀수량산출"/>
      <sheetName val="P3"/>
      <sheetName val="각사별공사비분개 "/>
      <sheetName val="기둥"/>
      <sheetName val="저판(버림100)"/>
      <sheetName val="계화배수"/>
      <sheetName val="산근목록"/>
      <sheetName val="슬래브(유곡)"/>
      <sheetName val="SUMDO"/>
      <sheetName val="ENDDO"/>
      <sheetName val="PLDB"/>
      <sheetName val="AAA"/>
      <sheetName val="M-HOUR"/>
      <sheetName val="공기"/>
      <sheetName val="원가입력"/>
      <sheetName val="ASP"/>
      <sheetName val="DESCRIPTION"/>
      <sheetName val="내역(전체)"/>
      <sheetName val="inter"/>
      <sheetName val="Sheet6"/>
      <sheetName val="북방3터널"/>
      <sheetName val="예산내역서"/>
      <sheetName val="M_DB"/>
      <sheetName val="TYPE"/>
      <sheetName val="costing_FE"/>
      <sheetName val="BOX-1515"/>
      <sheetName val="BOX-1510"/>
      <sheetName val="3CHBDC"/>
      <sheetName val="사급자재"/>
      <sheetName val="간접비내역-1"/>
      <sheetName val="석축"/>
      <sheetName val="인천제철"/>
      <sheetName val="재료"/>
      <sheetName val="예산대비"/>
      <sheetName val="0226"/>
      <sheetName val="역T형(H=6.0) (2)"/>
      <sheetName val="중기집계"/>
      <sheetName val="대정2공구"/>
      <sheetName val="포장직선구간"/>
      <sheetName val="1호맨홀토공"/>
      <sheetName val="00000"/>
      <sheetName val="전계가"/>
      <sheetName val="공통부대비"/>
      <sheetName val="결재갑지"/>
      <sheetName val="소비자가"/>
      <sheetName val="POL6차-PIPING"/>
      <sheetName val="b_balju_cho"/>
      <sheetName val="토목명"/>
      <sheetName val="견적단가"/>
      <sheetName val="노무비단가"/>
      <sheetName val="2.토목공사"/>
      <sheetName val="제원및배치"/>
      <sheetName val="돌담교_상부수량"/>
      <sheetName val="CON기초"/>
      <sheetName val="중동공구"/>
      <sheetName val="건물철거"/>
      <sheetName val="기타배수구조물깨기-단위수량"/>
      <sheetName val="내역을"/>
      <sheetName val="신규보류입력"/>
      <sheetName val="AS포장복구 "/>
      <sheetName val="운임료"/>
      <sheetName val="Macro2"/>
      <sheetName val="년도별노임표"/>
      <sheetName val="중기목록표"/>
      <sheetName val="FILE1"/>
      <sheetName val="안전장치"/>
      <sheetName val="노임,재료비"/>
      <sheetName val="초"/>
      <sheetName val="토공개요C"/>
      <sheetName val="정공공사"/>
      <sheetName val="대전가오_견출_집계표"/>
      <sheetName val="도로"/>
      <sheetName val="수로BOX"/>
      <sheetName val="적용기준"/>
      <sheetName val="수량"/>
      <sheetName val="작업입력"/>
      <sheetName val="2003상반기노임기준"/>
      <sheetName val="연동내역"/>
      <sheetName val="건설성적"/>
      <sheetName val="건축일위"/>
      <sheetName val="그라우팅일위"/>
      <sheetName val="문산방향-교대(A2)"/>
      <sheetName val="투찰"/>
      <sheetName val="L_RPTB02_01"/>
      <sheetName val="A2"/>
      <sheetName val="청주(철골발주의뢰서)"/>
      <sheetName val="설계변경총괄표(계산식)"/>
      <sheetName val="기본데이타입력"/>
      <sheetName val="보도교산출근거"/>
      <sheetName val="원가&amp;하도급원가"/>
      <sheetName val="HVAC"/>
      <sheetName val="대공종"/>
      <sheetName val="가감수량"/>
      <sheetName val="개별직종노임단가(2003.9)"/>
      <sheetName val="격점수량"/>
      <sheetName val="3련 BOX"/>
      <sheetName val="II손익관리"/>
      <sheetName val="목포방향"/>
      <sheetName val="노무자도장2"/>
      <sheetName val="내역- CCTV"/>
      <sheetName val="개거산출내역"/>
      <sheetName val="D"/>
      <sheetName val="재료비"/>
      <sheetName val="부속동"/>
      <sheetName val="터널굴착단산"/>
      <sheetName val="EQUIP LIST"/>
      <sheetName val="실행내역(10.13)"/>
      <sheetName val="1구간FRP수량산출"/>
      <sheetName val="중기단가LIST"/>
      <sheetName val="산출기준"/>
      <sheetName val="개별직종노임"/>
      <sheetName val="엔지니어링노임"/>
      <sheetName val="기본단가표"/>
      <sheetName val="기존건물 깨기원단위"/>
      <sheetName val="시장성초안camera"/>
      <sheetName val="장비종합부표"/>
      <sheetName val="집계표_식재"/>
      <sheetName val="부표"/>
      <sheetName val="COVER"/>
      <sheetName val="철근량 산정"/>
      <sheetName val="구분표"/>
      <sheetName val="건축계약내역"/>
      <sheetName val="공종별자재"/>
      <sheetName val="방수"/>
      <sheetName val="포장자재집계표"/>
      <sheetName val="물가단가"/>
      <sheetName val="제표일위대가"/>
      <sheetName val="208-238"/>
      <sheetName val="노.표-조"/>
      <sheetName val="단관데이터"/>
      <sheetName val="이형관데이터"/>
      <sheetName val="철거현황"/>
      <sheetName val="설비공사(4)"/>
      <sheetName val="준비공"/>
      <sheetName val="목교수량산출"/>
      <sheetName val="양식3"/>
      <sheetName val="설계설명서"/>
      <sheetName val="위생"/>
      <sheetName val="슬래브 -연속(3경간)"/>
      <sheetName val="식재가격"/>
      <sheetName val="신천3호용수로"/>
      <sheetName val="CC16-내역서"/>
      <sheetName val="4.2유효폭의 계산"/>
      <sheetName val="이토변실"/>
      <sheetName val="Macro(차단기)"/>
      <sheetName val="JUCKEYK"/>
      <sheetName val="가설공사비"/>
      <sheetName val="도로구조공사비"/>
      <sheetName val="도로토공공사비"/>
      <sheetName val="여수토공사비"/>
      <sheetName val="2000노임기준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중기운반비"/>
      <sheetName val="진입도로공사비"/>
      <sheetName val="취수탑공사비"/>
      <sheetName val="토취장복구"/>
      <sheetName val="토목공사일반"/>
      <sheetName val="토공분배표"/>
      <sheetName val="종배수단위_CON기초"/>
      <sheetName val="산출3-동력"/>
      <sheetName val="산출4-전등"/>
      <sheetName val="산출2-전력"/>
      <sheetName val="산출9-TRAY"/>
      <sheetName val="DATE2001"/>
      <sheetName val="밸브설치"/>
      <sheetName val="참여현황 (직원)"/>
      <sheetName val="종형증설공"/>
      <sheetName val="시노501"/>
      <sheetName val="전력간선(신설)"/>
      <sheetName val="정부노임"/>
      <sheetName val="물류최종8월7"/>
      <sheetName val="값"/>
      <sheetName val="단가표"/>
      <sheetName val="99노임단_x0007_"/>
      <sheetName val="99노임단쌇"/>
      <sheetName val="주요재료비(원본)"/>
      <sheetName val="2000.05"/>
      <sheetName val="CABLE"/>
      <sheetName val="계정"/>
      <sheetName val="스파이더산출근거"/>
      <sheetName val="SANTOGO"/>
      <sheetName val="절대건들지마시오"/>
      <sheetName val="설계서"/>
      <sheetName val="스톱로그내역"/>
      <sheetName val="식생블럭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/>
      <sheetData sheetId="1014"/>
      <sheetData sheetId="1015"/>
      <sheetData sheetId="1016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터파기및재료"/>
      <sheetName val="#REF"/>
      <sheetName val="교각1"/>
      <sheetName val="대포2교접속"/>
      <sheetName val="천방교접속"/>
      <sheetName val="sheet1"/>
      <sheetName val="약품공급2"/>
      <sheetName val="산출근거"/>
      <sheetName val="기초공"/>
      <sheetName val="기둥(원형)"/>
      <sheetName val="2000년1차"/>
      <sheetName val="2000전체분"/>
      <sheetName val="guard(mac)"/>
      <sheetName val="품셈TABLE"/>
      <sheetName val="앉음벽 (2)"/>
      <sheetName val="전체_1설계"/>
      <sheetName val="사다리"/>
      <sheetName val="ABUT수량-A1"/>
      <sheetName val="당진1,2호기전선관설치및접지4차공사내역서-을지"/>
      <sheetName val="6PILE  (돌출)"/>
      <sheetName val="원형1호맨홀토공수량"/>
      <sheetName val="구조물철거타공정이월"/>
      <sheetName val="위치조서"/>
      <sheetName val="포장물량집계"/>
      <sheetName val="DATE"/>
      <sheetName val="인버트단위수량"/>
      <sheetName val="준공정산"/>
      <sheetName val="실행철강하도"/>
      <sheetName val="증감내역서"/>
      <sheetName val="대로근거"/>
      <sheetName val="중로근거"/>
      <sheetName val="준검 내역서"/>
      <sheetName val="내역서"/>
      <sheetName val="내역"/>
      <sheetName val="Sheet2"/>
      <sheetName val="차액보증"/>
      <sheetName val="TYPE-A"/>
      <sheetName val="암거날개벽"/>
      <sheetName val="건축내역"/>
      <sheetName val="데리네이타현황"/>
      <sheetName val="내역기준"/>
      <sheetName val="참조"/>
      <sheetName val="집계표"/>
      <sheetName val="우수공"/>
      <sheetName val="E총"/>
      <sheetName val="원가서"/>
      <sheetName val="수량산출"/>
      <sheetName val="말뚝지지력산정"/>
      <sheetName val="단가조사"/>
      <sheetName val="단면 (2)"/>
      <sheetName val="일위대가9803"/>
      <sheetName val="단가일람"/>
      <sheetName val="조경일람"/>
      <sheetName val="접지수량"/>
      <sheetName val="sub"/>
      <sheetName val="실행내역"/>
      <sheetName val="집계"/>
      <sheetName val="기본일위"/>
      <sheetName val="내역서2안"/>
      <sheetName val="패널"/>
      <sheetName val="직노"/>
      <sheetName val="금액내역서"/>
      <sheetName val="TYPE-1"/>
      <sheetName val="찍기"/>
      <sheetName val="편입토지조서"/>
      <sheetName val="날개벽수량표"/>
      <sheetName val="치수표"/>
      <sheetName val="노임단가"/>
      <sheetName val="전체제잡비"/>
      <sheetName val="요율"/>
      <sheetName val="Y-WORK"/>
      <sheetName val="SLAB&quot;1&quot;"/>
      <sheetName val="공정증감대ㅈ표"/>
      <sheetName val="경비2내역"/>
      <sheetName val="단면계수(상부)"/>
      <sheetName val="휴지통"/>
      <sheetName val="슬래브수량"/>
      <sheetName val="인건-측정"/>
      <sheetName val="2공구산출내역"/>
      <sheetName val="1,2공구원가계산서"/>
      <sheetName val="1공구산출내역서"/>
      <sheetName val="BID"/>
      <sheetName val="안산기계장치"/>
      <sheetName val="자재단가비교표"/>
      <sheetName val="교각계산"/>
      <sheetName val="바닥판"/>
      <sheetName val="입력DATA"/>
      <sheetName val="입찰안"/>
      <sheetName val="단가"/>
      <sheetName val="1.설계기준"/>
      <sheetName val="암거 제원표"/>
      <sheetName val="신림자금"/>
      <sheetName val="현장관리비참조"/>
      <sheetName val="단가비교"/>
      <sheetName val="을부담운반비"/>
      <sheetName val="A-4"/>
      <sheetName val="8.PILE  (돌출)"/>
      <sheetName val="단면가정"/>
      <sheetName val="입력값"/>
      <sheetName val="설계기준 및 하중계산"/>
      <sheetName val="type-F"/>
      <sheetName val="자재일람"/>
      <sheetName val="설계개요"/>
      <sheetName val="전체"/>
      <sheetName val="건축공사"/>
      <sheetName val="Resource2"/>
      <sheetName val="산출내역서"/>
      <sheetName val="inputdata"/>
      <sheetName val="표준건축비"/>
      <sheetName val="작성방법"/>
      <sheetName val="1TL종점(1)"/>
      <sheetName val="문학간접"/>
      <sheetName val="4.전기"/>
      <sheetName val="설계기준"/>
      <sheetName val="산출서"/>
      <sheetName val="적점"/>
      <sheetName val="토목"/>
      <sheetName val="DB"/>
      <sheetName val="접속도수량집계표"/>
      <sheetName val="98지급계획"/>
      <sheetName val="기성갑지"/>
      <sheetName val="자재단가"/>
      <sheetName val="대림경상68억"/>
      <sheetName val="P.M 별"/>
      <sheetName val="공사내역"/>
      <sheetName val="반중력식옹벽"/>
      <sheetName val="8설7발"/>
      <sheetName val="YOEMAGUM"/>
      <sheetName val="도담구내 개소별 명세"/>
      <sheetName val="내역표지"/>
      <sheetName val="일위집계"/>
      <sheetName val="코드"/>
      <sheetName val="2.1  노무비 평균단가산출"/>
      <sheetName val="설계내역서"/>
      <sheetName val="공통가설"/>
      <sheetName val="시설수량표"/>
      <sheetName val="기초일위"/>
      <sheetName val="수목단가"/>
      <sheetName val="시설일위"/>
      <sheetName val="식재수량표"/>
      <sheetName val="식재일위"/>
      <sheetName val="남양내역"/>
      <sheetName val="동물이동통로"/>
      <sheetName val="신호등일위대가"/>
      <sheetName val="일위"/>
      <sheetName val="N賃率-職"/>
      <sheetName val="1호맨홀토공"/>
      <sheetName val="산근"/>
      <sheetName val="토사절취"/>
      <sheetName val="일위대가목록"/>
      <sheetName val="CPM챠트"/>
      <sheetName val="설비"/>
      <sheetName val="공사비증감"/>
      <sheetName val="설계"/>
      <sheetName val="토공계산서(부체도로)"/>
      <sheetName val="배수관산출"/>
      <sheetName val="배수내역"/>
      <sheetName val="구조물터파기수량집계"/>
      <sheetName val="맨홀수량"/>
      <sheetName val="토공사"/>
      <sheetName val="우석문틀"/>
      <sheetName val="목차"/>
      <sheetName val="포장공집"/>
      <sheetName val="토목주소"/>
      <sheetName val="DB구축"/>
      <sheetName val="AS복구"/>
      <sheetName val="중기터파기"/>
      <sheetName val="변수값"/>
      <sheetName val="중기상차"/>
      <sheetName val="수량집계"/>
      <sheetName val="Sheet1 (2)"/>
      <sheetName val="INPUT(덕도방향-시점)"/>
      <sheetName val="COPING"/>
      <sheetName val="1.취수장"/>
      <sheetName val="갑지"/>
      <sheetName val="원가계산서구조조정"/>
      <sheetName val="가도공"/>
      <sheetName val="9GNG운반"/>
      <sheetName val="우수받이수량산출"/>
      <sheetName val="집수정수량집계"/>
      <sheetName val="각종측구수량집계"/>
      <sheetName val="일위대가(계측기설치)"/>
      <sheetName val="유림골조"/>
      <sheetName val="맨홀수량산출"/>
      <sheetName val="광주방향"/>
      <sheetName val="옹벽철근집계표"/>
      <sheetName val="Total"/>
      <sheetName val="BOX-1510"/>
      <sheetName val="추가예산"/>
      <sheetName val="98수문일위"/>
      <sheetName val="마산방향철근집계"/>
      <sheetName val="마산방향"/>
      <sheetName val="하중계산"/>
      <sheetName val="단가조사서"/>
      <sheetName val="401"/>
      <sheetName val="집수정단면도 (2)"/>
      <sheetName val="도색집계"/>
      <sheetName val="계림(함평)"/>
      <sheetName val="계림(장성)"/>
      <sheetName val="C.배수관공"/>
      <sheetName val="원"/>
      <sheetName val="기계공사"/>
      <sheetName val="공사비총"/>
      <sheetName val="토목공사일반"/>
      <sheetName val="교대(A1)"/>
      <sheetName val="진주방향"/>
      <sheetName val="일위대가목차"/>
      <sheetName val="단위수량"/>
      <sheetName val="상반기손익차2총괄"/>
      <sheetName val="95년12월말"/>
      <sheetName val="코드표"/>
      <sheetName val="집수정"/>
      <sheetName val="data"/>
      <sheetName val="재정비내역"/>
      <sheetName val="지적고시내역"/>
      <sheetName val="토공(1)"/>
      <sheetName val="공구"/>
      <sheetName val="버스운행안내"/>
      <sheetName val="플랜트 설치"/>
      <sheetName val="I一般比"/>
      <sheetName val="INPUT"/>
      <sheetName val="오동"/>
      <sheetName val="대조"/>
      <sheetName val="나한"/>
      <sheetName val="도로경계단위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결관조서 (토사)"/>
      <sheetName val="연결관수량"/>
      <sheetName val="연암"/>
      <sheetName val="우수받이BOX토공"/>
      <sheetName val="우수받이관로토공"/>
      <sheetName val="토사"/>
      <sheetName val="조명율표"/>
      <sheetName val="일반수량"/>
      <sheetName val="산출기준자료"/>
      <sheetName val="인사자료총집계"/>
      <sheetName val="도장수량(하1)"/>
      <sheetName val="주형"/>
      <sheetName val="봉양~조차장간고하개명(신설)"/>
      <sheetName val="RE9604"/>
      <sheetName val="지급자재"/>
      <sheetName val="안양동교 1안"/>
      <sheetName val="DATA2000"/>
      <sheetName val="수량산출서"/>
      <sheetName val="내역(가지)"/>
      <sheetName val="수량산출서집계"/>
      <sheetName val="범례표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설계조건"/>
      <sheetName val="Macro(전선)"/>
      <sheetName val="교통대책내역"/>
      <sheetName val="여과지동"/>
      <sheetName val="기초자료"/>
      <sheetName val="설산1.나"/>
      <sheetName val="본사S"/>
      <sheetName val="FORM-0"/>
      <sheetName val="수량산출목록표"/>
      <sheetName val="수량3"/>
      <sheetName val="재적표"/>
      <sheetName val="측구터파기공수량집계"/>
      <sheetName val="배수공 시멘트 및 골재량 산출"/>
      <sheetName val="주beam"/>
      <sheetName val="마산월령동골조물량변경"/>
      <sheetName val="CALCULATION"/>
      <sheetName val="총괄내역서"/>
      <sheetName val="5. 현장관리비(new) "/>
      <sheetName val="총괄표"/>
      <sheetName val="철근단면적"/>
      <sheetName val="토사(PE)"/>
      <sheetName val="1-3.조건,바닥판 "/>
      <sheetName val="수우미양가(Vlookup)"/>
      <sheetName val="상수도공-간지"/>
      <sheetName val="자재테이블"/>
      <sheetName val="CC16-내역서"/>
      <sheetName val="연장및면적(좌측)"/>
      <sheetName val="고창방향"/>
      <sheetName val="공사비총괄"/>
      <sheetName val="접속도로1"/>
      <sheetName val="자재대"/>
      <sheetName val="DA"/>
      <sheetName val="갑지(추정)"/>
      <sheetName val="WORK"/>
      <sheetName val="NAI"/>
      <sheetName val="ELEC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데리네이타현황"/>
      <sheetName val="산출근거"/>
      <sheetName val="내역"/>
      <sheetName val="골재산출"/>
      <sheetName val="집계표"/>
      <sheetName val="철근량"/>
      <sheetName val="일위대가표"/>
      <sheetName val="guard(mac)"/>
      <sheetName val="96정변2"/>
      <sheetName val="대로근거"/>
      <sheetName val="일위대가1"/>
      <sheetName val="DATA"/>
      <sheetName val="총괄표"/>
      <sheetName val="말뚝지지력산정"/>
      <sheetName val="공동구수량"/>
      <sheetName val="토목"/>
      <sheetName val="설명서 "/>
      <sheetName val="우수받이"/>
      <sheetName val="흥양2교토공집계표"/>
      <sheetName val="우수내용"/>
      <sheetName val="#REF"/>
      <sheetName val="입찰안"/>
      <sheetName val="표지"/>
      <sheetName val="주beam"/>
      <sheetName val="지장물C"/>
      <sheetName val="상시"/>
      <sheetName val="날개벽수량표"/>
      <sheetName val="발주내역"/>
      <sheetName val="식생블럭단위수량"/>
      <sheetName val="바닥판"/>
      <sheetName val="입력DATA"/>
      <sheetName val="Sheet1"/>
      <sheetName val="준검 내역서"/>
      <sheetName val="초기화면"/>
      <sheetName val="암거단위"/>
      <sheetName val="찍기"/>
      <sheetName val="6PILE  (돌출)"/>
      <sheetName val="골조"/>
      <sheetName val="간접1"/>
      <sheetName val="노임"/>
      <sheetName val="공사비총괄표"/>
      <sheetName val="BID"/>
      <sheetName val="차수공개요"/>
      <sheetName val="직접공사비"/>
      <sheetName val="2000년1차"/>
      <sheetName val="2000전체분"/>
      <sheetName val="신고조서"/>
      <sheetName val="도로경계단위"/>
      <sheetName val="원형1호맨홀토공수량"/>
      <sheetName val="입력란"/>
      <sheetName val="97노임단가"/>
      <sheetName val="교각1"/>
      <sheetName val="날개벽"/>
      <sheetName val="수량산출"/>
      <sheetName val="당초"/>
      <sheetName val="재료"/>
      <sheetName val="목차 "/>
      <sheetName val="총수량집계표"/>
      <sheetName val="INPUT"/>
      <sheetName val="추가예산"/>
      <sheetName val="터파기및재료"/>
      <sheetName val="내역서1999.8최종"/>
      <sheetName val="일위대가9803"/>
      <sheetName val="부대내역"/>
      <sheetName val="실행"/>
      <sheetName val="97년 추정"/>
      <sheetName val="102역사"/>
      <sheetName val="포장물량집계"/>
      <sheetName val="월말"/>
      <sheetName val="4.2유효폭의 계산"/>
      <sheetName val="자재단가비교표"/>
      <sheetName val="노임단가"/>
      <sheetName val="분석"/>
      <sheetName val="예산M11A"/>
      <sheetName val="내역서중"/>
      <sheetName val="세골재  T2 변경 현황"/>
      <sheetName val="0.단가"/>
      <sheetName val="내역서"/>
      <sheetName val="4. 주형설계"/>
      <sheetName val="1,2공구원가계산서"/>
      <sheetName val="2공구산출내역"/>
      <sheetName val="1공구산출내역서"/>
      <sheetName val="H-PILE수량집계"/>
      <sheetName val="I一般比"/>
      <sheetName val="토사(PE)"/>
      <sheetName val="PSCbeam설계"/>
      <sheetName val="일위대가목차"/>
      <sheetName val="인명부"/>
      <sheetName val="물량표"/>
      <sheetName val="PIPING"/>
      <sheetName val="#3_일위대가목록"/>
      <sheetName val="#2_일위대가목록"/>
      <sheetName val="뚝토공"/>
      <sheetName val="적용토목"/>
      <sheetName val="중로근거"/>
      <sheetName val="대림경상68억"/>
      <sheetName val="H-pile(298x299)"/>
      <sheetName val="H-pile(250x250)"/>
      <sheetName val="DATE"/>
      <sheetName val="참조"/>
      <sheetName val="각종양식"/>
      <sheetName val="오동"/>
      <sheetName val="대조"/>
      <sheetName val="나한"/>
      <sheetName val="지급자재"/>
      <sheetName val="산근"/>
      <sheetName val="단면 (2)"/>
      <sheetName val="8.석축단위(H=1.5M)"/>
      <sheetName val="역T형교대(말뚝기초)"/>
      <sheetName val="조명율표"/>
      <sheetName val="직노"/>
      <sheetName val="최적단면"/>
      <sheetName val="1062-X방향 "/>
      <sheetName val="암거 제원표-1단계"/>
      <sheetName val="해평견적"/>
      <sheetName val="증감내역서"/>
      <sheetName val="실행철강하도"/>
      <sheetName val="소보"/>
      <sheetName val="포장면적집계"/>
      <sheetName val="출력X"/>
      <sheetName val="슬래브수량"/>
      <sheetName val="차수"/>
      <sheetName val="수량집"/>
      <sheetName val="공정코드"/>
      <sheetName val="코드표"/>
      <sheetName val="woo(mac)"/>
      <sheetName val="설치조서"/>
      <sheetName val="Sheet3"/>
      <sheetName val="배수공집계표"/>
      <sheetName val="예정공정표"/>
      <sheetName val="종배수관면벽구"/>
      <sheetName val="종배수관위치조서"/>
      <sheetName val="N賃率-職"/>
      <sheetName val="INPUT(덕도방향-시점)"/>
      <sheetName val="간지"/>
      <sheetName val="역T형(H=6.0) (2)"/>
      <sheetName val="단가표"/>
      <sheetName val="COPING"/>
      <sheetName val="BOX수량"/>
      <sheetName val="RAMP 단면(R2)"/>
      <sheetName val="중기"/>
      <sheetName val="지중자재단가"/>
      <sheetName val="금액내역서"/>
      <sheetName val="99총공사내역서"/>
      <sheetName val="노임이"/>
      <sheetName val="단가 및 재료비"/>
      <sheetName val="중기사용료산출근거"/>
      <sheetName val="1련박스"/>
      <sheetName val="ABUT수량-A1"/>
      <sheetName val="장비집계"/>
      <sheetName val="1호맨홀토공"/>
      <sheetName val="대비"/>
      <sheetName val="교각계산"/>
      <sheetName val="표준차도부연장집계-ASP"/>
      <sheetName val="갑지"/>
      <sheetName val="ATM기초철가"/>
      <sheetName val="NYS"/>
      <sheetName val="실행내역"/>
      <sheetName val="기계경비(시간당)"/>
      <sheetName val="램머"/>
      <sheetName val="공통가설공사"/>
      <sheetName val="0506생활권구적"/>
      <sheetName val="내역서 제출"/>
      <sheetName val="2000용수잠관-수량집계"/>
      <sheetName val="계수시트"/>
      <sheetName val="품셈TABLE"/>
      <sheetName val="단가일람"/>
      <sheetName val="조경일람"/>
      <sheetName val="지질조사"/>
      <sheetName val="토공 total"/>
      <sheetName val="원형맨홀수량"/>
      <sheetName val="토공(우물통,기타) "/>
      <sheetName val="CTEMCOST"/>
      <sheetName val="재료비"/>
      <sheetName val="제경비"/>
      <sheetName val="200"/>
      <sheetName val="소도3교"/>
      <sheetName val="Macro(전선)"/>
      <sheetName val="spiral"/>
      <sheetName val="약품공급2"/>
      <sheetName val="접지수량"/>
      <sheetName val="현장설명"/>
      <sheetName val="금융비용"/>
      <sheetName val="설계내역서"/>
      <sheetName val="총괄"/>
      <sheetName val="코드"/>
      <sheetName val="본체"/>
      <sheetName val="위치조서"/>
      <sheetName val="2.단면가정"/>
      <sheetName val="수우미양가(Vlookup)"/>
      <sheetName val="단면가정"/>
      <sheetName val="설계조건"/>
      <sheetName val="내역서적용수량"/>
      <sheetName val="토적표"/>
      <sheetName val="입력변수"/>
      <sheetName val="교량"/>
      <sheetName val="도수로수량산출"/>
      <sheetName val="원가"/>
      <sheetName val="Macro1"/>
      <sheetName val="3BL공동구 수량"/>
      <sheetName val="차액보증"/>
      <sheetName val="crude.SLAB RE-bar"/>
      <sheetName val="전기"/>
      <sheetName val="재료집계표"/>
      <sheetName val="총괄내역서"/>
      <sheetName val="신천3호용수로"/>
      <sheetName val="설직재-1"/>
      <sheetName val="인수공규격"/>
      <sheetName val="WORK"/>
      <sheetName val="C.배수관공"/>
      <sheetName val="대창(함평)"/>
      <sheetName val="대창(장성)"/>
      <sheetName val="대창(함평)-창열"/>
      <sheetName val="덕전리"/>
      <sheetName val="참고사항"/>
      <sheetName val="항목등록"/>
      <sheetName val="자료입력"/>
      <sheetName val="세부내역서(전기)"/>
      <sheetName val="총괄내역"/>
      <sheetName val="집계표(OPTION)"/>
      <sheetName val="보차도경계석"/>
      <sheetName val="견적단가"/>
      <sheetName val="용수량(생활용수)"/>
      <sheetName val="CC16-내역서"/>
      <sheetName val="공사비산출내역"/>
      <sheetName val="기성내역"/>
      <sheetName val="상-교대(A1-A2)"/>
      <sheetName val="기타 정보통신공사"/>
      <sheetName val="내역_ver1.0"/>
      <sheetName val="단위중량"/>
      <sheetName val="실행대비"/>
      <sheetName val="양식3"/>
      <sheetName val="유림골조"/>
      <sheetName val="천방교접속"/>
      <sheetName val="대포2교접속"/>
      <sheetName val="국도접속 차도부수량"/>
      <sheetName val="철집"/>
      <sheetName val="3련 BOX"/>
      <sheetName val="공사착공계"/>
      <sheetName val="암거날개벽"/>
      <sheetName val="맨홀수량"/>
      <sheetName val="4)유동표"/>
      <sheetName val="CRUDE RE-bar"/>
      <sheetName val="6공구(당초)"/>
      <sheetName val="Sheet2"/>
      <sheetName val="일위대가목록"/>
      <sheetName val="101동"/>
      <sheetName val="CAT_5"/>
      <sheetName val="CIVIL4"/>
      <sheetName val="여과지동"/>
      <sheetName val="기초자료"/>
      <sheetName val="단가"/>
      <sheetName val="산출내역서"/>
      <sheetName val="세부내역"/>
      <sheetName val="노무비"/>
      <sheetName val="단양 00 아파트-세부내역"/>
      <sheetName val="업무분장"/>
      <sheetName val="시중노임단가"/>
      <sheetName val="토목내역서 (도급단가)"/>
      <sheetName val="수안보-MBR1"/>
      <sheetName val="바닥판의 설계"/>
      <sheetName val="이토변실"/>
      <sheetName val="단위단가"/>
      <sheetName val="교대(A1)"/>
      <sheetName val="단위수량"/>
      <sheetName val="건축공사실행"/>
      <sheetName val="연결관암거"/>
      <sheetName val="가시설수량"/>
      <sheetName val="식재가격"/>
      <sheetName val="식재총괄"/>
      <sheetName val="일위목록"/>
      <sheetName val="기초일위"/>
      <sheetName val="시설일위"/>
      <sheetName val="조명일위"/>
      <sheetName val="기본1"/>
      <sheetName val="수정일위대가"/>
      <sheetName val="VE절감"/>
      <sheetName val="자재단가"/>
      <sheetName val="건축공사"/>
      <sheetName val="JUCKEYK"/>
      <sheetName val="구조물터파기수량집계"/>
      <sheetName val="전체"/>
      <sheetName val="요율"/>
      <sheetName val="노무비 근거"/>
      <sheetName val="3.하중산정4.지지력"/>
      <sheetName val="MAIN_TABLE"/>
      <sheetName val="지점별강우량"/>
      <sheetName val="자료"/>
      <sheetName val="건축내역"/>
      <sheetName val="MAIN"/>
      <sheetName val="견적990322"/>
      <sheetName val="지장물_data"/>
      <sheetName val="배수내역"/>
      <sheetName val="물가자료"/>
      <sheetName val="Y-WORK"/>
      <sheetName val=" 총괄표"/>
      <sheetName val="단가산출"/>
      <sheetName val="표  지"/>
      <sheetName val="단가비교표_공통1"/>
      <sheetName val="Customer Databas"/>
      <sheetName val="개인"/>
      <sheetName val="기흥하도용"/>
      <sheetName val="당진1,2호기전선관설치및접지4차공사내역서-을지"/>
      <sheetName val="가격조사서"/>
      <sheetName val="배수공"/>
      <sheetName val="암거"/>
      <sheetName val="포장공"/>
      <sheetName val="Sheet5"/>
      <sheetName val="을지"/>
      <sheetName val="일위(수원)"/>
      <sheetName val="전체제잡비"/>
      <sheetName val="미드수량"/>
      <sheetName val="대부예산서"/>
      <sheetName val="CODE"/>
      <sheetName val="기초공"/>
      <sheetName val="MOTOR"/>
      <sheetName val="기둥(원형)"/>
      <sheetName val="제직재"/>
      <sheetName val="배수장토목공사비"/>
      <sheetName val="시행후면적"/>
      <sheetName val="마산월령동골조물량변경"/>
      <sheetName val="총괄-1"/>
      <sheetName val="분뇨"/>
      <sheetName val="토공(1)"/>
      <sheetName val="절대지우지말것"/>
      <sheetName val="집기손료"/>
      <sheetName val="암거 제원표"/>
      <sheetName val="WING3"/>
      <sheetName val="우각부보강"/>
      <sheetName val="재료할증"/>
      <sheetName val="문학간접"/>
      <sheetName val="간접"/>
      <sheetName val="보증수수료산출"/>
      <sheetName val="실행간접비용"/>
      <sheetName val="제잡비"/>
      <sheetName val="보도단위"/>
      <sheetName val="신우"/>
      <sheetName val="원가계산서구조조정"/>
      <sheetName val="건축-물가변동"/>
      <sheetName val="TYPE-A"/>
      <sheetName val="일위-1"/>
      <sheetName val="중기근거"/>
      <sheetName val="단가조사서"/>
      <sheetName val="안정계산"/>
      <sheetName val="단면검토"/>
      <sheetName val="율촌법률사무소2내역"/>
      <sheetName val="특별땅고르기"/>
      <sheetName val="소요자재명세서"/>
      <sheetName val="노무비명세서"/>
      <sheetName val="연돌일위집계"/>
      <sheetName val="교수설계"/>
      <sheetName val="날개벽(시점좌측)"/>
      <sheetName val="갑지(추정)"/>
      <sheetName val="갑지1"/>
      <sheetName val="건축기계설비표선정수장"/>
      <sheetName val="Sheet1 (2)"/>
      <sheetName val="내역서(전기)"/>
      <sheetName val="측구터파기공수량집계"/>
      <sheetName val="배수공 시멘트 및 골재량 산출"/>
      <sheetName val="연결관수량 (2)"/>
      <sheetName val="사다리"/>
      <sheetName val="수량3"/>
      <sheetName val="수량산출서"/>
      <sheetName val="빗물받이(910-510-410)"/>
      <sheetName val="우수공"/>
      <sheetName val="경산"/>
      <sheetName val="공구"/>
      <sheetName val="원가서"/>
      <sheetName val="DB"/>
      <sheetName val="을"/>
      <sheetName val="차압계산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자재대"/>
      <sheetName val="내역서 "/>
      <sheetName val="1.설계조건"/>
      <sheetName val="내역표지"/>
      <sheetName val="구조물철거타공정이월"/>
      <sheetName val="danga"/>
      <sheetName val="ilch"/>
      <sheetName val="철근단면적"/>
      <sheetName val="하도금액분계"/>
      <sheetName val="8.PILE  (돌출)"/>
      <sheetName val="9GNG운반"/>
      <sheetName val="데이타"/>
      <sheetName val="Front"/>
      <sheetName val="wall"/>
      <sheetName val="앵커(3안)"/>
      <sheetName val="신표지1"/>
      <sheetName val="평가데이터"/>
      <sheetName val="자재집계표"/>
      <sheetName val="가중치"/>
      <sheetName val="제-노임"/>
      <sheetName val="청천내"/>
      <sheetName val="산출금액내역"/>
      <sheetName val="주차구획선수량"/>
      <sheetName val="조경내역서"/>
      <sheetName val="구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관급자재"/>
      <sheetName val="설비"/>
      <sheetName val="예총"/>
      <sheetName val="배관배선 단가조사"/>
      <sheetName val="일위대가집계"/>
      <sheetName val="일위"/>
      <sheetName val="기계경비"/>
      <sheetName val="현장예산"/>
      <sheetName val="명세서"/>
      <sheetName val="2공구하도급내역서"/>
      <sheetName val="설계예산서"/>
      <sheetName val="3.공통공사대비"/>
      <sheetName val="목차"/>
      <sheetName val="동원인원"/>
      <sheetName val="TOTAL_BOQ"/>
      <sheetName val="Total"/>
      <sheetName val="총투입계"/>
      <sheetName val="SANBAISU"/>
      <sheetName val="단가조사-2"/>
      <sheetName val="현장경상비"/>
      <sheetName val="연습"/>
      <sheetName val="실행내역서"/>
      <sheetName val="공제수량총집계표"/>
      <sheetName val="임금단가"/>
      <sheetName val="한강운반비"/>
      <sheetName val="원본(갑지)"/>
      <sheetName val="단열-자재"/>
      <sheetName val="공사개요"/>
      <sheetName val="현장경비"/>
      <sheetName val="방배동내역(리라)"/>
      <sheetName val="건축공사집계표"/>
      <sheetName val="방배동내역 (총괄)"/>
      <sheetName val="부대공사총괄"/>
      <sheetName val="설계예산"/>
      <sheetName val="12호기내역서(건축분)"/>
      <sheetName val="빙장비사양"/>
      <sheetName val="환경기계공정표 (3)"/>
      <sheetName val="대치판정"/>
      <sheetName val="옹벽일반수량"/>
      <sheetName val="설계서을"/>
      <sheetName val="견적"/>
      <sheetName val="품셈집계표"/>
      <sheetName val="자재조사표"/>
      <sheetName val="9.정착구 보강"/>
      <sheetName val="본선차로수량집계표"/>
      <sheetName val="범례표"/>
      <sheetName val="우수맨홀공제단위수량"/>
      <sheetName val="총집계표"/>
      <sheetName val="가압장(토목)"/>
      <sheetName val="내역서단가산출용"/>
      <sheetName val="심사공종"/>
      <sheetName val="3BL공동구_수량"/>
      <sheetName val="안정검토"/>
      <sheetName val="단면설계"/>
      <sheetName val="공사기본내용입력"/>
      <sheetName val="일반수량"/>
      <sheetName val="돌담교 상부수량"/>
      <sheetName val="수량-가로등"/>
      <sheetName val="SLAB&quot;1&quot;"/>
      <sheetName val="기초단가"/>
      <sheetName val="중기손료"/>
      <sheetName val="건축"/>
      <sheetName val="제원및배치"/>
      <sheetName val="입력자료"/>
      <sheetName val="원가계산"/>
      <sheetName val="CON'C"/>
      <sheetName val="토목주소"/>
      <sheetName val="기안"/>
      <sheetName val="1단계"/>
      <sheetName val="테이블"/>
      <sheetName val="관급자재대"/>
      <sheetName val="설계개요"/>
      <sheetName val="봉방동근생"/>
      <sheetName val="유효폭의 계산"/>
      <sheetName val="DATA 입력부"/>
      <sheetName val="라멘수량"/>
      <sheetName val="CALCULATION"/>
      <sheetName val="환경보전비B"/>
      <sheetName val="가옥철거(지장물조서)"/>
      <sheetName val="진주방향"/>
      <sheetName val="접합수량(피벗)"/>
      <sheetName val="설명서_"/>
      <sheetName val="6PILE__(돌출)"/>
      <sheetName val="97년_추정"/>
      <sheetName val="4__주형설계"/>
      <sheetName val="4_2유효폭의_계산"/>
      <sheetName val="목차_"/>
      <sheetName val="예정(3)"/>
      <sheetName val="터널조도"/>
      <sheetName val="수량집계표"/>
      <sheetName val="수습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상수도토공집계표"/>
      <sheetName val="견적서"/>
      <sheetName val="2.건축"/>
      <sheetName val="수요개발과판매량"/>
      <sheetName val="설계명세"/>
      <sheetName val="수량집계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AIR SHOWER(3인용)"/>
      <sheetName val="인부신상자료"/>
      <sheetName val="FAB별"/>
      <sheetName val="소비자가"/>
      <sheetName val="마산방향철근집계"/>
      <sheetName val="마산방향"/>
      <sheetName val="s"/>
      <sheetName val="공사비증감"/>
      <sheetName val="1호토공"/>
      <sheetName val="단가조사"/>
      <sheetName val="수량분배표"/>
      <sheetName val="자재일람"/>
      <sheetName val="내역기준"/>
      <sheetName val="48전력선로일위"/>
      <sheetName val="이토변실(A3-LINE)"/>
      <sheetName val="원가계산서"/>
      <sheetName val="부경대총괄내역서"/>
      <sheetName val="노임,기계경비"/>
      <sheetName val="자재집계 (2)"/>
      <sheetName val="1.수량집계"/>
      <sheetName val="포장공사"/>
      <sheetName val="도근좌표"/>
      <sheetName val="백호우계수"/>
      <sheetName val="환율"/>
      <sheetName val="수량BOQ"/>
      <sheetName val="unitpric"/>
      <sheetName val="계약서"/>
      <sheetName val="수량산출표"/>
      <sheetName val="입상내역"/>
      <sheetName val="포장(수량)-관로부"/>
      <sheetName val="가도공"/>
      <sheetName val="식재인부"/>
      <sheetName val="개산공사비"/>
      <sheetName val="정부노임단가"/>
      <sheetName val="설계명세서"/>
      <sheetName val="철거산출근거"/>
      <sheetName val="수목단가"/>
      <sheetName val="시설수량표"/>
      <sheetName val="식재수량표"/>
      <sheetName val="노임,재료비"/>
      <sheetName val="15"/>
      <sheetName val="부하계산서"/>
      <sheetName val="전선 및 전선관"/>
      <sheetName val="준공평가"/>
      <sheetName val="변경비교-을"/>
      <sheetName val="파형강관집계"/>
      <sheetName val="공량(1월22일)"/>
      <sheetName val="96보완계획7.12"/>
      <sheetName val="70%"/>
      <sheetName val="보온자재단가표"/>
      <sheetName val="물량표S"/>
      <sheetName val="물량표(신)"/>
      <sheetName val="대전21토목내역서"/>
      <sheetName val="재료비단가"/>
      <sheetName val="토공집계(rp)"/>
      <sheetName val="자재표"/>
      <sheetName val="영창26"/>
      <sheetName val="산출근거1"/>
      <sheetName val="사유서제출현황-2"/>
      <sheetName val="주차장(T4)"/>
      <sheetName val="40총괄"/>
      <sheetName val="40집계"/>
      <sheetName val="변경내역"/>
      <sheetName val="효성CB 1P기초"/>
      <sheetName val="CON포장수량"/>
      <sheetName val="ACUNIT"/>
      <sheetName val="CONUNIT"/>
      <sheetName val="대전(세창동)"/>
      <sheetName val="공문"/>
      <sheetName val="ⴭⴭⴭⴭⴭ"/>
      <sheetName val="보도공제면적"/>
      <sheetName val="알맹이"/>
      <sheetName val="배수관산출"/>
      <sheetName val="인입관수량총괄"/>
      <sheetName val="기초(중마오수)"/>
      <sheetName val="전동기"/>
      <sheetName val="현황산출서"/>
      <sheetName val="파일의이용"/>
      <sheetName val="원"/>
      <sheetName val="7급줄떼공"/>
      <sheetName val="직원자료입력"/>
      <sheetName val="장비사양"/>
      <sheetName val="Tables"/>
      <sheetName val="공통가설"/>
      <sheetName val="업체별기성내역"/>
      <sheetName val="총공사내역서"/>
      <sheetName val="공사직종별노임"/>
      <sheetName val="면적산출근거(실측)"/>
      <sheetName val="지장물조서"/>
      <sheetName val="내역서1999_8최종"/>
      <sheetName val="단면_(2)"/>
      <sheetName val="8_석축단위(H=1_5M)"/>
      <sheetName val="세골재__T2_변경_현황"/>
      <sheetName val="0_단가"/>
      <sheetName val="산근(1)"/>
      <sheetName val="오수공수량집계표"/>
      <sheetName val="재료단가"/>
      <sheetName val="기존단가 (2)"/>
      <sheetName val="우수공,맨홀,집수정"/>
      <sheetName val="하조서"/>
      <sheetName val="지하"/>
      <sheetName val="2호맨홀공제수량"/>
      <sheetName val="8설7발"/>
      <sheetName val="BOX 본체"/>
      <sheetName val="제수변 수량집계표(보통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21"/>
  <sheetViews>
    <sheetView view="pageBreakPreview" zoomScaleNormal="100" zoomScaleSheetLayoutView="100" workbookViewId="0">
      <selection activeCell="D84" sqref="D84"/>
    </sheetView>
  </sheetViews>
  <sheetFormatPr defaultRowHeight="13.5"/>
  <sheetData>
    <row r="1" spans="1:8">
      <c r="A1" s="130"/>
      <c r="B1" s="130"/>
      <c r="C1" s="130"/>
      <c r="D1" s="130"/>
      <c r="E1" s="130"/>
      <c r="F1" s="130"/>
      <c r="G1" s="130"/>
      <c r="H1" s="130"/>
    </row>
    <row r="2" spans="1:8">
      <c r="A2" s="130"/>
      <c r="B2" s="130"/>
      <c r="C2" s="130"/>
      <c r="D2" s="130"/>
      <c r="E2" s="130"/>
      <c r="F2" s="130"/>
      <c r="G2" s="130"/>
      <c r="H2" s="130"/>
    </row>
    <row r="3" spans="1:8">
      <c r="A3" s="130"/>
      <c r="B3" s="130"/>
      <c r="C3" s="130"/>
      <c r="D3" s="130"/>
      <c r="E3" s="130"/>
      <c r="F3" s="130"/>
      <c r="G3" s="130"/>
      <c r="H3" s="130"/>
    </row>
    <row r="4" spans="1:8">
      <c r="A4" s="130"/>
      <c r="B4" s="130"/>
      <c r="C4" s="130"/>
      <c r="D4" s="130"/>
      <c r="E4" s="130"/>
      <c r="F4" s="130"/>
      <c r="G4" s="130"/>
      <c r="H4" s="130"/>
    </row>
    <row r="5" spans="1:8">
      <c r="A5" s="130"/>
      <c r="B5" s="130"/>
      <c r="C5" s="130"/>
      <c r="D5" s="130"/>
      <c r="E5" s="130"/>
      <c r="F5" s="130"/>
      <c r="G5" s="130"/>
      <c r="H5" s="130"/>
    </row>
    <row r="6" spans="1:8">
      <c r="A6" s="130"/>
      <c r="B6" s="130"/>
      <c r="C6" s="130"/>
      <c r="D6" s="130"/>
      <c r="E6" s="130"/>
      <c r="F6" s="130"/>
      <c r="G6" s="130"/>
      <c r="H6" s="130"/>
    </row>
    <row r="7" spans="1:8">
      <c r="A7" s="130"/>
      <c r="B7" s="130"/>
      <c r="C7" s="130"/>
      <c r="D7" s="130"/>
      <c r="E7" s="130"/>
      <c r="F7" s="130"/>
      <c r="G7" s="130"/>
      <c r="H7" s="130"/>
    </row>
    <row r="8" spans="1:8">
      <c r="A8" s="130"/>
      <c r="B8" s="130"/>
      <c r="C8" s="130"/>
      <c r="D8" s="130"/>
      <c r="E8" s="130"/>
      <c r="F8" s="130"/>
      <c r="G8" s="130"/>
      <c r="H8" s="130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>
      <c r="A11" s="130"/>
      <c r="B11" s="130"/>
      <c r="C11" s="130"/>
      <c r="D11" s="130"/>
      <c r="E11" s="130"/>
      <c r="F11" s="130"/>
      <c r="G11" s="130"/>
      <c r="H11" s="130"/>
    </row>
    <row r="12" spans="1:8">
      <c r="A12" s="130"/>
      <c r="B12" s="130"/>
      <c r="C12" s="130"/>
      <c r="D12" s="130"/>
      <c r="E12" s="130"/>
      <c r="F12" s="130"/>
      <c r="G12" s="130"/>
      <c r="H12" s="130"/>
    </row>
    <row r="13" spans="1:8">
      <c r="A13" s="130"/>
      <c r="B13" s="130"/>
      <c r="C13" s="130"/>
      <c r="D13" s="130"/>
      <c r="E13" s="130"/>
      <c r="F13" s="130"/>
      <c r="G13" s="130"/>
      <c r="H13" s="130"/>
    </row>
    <row r="14" spans="1:8">
      <c r="A14" s="130"/>
      <c r="B14" s="130"/>
      <c r="C14" s="130"/>
      <c r="D14" s="130"/>
      <c r="E14" s="130"/>
      <c r="F14" s="130"/>
      <c r="G14" s="130"/>
      <c r="H14" s="130"/>
    </row>
    <row r="15" spans="1:8">
      <c r="A15" s="161" t="s">
        <v>48</v>
      </c>
      <c r="B15" s="162"/>
      <c r="C15" s="162"/>
      <c r="D15" s="162"/>
      <c r="E15" s="162"/>
      <c r="F15" s="162"/>
      <c r="G15" s="162"/>
      <c r="H15" s="162"/>
    </row>
    <row r="16" spans="1:8">
      <c r="A16" s="162"/>
      <c r="B16" s="162"/>
      <c r="C16" s="162"/>
      <c r="D16" s="162"/>
      <c r="E16" s="162"/>
      <c r="F16" s="162"/>
      <c r="G16" s="162"/>
      <c r="H16" s="162"/>
    </row>
    <row r="17" spans="1:8">
      <c r="A17" s="162"/>
      <c r="B17" s="162"/>
      <c r="C17" s="162"/>
      <c r="D17" s="162"/>
      <c r="E17" s="162"/>
      <c r="F17" s="162"/>
      <c r="G17" s="162"/>
      <c r="H17" s="162"/>
    </row>
    <row r="18" spans="1:8">
      <c r="A18" s="162"/>
      <c r="B18" s="162"/>
      <c r="C18" s="162"/>
      <c r="D18" s="162"/>
      <c r="E18" s="162"/>
      <c r="F18" s="162"/>
      <c r="G18" s="162"/>
      <c r="H18" s="162"/>
    </row>
    <row r="19" spans="1:8">
      <c r="A19" s="162"/>
      <c r="B19" s="162"/>
      <c r="C19" s="162"/>
      <c r="D19" s="162"/>
      <c r="E19" s="162"/>
      <c r="F19" s="162"/>
      <c r="G19" s="162"/>
      <c r="H19" s="162"/>
    </row>
    <row r="20" spans="1:8">
      <c r="A20" s="162"/>
      <c r="B20" s="162"/>
      <c r="C20" s="162"/>
      <c r="D20" s="162"/>
      <c r="E20" s="162"/>
      <c r="F20" s="162"/>
      <c r="G20" s="162"/>
      <c r="H20" s="162"/>
    </row>
    <row r="21" spans="1:8">
      <c r="A21" s="162"/>
      <c r="B21" s="162"/>
      <c r="C21" s="162"/>
      <c r="D21" s="162"/>
      <c r="E21" s="162"/>
      <c r="F21" s="162"/>
      <c r="G21" s="162"/>
      <c r="H21" s="162"/>
    </row>
  </sheetData>
  <mergeCells count="1">
    <mergeCell ref="A15:H21"/>
  </mergeCells>
  <phoneticPr fontId="6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Y11"/>
  <sheetViews>
    <sheetView view="pageBreakPreview" zoomScale="60" zoomScaleNormal="100" workbookViewId="0">
      <selection activeCell="AI22" sqref="AI22"/>
    </sheetView>
  </sheetViews>
  <sheetFormatPr defaultRowHeight="13.5"/>
  <cols>
    <col min="1" max="25" width="2.77734375" style="132" customWidth="1"/>
    <col min="26" max="256" width="8.88671875" style="132"/>
    <col min="257" max="281" width="2.77734375" style="132" customWidth="1"/>
    <col min="282" max="512" width="8.88671875" style="132"/>
    <col min="513" max="537" width="2.77734375" style="132" customWidth="1"/>
    <col min="538" max="768" width="8.88671875" style="132"/>
    <col min="769" max="793" width="2.77734375" style="132" customWidth="1"/>
    <col min="794" max="1024" width="8.88671875" style="132"/>
    <col min="1025" max="1049" width="2.77734375" style="132" customWidth="1"/>
    <col min="1050" max="1280" width="8.88671875" style="132"/>
    <col min="1281" max="1305" width="2.77734375" style="132" customWidth="1"/>
    <col min="1306" max="1536" width="8.88671875" style="132"/>
    <col min="1537" max="1561" width="2.77734375" style="132" customWidth="1"/>
    <col min="1562" max="1792" width="8.88671875" style="132"/>
    <col min="1793" max="1817" width="2.77734375" style="132" customWidth="1"/>
    <col min="1818" max="2048" width="8.88671875" style="132"/>
    <col min="2049" max="2073" width="2.77734375" style="132" customWidth="1"/>
    <col min="2074" max="2304" width="8.88671875" style="132"/>
    <col min="2305" max="2329" width="2.77734375" style="132" customWidth="1"/>
    <col min="2330" max="2560" width="8.88671875" style="132"/>
    <col min="2561" max="2585" width="2.77734375" style="132" customWidth="1"/>
    <col min="2586" max="2816" width="8.88671875" style="132"/>
    <col min="2817" max="2841" width="2.77734375" style="132" customWidth="1"/>
    <col min="2842" max="3072" width="8.88671875" style="132"/>
    <col min="3073" max="3097" width="2.77734375" style="132" customWidth="1"/>
    <col min="3098" max="3328" width="8.88671875" style="132"/>
    <col min="3329" max="3353" width="2.77734375" style="132" customWidth="1"/>
    <col min="3354" max="3584" width="8.88671875" style="132"/>
    <col min="3585" max="3609" width="2.77734375" style="132" customWidth="1"/>
    <col min="3610" max="3840" width="8.88671875" style="132"/>
    <col min="3841" max="3865" width="2.77734375" style="132" customWidth="1"/>
    <col min="3866" max="4096" width="8.88671875" style="132"/>
    <col min="4097" max="4121" width="2.77734375" style="132" customWidth="1"/>
    <col min="4122" max="4352" width="8.88671875" style="132"/>
    <col min="4353" max="4377" width="2.77734375" style="132" customWidth="1"/>
    <col min="4378" max="4608" width="8.88671875" style="132"/>
    <col min="4609" max="4633" width="2.77734375" style="132" customWidth="1"/>
    <col min="4634" max="4864" width="8.88671875" style="132"/>
    <col min="4865" max="4889" width="2.77734375" style="132" customWidth="1"/>
    <col min="4890" max="5120" width="8.88671875" style="132"/>
    <col min="5121" max="5145" width="2.77734375" style="132" customWidth="1"/>
    <col min="5146" max="5376" width="8.88671875" style="132"/>
    <col min="5377" max="5401" width="2.77734375" style="132" customWidth="1"/>
    <col min="5402" max="5632" width="8.88671875" style="132"/>
    <col min="5633" max="5657" width="2.77734375" style="132" customWidth="1"/>
    <col min="5658" max="5888" width="8.88671875" style="132"/>
    <col min="5889" max="5913" width="2.77734375" style="132" customWidth="1"/>
    <col min="5914" max="6144" width="8.88671875" style="132"/>
    <col min="6145" max="6169" width="2.77734375" style="132" customWidth="1"/>
    <col min="6170" max="6400" width="8.88671875" style="132"/>
    <col min="6401" max="6425" width="2.77734375" style="132" customWidth="1"/>
    <col min="6426" max="6656" width="8.88671875" style="132"/>
    <col min="6657" max="6681" width="2.77734375" style="132" customWidth="1"/>
    <col min="6682" max="6912" width="8.88671875" style="132"/>
    <col min="6913" max="6937" width="2.77734375" style="132" customWidth="1"/>
    <col min="6938" max="7168" width="8.88671875" style="132"/>
    <col min="7169" max="7193" width="2.77734375" style="132" customWidth="1"/>
    <col min="7194" max="7424" width="8.88671875" style="132"/>
    <col min="7425" max="7449" width="2.77734375" style="132" customWidth="1"/>
    <col min="7450" max="7680" width="8.88671875" style="132"/>
    <col min="7681" max="7705" width="2.77734375" style="132" customWidth="1"/>
    <col min="7706" max="7936" width="8.88671875" style="132"/>
    <col min="7937" max="7961" width="2.77734375" style="132" customWidth="1"/>
    <col min="7962" max="8192" width="8.88671875" style="132"/>
    <col min="8193" max="8217" width="2.77734375" style="132" customWidth="1"/>
    <col min="8218" max="8448" width="8.88671875" style="132"/>
    <col min="8449" max="8473" width="2.77734375" style="132" customWidth="1"/>
    <col min="8474" max="8704" width="8.88671875" style="132"/>
    <col min="8705" max="8729" width="2.77734375" style="132" customWidth="1"/>
    <col min="8730" max="8960" width="8.88671875" style="132"/>
    <col min="8961" max="8985" width="2.77734375" style="132" customWidth="1"/>
    <col min="8986" max="9216" width="8.88671875" style="132"/>
    <col min="9217" max="9241" width="2.77734375" style="132" customWidth="1"/>
    <col min="9242" max="9472" width="8.88671875" style="132"/>
    <col min="9473" max="9497" width="2.77734375" style="132" customWidth="1"/>
    <col min="9498" max="9728" width="8.88671875" style="132"/>
    <col min="9729" max="9753" width="2.77734375" style="132" customWidth="1"/>
    <col min="9754" max="9984" width="8.88671875" style="132"/>
    <col min="9985" max="10009" width="2.77734375" style="132" customWidth="1"/>
    <col min="10010" max="10240" width="8.88671875" style="132"/>
    <col min="10241" max="10265" width="2.77734375" style="132" customWidth="1"/>
    <col min="10266" max="10496" width="8.88671875" style="132"/>
    <col min="10497" max="10521" width="2.77734375" style="132" customWidth="1"/>
    <col min="10522" max="10752" width="8.88671875" style="132"/>
    <col min="10753" max="10777" width="2.77734375" style="132" customWidth="1"/>
    <col min="10778" max="11008" width="8.88671875" style="132"/>
    <col min="11009" max="11033" width="2.77734375" style="132" customWidth="1"/>
    <col min="11034" max="11264" width="8.88671875" style="132"/>
    <col min="11265" max="11289" width="2.77734375" style="132" customWidth="1"/>
    <col min="11290" max="11520" width="8.88671875" style="132"/>
    <col min="11521" max="11545" width="2.77734375" style="132" customWidth="1"/>
    <col min="11546" max="11776" width="8.88671875" style="132"/>
    <col min="11777" max="11801" width="2.77734375" style="132" customWidth="1"/>
    <col min="11802" max="12032" width="8.88671875" style="132"/>
    <col min="12033" max="12057" width="2.77734375" style="132" customWidth="1"/>
    <col min="12058" max="12288" width="8.88671875" style="132"/>
    <col min="12289" max="12313" width="2.77734375" style="132" customWidth="1"/>
    <col min="12314" max="12544" width="8.88671875" style="132"/>
    <col min="12545" max="12569" width="2.77734375" style="132" customWidth="1"/>
    <col min="12570" max="12800" width="8.88671875" style="132"/>
    <col min="12801" max="12825" width="2.77734375" style="132" customWidth="1"/>
    <col min="12826" max="13056" width="8.88671875" style="132"/>
    <col min="13057" max="13081" width="2.77734375" style="132" customWidth="1"/>
    <col min="13082" max="13312" width="8.88671875" style="132"/>
    <col min="13313" max="13337" width="2.77734375" style="132" customWidth="1"/>
    <col min="13338" max="13568" width="8.88671875" style="132"/>
    <col min="13569" max="13593" width="2.77734375" style="132" customWidth="1"/>
    <col min="13594" max="13824" width="8.88671875" style="132"/>
    <col min="13825" max="13849" width="2.77734375" style="132" customWidth="1"/>
    <col min="13850" max="14080" width="8.88671875" style="132"/>
    <col min="14081" max="14105" width="2.77734375" style="132" customWidth="1"/>
    <col min="14106" max="14336" width="8.88671875" style="132"/>
    <col min="14337" max="14361" width="2.77734375" style="132" customWidth="1"/>
    <col min="14362" max="14592" width="8.88671875" style="132"/>
    <col min="14593" max="14617" width="2.77734375" style="132" customWidth="1"/>
    <col min="14618" max="14848" width="8.88671875" style="132"/>
    <col min="14849" max="14873" width="2.77734375" style="132" customWidth="1"/>
    <col min="14874" max="15104" width="8.88671875" style="132"/>
    <col min="15105" max="15129" width="2.77734375" style="132" customWidth="1"/>
    <col min="15130" max="15360" width="8.88671875" style="132"/>
    <col min="15361" max="15385" width="2.77734375" style="132" customWidth="1"/>
    <col min="15386" max="15616" width="8.88671875" style="132"/>
    <col min="15617" max="15641" width="2.77734375" style="132" customWidth="1"/>
    <col min="15642" max="15872" width="8.88671875" style="132"/>
    <col min="15873" max="15897" width="2.77734375" style="132" customWidth="1"/>
    <col min="15898" max="16128" width="8.88671875" style="132"/>
    <col min="16129" max="16153" width="2.77734375" style="132" customWidth="1"/>
    <col min="16154" max="16384" width="8.88671875" style="132"/>
  </cols>
  <sheetData>
    <row r="1" spans="1:25" ht="20.100000000000001" customHeight="1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</row>
    <row r="2" spans="1:25" ht="20.100000000000001" customHeigh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5" ht="20.100000000000001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</row>
    <row r="4" spans="1:25" ht="20.100000000000001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</row>
    <row r="5" spans="1:25" ht="20.100000000000001" customHeight="1">
      <c r="A5" s="131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</row>
    <row r="6" spans="1:25" ht="20.100000000000001" customHeight="1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</row>
    <row r="7" spans="1:25" ht="20.100000000000001" customHeight="1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</row>
    <row r="8" spans="1:25" ht="20.100000000000001" customHeight="1">
      <c r="A8" s="163" t="s">
        <v>49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</row>
    <row r="9" spans="1:25" ht="20.100000000000001" customHeight="1">
      <c r="A9" s="164"/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</row>
    <row r="10" spans="1:25" ht="20.100000000000001" customHeight="1">
      <c r="A10" s="164"/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</row>
    <row r="11" spans="1:25" ht="20.100000000000001" customHeight="1">
      <c r="A11" s="164"/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</row>
  </sheetData>
  <mergeCells count="1">
    <mergeCell ref="A8:Y11"/>
  </mergeCells>
  <phoneticPr fontId="6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2"/>
  <dimension ref="A1:N104"/>
  <sheetViews>
    <sheetView showZeros="0" tabSelected="1" view="pageBreakPreview" zoomScaleSheetLayoutView="90" workbookViewId="0">
      <selection activeCell="A5" sqref="A5"/>
    </sheetView>
  </sheetViews>
  <sheetFormatPr defaultColWidth="8.88671875" defaultRowHeight="11.25"/>
  <cols>
    <col min="1" max="1" width="12.77734375" style="1" customWidth="1"/>
    <col min="2" max="4" width="3.77734375" style="1" customWidth="1"/>
    <col min="5" max="5" width="3.77734375" style="9" customWidth="1"/>
    <col min="6" max="6" width="6.77734375" style="12" customWidth="1"/>
    <col min="7" max="7" width="8.77734375" style="12" customWidth="1"/>
    <col min="8" max="8" width="7.77734375" style="9" customWidth="1"/>
    <col min="9" max="16384" width="8.88671875" style="1"/>
  </cols>
  <sheetData>
    <row r="1" spans="1:14" ht="30" customHeight="1">
      <c r="A1" s="168" t="s">
        <v>53</v>
      </c>
      <c r="B1" s="168"/>
      <c r="C1" s="168"/>
      <c r="D1" s="168"/>
      <c r="E1" s="168"/>
      <c r="F1" s="168"/>
      <c r="G1" s="168"/>
      <c r="H1" s="168"/>
    </row>
    <row r="2" spans="1:14" ht="30" customHeight="1">
      <c r="A2" s="172" t="s">
        <v>39</v>
      </c>
      <c r="B2" s="174" t="s">
        <v>40</v>
      </c>
      <c r="C2" s="174"/>
      <c r="D2" s="174"/>
      <c r="E2" s="176" t="s">
        <v>0</v>
      </c>
      <c r="F2" s="180" t="s">
        <v>54</v>
      </c>
      <c r="G2" s="178" t="s">
        <v>38</v>
      </c>
      <c r="H2" s="172" t="s">
        <v>1</v>
      </c>
      <c r="I2" s="2"/>
      <c r="J2" s="2"/>
    </row>
    <row r="3" spans="1:14" ht="30" customHeight="1">
      <c r="A3" s="173"/>
      <c r="B3" s="175"/>
      <c r="C3" s="175"/>
      <c r="D3" s="175"/>
      <c r="E3" s="177"/>
      <c r="F3" s="181"/>
      <c r="G3" s="179"/>
      <c r="H3" s="173"/>
      <c r="I3" s="2"/>
      <c r="J3" s="2"/>
    </row>
    <row r="4" spans="1:14" ht="24.95" customHeight="1">
      <c r="A4" s="137" t="s">
        <v>52</v>
      </c>
      <c r="B4" s="133" t="s">
        <v>2</v>
      </c>
      <c r="C4" s="133"/>
      <c r="D4" s="133"/>
      <c r="E4" s="134" t="s">
        <v>3</v>
      </c>
      <c r="F4" s="135">
        <f>갈전7교!Y21</f>
        <v>242</v>
      </c>
      <c r="G4" s="143">
        <f t="shared" ref="G4:G9" si="0">SUM(F4:F4)</f>
        <v>242</v>
      </c>
      <c r="H4" s="136"/>
      <c r="I4" s="3"/>
      <c r="J4" s="3"/>
      <c r="K4" s="4"/>
      <c r="L4" s="4"/>
      <c r="M4" s="4"/>
      <c r="N4" s="4"/>
    </row>
    <row r="5" spans="1:14" ht="24.95" customHeight="1">
      <c r="A5" s="138" t="s">
        <v>57</v>
      </c>
      <c r="B5" s="118" t="s">
        <v>2</v>
      </c>
      <c r="C5" s="118"/>
      <c r="D5" s="118"/>
      <c r="E5" s="6" t="s">
        <v>50</v>
      </c>
      <c r="F5" s="140">
        <f>갈전7교!Y28</f>
        <v>114</v>
      </c>
      <c r="G5" s="7">
        <f t="shared" si="0"/>
        <v>114</v>
      </c>
      <c r="H5" s="120"/>
      <c r="I5" s="3"/>
      <c r="J5" s="3"/>
      <c r="K5" s="4"/>
      <c r="L5" s="4"/>
      <c r="M5" s="4"/>
      <c r="N5" s="4"/>
    </row>
    <row r="6" spans="1:14" ht="24.95" customHeight="1">
      <c r="A6" s="127" t="s">
        <v>35</v>
      </c>
      <c r="B6" s="5" t="s">
        <v>36</v>
      </c>
      <c r="C6" s="5"/>
      <c r="D6" s="5"/>
      <c r="E6" s="6" t="s">
        <v>3</v>
      </c>
      <c r="F6" s="139">
        <f>갈전7교!Y32</f>
        <v>38.5</v>
      </c>
      <c r="G6" s="7">
        <f t="shared" si="0"/>
        <v>38.5</v>
      </c>
      <c r="H6" s="120"/>
      <c r="I6" s="3"/>
      <c r="J6" s="3"/>
      <c r="K6" s="4"/>
      <c r="L6" s="4"/>
      <c r="M6" s="4"/>
      <c r="N6" s="4"/>
    </row>
    <row r="7" spans="1:14" ht="24.95" customHeight="1">
      <c r="A7" s="169" t="s">
        <v>46</v>
      </c>
      <c r="B7" s="171" t="s">
        <v>47</v>
      </c>
      <c r="C7" s="171"/>
      <c r="D7" s="171"/>
      <c r="E7" s="8" t="s">
        <v>4</v>
      </c>
      <c r="F7" s="122">
        <f>갈전7교!Y50</f>
        <v>33</v>
      </c>
      <c r="G7" s="142">
        <f t="shared" si="0"/>
        <v>33</v>
      </c>
      <c r="H7" s="120"/>
      <c r="I7" s="3"/>
      <c r="J7" s="3"/>
      <c r="K7" s="4"/>
      <c r="L7" s="4"/>
      <c r="M7" s="4"/>
      <c r="N7" s="4"/>
    </row>
    <row r="8" spans="1:14" ht="24.95" customHeight="1">
      <c r="A8" s="170"/>
      <c r="B8" s="171"/>
      <c r="C8" s="171"/>
      <c r="D8" s="171"/>
      <c r="E8" s="8" t="s">
        <v>5</v>
      </c>
      <c r="F8" s="141">
        <f>갈전7교!Y52</f>
        <v>13.2</v>
      </c>
      <c r="G8" s="142">
        <f t="shared" si="0"/>
        <v>13.2</v>
      </c>
      <c r="H8" s="121" t="s">
        <v>6</v>
      </c>
      <c r="I8" s="3"/>
      <c r="J8" s="3"/>
      <c r="K8" s="4"/>
      <c r="L8" s="4"/>
      <c r="M8" s="4"/>
      <c r="N8" s="4"/>
    </row>
    <row r="9" spans="1:14" ht="24.95" customHeight="1">
      <c r="A9" s="123" t="s">
        <v>37</v>
      </c>
      <c r="B9" s="165"/>
      <c r="C9" s="166"/>
      <c r="D9" s="167"/>
      <c r="E9" s="124" t="s">
        <v>3</v>
      </c>
      <c r="F9" s="125">
        <f t="shared" ref="F9" si="1">F4</f>
        <v>242</v>
      </c>
      <c r="G9" s="144">
        <f t="shared" si="0"/>
        <v>242</v>
      </c>
      <c r="H9" s="126"/>
      <c r="I9" s="3"/>
      <c r="J9" s="3"/>
      <c r="K9" s="4"/>
      <c r="L9" s="4"/>
      <c r="M9" s="4"/>
      <c r="N9" s="4"/>
    </row>
    <row r="10" spans="1:14" ht="15" customHeight="1">
      <c r="A10" s="2"/>
      <c r="F10" s="10"/>
      <c r="G10" s="145"/>
      <c r="H10" s="11"/>
    </row>
    <row r="11" spans="1:14" ht="15" customHeight="1">
      <c r="A11" s="2"/>
      <c r="F11" s="10"/>
      <c r="G11" s="10"/>
      <c r="H11" s="11"/>
    </row>
    <row r="12" spans="1:14" ht="15" customHeight="1">
      <c r="A12" s="2"/>
      <c r="F12" s="10"/>
      <c r="G12" s="10"/>
      <c r="H12" s="11"/>
    </row>
    <row r="13" spans="1:14" ht="15" customHeight="1"/>
    <row r="14" spans="1:14" ht="15" customHeight="1"/>
    <row r="15" spans="1:14" ht="15" customHeight="1"/>
    <row r="16" spans="1:1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</sheetData>
  <mergeCells count="10">
    <mergeCell ref="B9:D9"/>
    <mergeCell ref="A1:H1"/>
    <mergeCell ref="A7:A8"/>
    <mergeCell ref="B7:D8"/>
    <mergeCell ref="A2:A3"/>
    <mergeCell ref="B2:D3"/>
    <mergeCell ref="E2:E3"/>
    <mergeCell ref="G2:G3"/>
    <mergeCell ref="H2:H3"/>
    <mergeCell ref="F2:F3"/>
  </mergeCells>
  <phoneticPr fontId="27" type="noConversion"/>
  <printOptions horizontalCentered="1" gridLinesSet="0"/>
  <pageMargins left="0.6" right="0.55000000000000004" top="1.2598425196850394" bottom="0.59055118110236227" header="0.78740157480314965" footer="0.1968503937007874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762E-0ABC-498D-8E9B-0D30187AD5EC}">
  <dimension ref="A2:FZ346"/>
  <sheetViews>
    <sheetView showGridLines="0" view="pageBreakPreview" topLeftCell="A4" zoomScaleSheetLayoutView="100" workbookViewId="0">
      <selection activeCell="U25" sqref="U25"/>
    </sheetView>
  </sheetViews>
  <sheetFormatPr defaultColWidth="8.88671875" defaultRowHeight="11.25"/>
  <cols>
    <col min="1" max="1" width="11.77734375" style="105" customWidth="1"/>
    <col min="2" max="24" width="2.44140625" style="9" customWidth="1"/>
    <col min="25" max="25" width="3.77734375" style="106" customWidth="1"/>
    <col min="26" max="26" width="5.44140625" style="107" customWidth="1"/>
    <col min="27" max="64" width="2.33203125" style="9" customWidth="1"/>
    <col min="65" max="182" width="8.88671875" style="9"/>
    <col min="183" max="16384" width="8.88671875" style="1"/>
  </cols>
  <sheetData>
    <row r="2" spans="1:182" s="18" customFormat="1" ht="30" customHeight="1">
      <c r="A2" s="13" t="s">
        <v>7</v>
      </c>
      <c r="B2" s="14" t="s">
        <v>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4" t="s">
        <v>9</v>
      </c>
      <c r="Z2" s="16"/>
      <c r="AA2" s="17"/>
      <c r="AB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</row>
    <row r="3" spans="1:182" s="28" customFormat="1" ht="14.45" customHeight="1">
      <c r="A3" s="19"/>
      <c r="B3" s="20"/>
      <c r="C3" s="21"/>
      <c r="D3" s="22"/>
      <c r="E3" s="22"/>
      <c r="F3" s="22"/>
      <c r="G3" s="22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3"/>
      <c r="T3" s="21"/>
      <c r="U3" s="21"/>
      <c r="V3" s="21"/>
      <c r="W3" s="21"/>
      <c r="X3" s="24"/>
      <c r="Y3" s="25"/>
      <c r="Z3" s="26"/>
      <c r="AA3" s="27"/>
      <c r="AB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</row>
    <row r="4" spans="1:182" s="28" customFormat="1" ht="14.45" customHeight="1">
      <c r="A4" s="29" t="s">
        <v>10</v>
      </c>
      <c r="B4" s="20"/>
      <c r="C4" s="21" t="s">
        <v>11</v>
      </c>
      <c r="D4" s="22"/>
      <c r="E4" s="22"/>
      <c r="F4" s="22"/>
      <c r="G4" s="21"/>
      <c r="H4" s="30"/>
      <c r="I4" s="30"/>
      <c r="J4" s="30"/>
      <c r="K4" s="30"/>
      <c r="L4" s="21"/>
      <c r="M4" s="21"/>
      <c r="N4" s="21"/>
      <c r="O4" s="21"/>
      <c r="P4" s="21"/>
      <c r="Q4" s="30"/>
      <c r="R4" s="30"/>
      <c r="S4" s="30"/>
      <c r="T4" s="30"/>
      <c r="U4" s="30"/>
      <c r="V4" s="30"/>
      <c r="W4" s="30"/>
      <c r="X4" s="24"/>
      <c r="Y4" s="31"/>
      <c r="Z4" s="32"/>
      <c r="AA4" s="27"/>
      <c r="AB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</row>
    <row r="5" spans="1:182" s="28" customFormat="1" ht="14.45" customHeight="1">
      <c r="A5" s="29"/>
      <c r="B5" s="20"/>
      <c r="C5" s="21"/>
      <c r="D5" s="22"/>
      <c r="E5" s="22" t="s">
        <v>12</v>
      </c>
      <c r="F5" s="22"/>
      <c r="G5" s="21"/>
      <c r="H5" s="30"/>
      <c r="I5" s="30"/>
      <c r="J5" s="33" t="s">
        <v>13</v>
      </c>
      <c r="K5" s="193">
        <v>2</v>
      </c>
      <c r="L5" s="193"/>
      <c r="M5" s="34" t="s">
        <v>14</v>
      </c>
      <c r="N5" s="193">
        <v>2</v>
      </c>
      <c r="O5" s="193"/>
      <c r="P5" s="34" t="s">
        <v>15</v>
      </c>
      <c r="Q5" s="30"/>
      <c r="R5" s="194">
        <f>(K5+N5)/2</f>
        <v>2</v>
      </c>
      <c r="S5" s="194"/>
      <c r="T5" s="30"/>
      <c r="U5" s="30"/>
      <c r="V5" s="30"/>
      <c r="W5" s="30"/>
      <c r="X5" s="24"/>
      <c r="Y5" s="31"/>
      <c r="Z5" s="32"/>
      <c r="AA5" s="27"/>
      <c r="AB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</row>
    <row r="6" spans="1:182" s="28" customFormat="1" ht="14.45" customHeight="1">
      <c r="A6" s="29"/>
      <c r="B6" s="20"/>
      <c r="C6" s="21"/>
      <c r="D6" s="22"/>
      <c r="E6" s="22"/>
      <c r="F6" s="22"/>
      <c r="G6" s="21"/>
      <c r="H6" s="30"/>
      <c r="I6" s="30"/>
      <c r="J6" s="30"/>
      <c r="K6" s="30"/>
      <c r="L6" s="21"/>
      <c r="M6" s="21"/>
      <c r="N6" s="21"/>
      <c r="O6" s="21"/>
      <c r="P6" s="21"/>
      <c r="Q6" s="35" t="s">
        <v>16</v>
      </c>
      <c r="R6" s="35"/>
      <c r="S6" s="36"/>
      <c r="T6" s="36"/>
      <c r="U6" s="37">
        <v>11</v>
      </c>
      <c r="V6" s="38"/>
      <c r="W6" s="36" t="s">
        <v>17</v>
      </c>
      <c r="X6" s="24"/>
      <c r="Y6" s="31"/>
      <c r="Z6" s="32"/>
      <c r="AA6" s="27"/>
      <c r="AB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</row>
    <row r="7" spans="1:182" s="28" customFormat="1" ht="14.45" customHeight="1">
      <c r="A7" s="29"/>
      <c r="B7" s="20"/>
      <c r="C7" s="21"/>
      <c r="D7" s="22"/>
      <c r="E7" s="22"/>
      <c r="F7" s="22"/>
      <c r="G7" s="21"/>
      <c r="H7" s="30"/>
      <c r="I7" s="30"/>
      <c r="J7" s="30"/>
      <c r="K7" s="30"/>
      <c r="L7" s="21"/>
      <c r="M7" s="188">
        <f>M9+I9+P9</f>
        <v>8</v>
      </c>
      <c r="N7" s="188"/>
      <c r="O7" s="21"/>
      <c r="P7" s="21"/>
      <c r="Q7" s="35"/>
      <c r="R7" s="35"/>
      <c r="S7" s="36"/>
      <c r="T7" s="36"/>
      <c r="U7" s="39"/>
      <c r="V7" s="38"/>
      <c r="W7" s="36"/>
      <c r="X7" s="24"/>
      <c r="Y7" s="31"/>
      <c r="Z7" s="32"/>
      <c r="AA7" s="27"/>
      <c r="AB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</row>
    <row r="8" spans="1:182" s="28" customFormat="1" ht="14.45" customHeight="1">
      <c r="A8" s="29"/>
      <c r="B8" s="40"/>
      <c r="C8" s="41"/>
      <c r="D8" s="42"/>
      <c r="E8" s="43"/>
      <c r="F8" s="43"/>
      <c r="G8" s="43"/>
      <c r="H8" s="44"/>
      <c r="I8" s="45"/>
      <c r="J8" s="45"/>
      <c r="K8" s="44"/>
      <c r="L8" s="44"/>
      <c r="M8" s="44"/>
      <c r="N8" s="44"/>
      <c r="O8" s="44"/>
      <c r="P8" s="44"/>
      <c r="Q8" s="44"/>
      <c r="R8" s="44"/>
      <c r="S8" s="46"/>
      <c r="T8" s="47"/>
      <c r="U8" s="48"/>
      <c r="V8" s="48"/>
      <c r="W8" s="49"/>
      <c r="X8" s="50"/>
      <c r="Y8" s="51"/>
      <c r="Z8" s="32"/>
      <c r="AA8" s="27"/>
      <c r="AB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</row>
    <row r="9" spans="1:182" s="28" customFormat="1" ht="14.45" customHeight="1">
      <c r="A9" s="29"/>
      <c r="B9" s="40"/>
      <c r="C9" s="41"/>
      <c r="D9" s="42"/>
      <c r="E9" s="43"/>
      <c r="F9" s="43"/>
      <c r="G9" s="43"/>
      <c r="H9" s="44"/>
      <c r="I9" s="188">
        <v>0.5</v>
      </c>
      <c r="J9" s="188"/>
      <c r="K9" s="44"/>
      <c r="L9" s="44"/>
      <c r="M9" s="195">
        <v>7</v>
      </c>
      <c r="N9" s="195"/>
      <c r="O9" s="44"/>
      <c r="P9" s="188">
        <f>I9</f>
        <v>0.5</v>
      </c>
      <c r="Q9" s="188"/>
      <c r="R9" s="44"/>
      <c r="S9" s="46"/>
      <c r="T9" s="47"/>
      <c r="U9" s="48"/>
      <c r="V9" s="48"/>
      <c r="W9" s="49"/>
      <c r="X9" s="50"/>
      <c r="Y9" s="51"/>
      <c r="Z9" s="32"/>
      <c r="AA9" s="27"/>
      <c r="AB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</row>
    <row r="10" spans="1:182" s="28" customFormat="1" ht="14.45" customHeight="1">
      <c r="A10" s="29"/>
      <c r="B10" s="40"/>
      <c r="C10" s="41"/>
      <c r="D10" s="42"/>
      <c r="E10" s="43"/>
      <c r="F10" s="43"/>
      <c r="G10" s="43"/>
      <c r="H10" s="44"/>
      <c r="I10" s="45"/>
      <c r="J10" s="45"/>
      <c r="K10" s="44"/>
      <c r="L10" s="44"/>
      <c r="M10" s="44"/>
      <c r="N10" s="44"/>
      <c r="O10" s="44"/>
      <c r="P10" s="44"/>
      <c r="Q10" s="44"/>
      <c r="R10" s="44"/>
      <c r="S10" s="46"/>
      <c r="T10" s="47"/>
      <c r="U10" s="48"/>
      <c r="V10" s="48"/>
      <c r="W10" s="49"/>
      <c r="X10" s="50"/>
      <c r="Y10" s="51"/>
      <c r="Z10" s="32"/>
      <c r="AA10" s="27"/>
      <c r="AB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</row>
    <row r="11" spans="1:182" s="28" customFormat="1" ht="14.45" customHeight="1">
      <c r="A11" s="29"/>
      <c r="B11" s="40"/>
      <c r="C11" s="41"/>
      <c r="D11" s="42"/>
      <c r="E11" s="43"/>
      <c r="F11" s="43"/>
      <c r="G11" s="43"/>
      <c r="H11" s="44"/>
      <c r="I11" s="45"/>
      <c r="J11" s="45"/>
      <c r="K11" s="44"/>
      <c r="L11" s="44"/>
      <c r="M11" s="44"/>
      <c r="N11" s="44"/>
      <c r="O11" s="44"/>
      <c r="P11" s="44"/>
      <c r="Q11" s="44"/>
      <c r="R11" s="44"/>
      <c r="S11" s="46"/>
      <c r="T11" s="47"/>
      <c r="U11" s="48"/>
      <c r="V11" s="48"/>
      <c r="W11" s="49"/>
      <c r="X11" s="50"/>
      <c r="Y11" s="51"/>
      <c r="Z11" s="32"/>
      <c r="AA11" s="27"/>
      <c r="AB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</row>
    <row r="12" spans="1:182" s="28" customFormat="1" ht="14.45" customHeight="1">
      <c r="A12" s="29"/>
      <c r="B12" s="40"/>
      <c r="C12" s="41"/>
      <c r="D12" s="42"/>
      <c r="E12" s="186">
        <v>2</v>
      </c>
      <c r="F12" s="43"/>
      <c r="G12" s="43"/>
      <c r="H12" s="44"/>
      <c r="I12" s="45"/>
      <c r="J12" s="45"/>
      <c r="K12" s="44"/>
      <c r="L12" s="44"/>
      <c r="M12" s="44"/>
      <c r="N12" s="44"/>
      <c r="O12" s="44"/>
      <c r="P12" s="44"/>
      <c r="Q12" s="44"/>
      <c r="R12" s="44"/>
      <c r="S12" s="187">
        <v>1.5</v>
      </c>
      <c r="T12" s="187"/>
      <c r="U12" s="48"/>
      <c r="V12" s="48"/>
      <c r="X12" s="50"/>
      <c r="Y12" s="51"/>
      <c r="Z12" s="32"/>
      <c r="AA12" s="27"/>
      <c r="AB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</row>
    <row r="13" spans="1:182" s="28" customFormat="1" ht="14.45" customHeight="1">
      <c r="A13" s="29"/>
      <c r="B13" s="40"/>
      <c r="C13" s="41"/>
      <c r="D13" s="42"/>
      <c r="E13" s="186"/>
      <c r="F13" s="43"/>
      <c r="G13" s="43"/>
      <c r="H13" s="44"/>
      <c r="I13" s="45"/>
      <c r="J13" s="45"/>
      <c r="K13" s="44"/>
      <c r="L13" s="44"/>
      <c r="M13" s="44"/>
      <c r="N13" s="44"/>
      <c r="O13" s="44"/>
      <c r="P13" s="44"/>
      <c r="Q13" s="44"/>
      <c r="R13" s="44"/>
      <c r="S13" s="187"/>
      <c r="T13" s="187"/>
      <c r="U13" s="48"/>
      <c r="V13" s="48"/>
      <c r="X13" s="50"/>
      <c r="Y13" s="51"/>
      <c r="Z13" s="32"/>
      <c r="AA13" s="27"/>
      <c r="AB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</row>
    <row r="14" spans="1:182" s="28" customFormat="1" ht="14.45" customHeight="1">
      <c r="A14" s="29"/>
      <c r="B14" s="40"/>
      <c r="C14" s="41"/>
      <c r="D14" s="42"/>
      <c r="E14" s="186"/>
      <c r="F14" s="43"/>
      <c r="G14" s="43"/>
      <c r="H14" s="44"/>
      <c r="I14" s="45"/>
      <c r="J14" s="45"/>
      <c r="K14" s="44"/>
      <c r="L14" s="44"/>
      <c r="M14" s="44"/>
      <c r="N14" s="44"/>
      <c r="O14" s="44"/>
      <c r="P14" s="44"/>
      <c r="Q14" s="44"/>
      <c r="R14" s="44"/>
      <c r="S14" s="46"/>
      <c r="T14" s="47"/>
      <c r="U14" s="48"/>
      <c r="V14" s="48"/>
      <c r="X14" s="50"/>
      <c r="Y14" s="51"/>
      <c r="Z14" s="32"/>
      <c r="AA14" s="27"/>
      <c r="AB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</row>
    <row r="15" spans="1:182" s="28" customFormat="1" ht="14.45" customHeight="1">
      <c r="A15" s="29"/>
      <c r="B15" s="40"/>
      <c r="C15" s="41"/>
      <c r="D15" s="42"/>
      <c r="E15" s="43"/>
      <c r="F15" s="43"/>
      <c r="G15" s="43"/>
      <c r="H15" s="44"/>
      <c r="I15" s="45"/>
      <c r="J15" s="45"/>
      <c r="K15" s="44"/>
      <c r="L15" s="44"/>
      <c r="M15" s="44"/>
      <c r="N15" s="44"/>
      <c r="O15" s="44"/>
      <c r="P15" s="44"/>
      <c r="Q15" s="44"/>
      <c r="R15" s="44"/>
      <c r="S15" s="46"/>
      <c r="T15" s="47"/>
      <c r="U15" s="48"/>
      <c r="V15" s="48"/>
      <c r="W15" s="49"/>
      <c r="X15" s="50"/>
      <c r="Y15" s="51"/>
      <c r="Z15" s="32"/>
      <c r="AA15" s="27"/>
      <c r="AB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</row>
    <row r="16" spans="1:182" s="28" customFormat="1" ht="14.45" customHeight="1">
      <c r="A16" s="29"/>
      <c r="B16" s="40"/>
      <c r="C16" s="41"/>
      <c r="D16" s="42"/>
      <c r="E16" s="43"/>
      <c r="F16" s="43"/>
      <c r="G16" s="43"/>
      <c r="H16" s="44"/>
      <c r="I16" s="45"/>
      <c r="J16" s="45"/>
      <c r="K16" s="44"/>
      <c r="L16" s="44"/>
      <c r="M16" s="188">
        <f>M7+E12*S12*2</f>
        <v>14</v>
      </c>
      <c r="N16" s="188"/>
      <c r="O16" s="44"/>
      <c r="P16" s="44"/>
      <c r="Q16" s="44"/>
      <c r="R16" s="44"/>
      <c r="S16" s="46"/>
      <c r="T16" s="47"/>
      <c r="U16" s="48"/>
      <c r="V16" s="48"/>
      <c r="W16" s="49"/>
      <c r="X16" s="50"/>
      <c r="Y16" s="51"/>
      <c r="Z16" s="32"/>
      <c r="AA16" s="27"/>
      <c r="AB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</row>
    <row r="17" spans="1:182" s="28" customFormat="1" ht="14.45" customHeight="1">
      <c r="A17" s="29"/>
      <c r="B17" s="40"/>
      <c r="C17" s="41"/>
      <c r="D17" s="42"/>
      <c r="E17" s="43"/>
      <c r="F17" s="43"/>
      <c r="G17" s="43"/>
      <c r="H17" s="44"/>
      <c r="I17" s="45"/>
      <c r="J17" s="45"/>
      <c r="K17" s="44"/>
      <c r="L17" s="44"/>
      <c r="M17" s="44"/>
      <c r="N17" s="44"/>
      <c r="O17" s="44"/>
      <c r="P17" s="44"/>
      <c r="Q17" s="44"/>
      <c r="R17" s="44"/>
      <c r="S17" s="46"/>
      <c r="T17" s="47"/>
      <c r="U17" s="48"/>
      <c r="V17" s="48"/>
      <c r="W17" s="49"/>
      <c r="X17" s="50"/>
      <c r="Y17" s="51"/>
      <c r="Z17" s="32"/>
      <c r="AA17" s="27"/>
      <c r="AB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</row>
    <row r="18" spans="1:182" s="28" customFormat="1" ht="14.45" customHeight="1">
      <c r="A18" s="52"/>
      <c r="B18" s="53"/>
      <c r="C18" s="54"/>
      <c r="D18" s="55"/>
      <c r="E18" s="55"/>
      <c r="F18" s="55"/>
      <c r="G18" s="55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6"/>
      <c r="T18" s="54"/>
      <c r="U18" s="54"/>
      <c r="V18" s="54"/>
      <c r="W18" s="54"/>
      <c r="X18" s="57"/>
      <c r="Y18" s="58"/>
      <c r="Z18" s="59"/>
      <c r="AA18" s="27"/>
      <c r="AB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</row>
    <row r="19" spans="1:182" s="28" customFormat="1" ht="14.45" customHeight="1">
      <c r="A19" s="60"/>
      <c r="B19" s="61"/>
      <c r="C19" s="36"/>
      <c r="D19" s="35"/>
      <c r="E19" s="35"/>
      <c r="F19" s="35"/>
      <c r="G19" s="35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62"/>
      <c r="T19" s="36"/>
      <c r="U19" s="36"/>
      <c r="V19" s="36"/>
      <c r="W19" s="36"/>
      <c r="X19" s="63"/>
      <c r="Y19" s="64"/>
      <c r="Z19" s="65"/>
      <c r="AA19" s="27"/>
      <c r="AB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</row>
    <row r="20" spans="1:182" s="28" customFormat="1" ht="14.45" customHeight="1">
      <c r="A20" s="19" t="s">
        <v>41</v>
      </c>
      <c r="B20" s="20"/>
      <c r="C20" s="21" t="s">
        <v>18</v>
      </c>
      <c r="D20" s="22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66"/>
      <c r="V20" s="67"/>
      <c r="W20" s="38"/>
      <c r="X20" s="68"/>
      <c r="Y20" s="69"/>
      <c r="Z20" s="70" t="s">
        <v>19</v>
      </c>
      <c r="AA20" s="27"/>
      <c r="AB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</row>
    <row r="21" spans="1:182" s="28" customFormat="1" ht="14.45" customHeight="1">
      <c r="A21" s="71" t="s">
        <v>20</v>
      </c>
      <c r="B21" s="20"/>
      <c r="C21" s="68" t="s">
        <v>13</v>
      </c>
      <c r="D21" s="72">
        <f>M7</f>
        <v>8</v>
      </c>
      <c r="E21" s="38"/>
      <c r="F21" s="73" t="s">
        <v>21</v>
      </c>
      <c r="G21" s="72">
        <f>M16</f>
        <v>14</v>
      </c>
      <c r="H21" s="38"/>
      <c r="I21" s="68" t="s">
        <v>22</v>
      </c>
      <c r="J21" s="74">
        <v>2</v>
      </c>
      <c r="K21" s="38"/>
      <c r="L21" s="73" t="s">
        <v>23</v>
      </c>
      <c r="M21" s="72">
        <f>E12</f>
        <v>2</v>
      </c>
      <c r="N21" s="38"/>
      <c r="O21" s="73" t="s">
        <v>23</v>
      </c>
      <c r="P21" s="72">
        <f>U6</f>
        <v>11</v>
      </c>
      <c r="Q21" s="38"/>
      <c r="R21" s="73"/>
      <c r="S21" s="75"/>
      <c r="T21" s="75"/>
      <c r="U21" s="68" t="s">
        <v>24</v>
      </c>
      <c r="V21" s="76">
        <f>ROUND((D21+G21)/J21*M21*P21,3)</f>
        <v>242</v>
      </c>
      <c r="W21" s="76"/>
      <c r="X21" s="76"/>
      <c r="Y21" s="184">
        <f>ROUND(SUM(V20:V23),2)</f>
        <v>242</v>
      </c>
      <c r="Z21" s="185"/>
      <c r="AA21" s="27"/>
      <c r="AB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</row>
    <row r="22" spans="1:182" s="28" customFormat="1" ht="14.45" customHeight="1">
      <c r="A22" s="60"/>
      <c r="B22" s="61"/>
      <c r="C22" s="36"/>
      <c r="D22" s="35"/>
      <c r="E22" s="35"/>
      <c r="F22" s="35"/>
      <c r="G22" s="35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62"/>
      <c r="T22" s="36"/>
      <c r="U22" s="36"/>
      <c r="V22" s="36"/>
      <c r="W22" s="36"/>
      <c r="X22" s="63"/>
      <c r="Y22" s="77"/>
      <c r="Z22" s="78"/>
      <c r="AA22" s="27"/>
      <c r="AB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</row>
    <row r="23" spans="1:182" s="28" customFormat="1" ht="14.45" customHeight="1">
      <c r="A23" s="52"/>
      <c r="B23" s="53"/>
      <c r="C23" s="54"/>
      <c r="D23" s="55"/>
      <c r="E23" s="55"/>
      <c r="F23" s="55"/>
      <c r="G23" s="55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6"/>
      <c r="T23" s="54"/>
      <c r="U23" s="54"/>
      <c r="V23" s="54"/>
      <c r="W23" s="54"/>
      <c r="X23" s="57"/>
      <c r="Y23" s="58"/>
      <c r="Z23" s="59"/>
      <c r="AA23" s="27"/>
      <c r="AB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</row>
    <row r="24" spans="1:182" s="28" customFormat="1" ht="14.45" customHeight="1">
      <c r="A24" s="79"/>
      <c r="B24" s="80"/>
      <c r="C24" s="81"/>
      <c r="D24" s="82"/>
      <c r="E24" s="82"/>
      <c r="F24" s="82"/>
      <c r="G24" s="82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3"/>
      <c r="T24" s="81"/>
      <c r="U24" s="81"/>
      <c r="V24" s="81"/>
      <c r="W24" s="81"/>
      <c r="X24" s="84"/>
      <c r="Y24" s="64"/>
      <c r="Z24" s="65"/>
      <c r="AA24" s="27"/>
      <c r="AB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</row>
    <row r="25" spans="1:182" s="28" customFormat="1" ht="14.45" customHeight="1">
      <c r="A25" s="19" t="s">
        <v>25</v>
      </c>
      <c r="B25" s="20"/>
      <c r="C25" s="36"/>
      <c r="D25" s="35"/>
      <c r="E25" s="35"/>
      <c r="F25" s="35"/>
      <c r="G25" s="35"/>
      <c r="H25" s="36"/>
      <c r="I25" s="36"/>
      <c r="J25" s="30"/>
      <c r="K25" s="30"/>
      <c r="L25" s="30"/>
      <c r="M25" s="36"/>
      <c r="N25" s="36"/>
      <c r="O25" s="36"/>
      <c r="P25" s="36"/>
      <c r="Q25" s="36"/>
      <c r="R25" s="36"/>
      <c r="S25" s="62"/>
      <c r="T25" s="36"/>
      <c r="U25" s="36"/>
      <c r="V25" s="36"/>
      <c r="W25" s="36"/>
      <c r="X25" s="63"/>
      <c r="Y25" s="69"/>
      <c r="Z25" s="70" t="s">
        <v>28</v>
      </c>
      <c r="AA25" s="27"/>
      <c r="AB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</row>
    <row r="26" spans="1:182" s="28" customFormat="1" ht="14.45" customHeight="1">
      <c r="A26" s="71" t="s">
        <v>20</v>
      </c>
      <c r="B26" s="20"/>
      <c r="C26" s="72">
        <f>E12*S12</f>
        <v>3</v>
      </c>
      <c r="D26" s="38"/>
      <c r="E26" s="85" t="s">
        <v>26</v>
      </c>
      <c r="F26" s="72">
        <f>E12</f>
        <v>2</v>
      </c>
      <c r="G26" s="38"/>
      <c r="H26" s="85" t="s">
        <v>27</v>
      </c>
      <c r="I26" s="86">
        <v>1</v>
      </c>
      <c r="J26" s="73" t="s">
        <v>23</v>
      </c>
      <c r="K26" s="72">
        <f>U6</f>
        <v>11</v>
      </c>
      <c r="L26" s="38"/>
      <c r="M26" s="73" t="s">
        <v>23</v>
      </c>
      <c r="N26" s="75">
        <v>2</v>
      </c>
      <c r="O26" s="75"/>
      <c r="P26" s="152"/>
      <c r="Q26" s="192"/>
      <c r="R26" s="192"/>
      <c r="S26" s="30"/>
      <c r="T26" s="30"/>
      <c r="U26" s="68" t="s">
        <v>24</v>
      </c>
      <c r="V26" s="76">
        <f>ROUND(SQRT(C26^2+F26^2)*I26*K26*N26,3)</f>
        <v>79.322000000000003</v>
      </c>
      <c r="W26" s="76"/>
      <c r="X26" s="76"/>
      <c r="Y26" s="184">
        <f>V26</f>
        <v>79.322000000000003</v>
      </c>
      <c r="Z26" s="185"/>
      <c r="AA26" s="27"/>
      <c r="AB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</row>
    <row r="27" spans="1:182" s="28" customFormat="1" ht="14.45" customHeight="1">
      <c r="A27" s="60"/>
      <c r="B27" s="20"/>
      <c r="C27" s="36"/>
      <c r="D27" s="146"/>
      <c r="E27" s="146"/>
      <c r="F27" s="146"/>
      <c r="G27" s="146"/>
      <c r="H27" s="147"/>
      <c r="I27" s="147"/>
      <c r="J27" s="148"/>
      <c r="K27" s="148"/>
      <c r="L27" s="148"/>
      <c r="M27" s="147"/>
      <c r="N27" s="147"/>
      <c r="O27" s="147"/>
      <c r="P27" s="147"/>
      <c r="Q27" s="147"/>
      <c r="R27" s="147"/>
      <c r="S27" s="149"/>
      <c r="T27" s="147"/>
      <c r="U27" s="147"/>
      <c r="V27" s="147"/>
      <c r="W27" s="147"/>
      <c r="X27" s="150"/>
      <c r="Y27" s="148"/>
      <c r="Z27" s="151" t="s">
        <v>55</v>
      </c>
      <c r="AA27" s="27"/>
      <c r="AB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</row>
    <row r="28" spans="1:182" s="28" customFormat="1" ht="14.45" customHeight="1">
      <c r="A28" s="108"/>
      <c r="B28" s="109"/>
      <c r="C28" s="110">
        <f>C26</f>
        <v>3</v>
      </c>
      <c r="D28" s="191">
        <f>V26</f>
        <v>79.322000000000003</v>
      </c>
      <c r="E28" s="191"/>
      <c r="F28" s="191"/>
      <c r="G28" s="152" t="s">
        <v>56</v>
      </c>
      <c r="H28" s="192">
        <v>0.7</v>
      </c>
      <c r="I28" s="192"/>
      <c r="J28" s="153" t="s">
        <v>23</v>
      </c>
      <c r="K28" s="154">
        <f>K26-10</f>
        <v>1</v>
      </c>
      <c r="L28" s="155"/>
      <c r="M28" s="153" t="s">
        <v>23</v>
      </c>
      <c r="N28" s="156">
        <v>1</v>
      </c>
      <c r="O28" s="156"/>
      <c r="P28" s="157"/>
      <c r="Q28" s="157"/>
      <c r="R28" s="157"/>
      <c r="S28" s="157"/>
      <c r="T28" s="157"/>
      <c r="U28" s="158" t="s">
        <v>24</v>
      </c>
      <c r="V28" s="159">
        <f>ROUNDUP(D28/H28,0)</f>
        <v>114</v>
      </c>
      <c r="W28" s="76"/>
      <c r="X28" s="160"/>
      <c r="Y28" s="189">
        <f>V28</f>
        <v>114</v>
      </c>
      <c r="Z28" s="190"/>
      <c r="AA28" s="27"/>
      <c r="AB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</row>
    <row r="29" spans="1:182" s="28" customFormat="1" ht="14.45" customHeight="1">
      <c r="A29" s="111"/>
      <c r="B29" s="112"/>
      <c r="C29" s="113"/>
      <c r="D29" s="114"/>
      <c r="E29" s="114"/>
      <c r="F29" s="114"/>
      <c r="G29" s="114"/>
      <c r="H29" s="113"/>
      <c r="I29" s="113"/>
      <c r="J29" s="115"/>
      <c r="K29" s="115"/>
      <c r="L29" s="115"/>
      <c r="M29" s="113"/>
      <c r="N29" s="113"/>
      <c r="O29" s="113"/>
      <c r="P29" s="113"/>
      <c r="Q29" s="113"/>
      <c r="R29" s="113"/>
      <c r="S29" s="116"/>
      <c r="T29" s="113"/>
      <c r="U29" s="113"/>
      <c r="V29" s="113"/>
      <c r="W29" s="113"/>
      <c r="X29" s="117"/>
      <c r="Y29" s="58"/>
      <c r="Z29" s="59"/>
      <c r="AA29" s="27"/>
      <c r="AB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</row>
    <row r="30" spans="1:182" s="28" customFormat="1" ht="14.45" customHeight="1">
      <c r="A30" s="60"/>
      <c r="B30" s="61"/>
      <c r="C30" s="36"/>
      <c r="D30" s="35"/>
      <c r="E30" s="35"/>
      <c r="F30" s="35"/>
      <c r="G30" s="35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62"/>
      <c r="T30" s="36"/>
      <c r="U30" s="36"/>
      <c r="V30" s="36"/>
      <c r="W30" s="36"/>
      <c r="X30" s="63"/>
      <c r="Y30" s="64"/>
      <c r="Z30" s="65"/>
      <c r="AA30" s="27"/>
      <c r="AB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</row>
    <row r="31" spans="1:182" s="28" customFormat="1" ht="14.45" customHeight="1">
      <c r="A31" s="19" t="s">
        <v>32</v>
      </c>
      <c r="B31" s="20"/>
      <c r="C31" s="21" t="s">
        <v>34</v>
      </c>
      <c r="D31" s="22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66"/>
      <c r="V31" s="67"/>
      <c r="W31" s="38"/>
      <c r="X31" s="68"/>
      <c r="Y31" s="69"/>
      <c r="Z31" s="70" t="s">
        <v>19</v>
      </c>
      <c r="AA31" s="27"/>
      <c r="AB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</row>
    <row r="32" spans="1:182" s="28" customFormat="1" ht="14.45" customHeight="1">
      <c r="A32" s="19" t="s">
        <v>33</v>
      </c>
      <c r="B32" s="20"/>
      <c r="C32" s="68" t="s">
        <v>13</v>
      </c>
      <c r="D32" s="72">
        <f>M7</f>
        <v>8</v>
      </c>
      <c r="E32" s="38"/>
      <c r="F32" s="73" t="s">
        <v>21</v>
      </c>
      <c r="G32" s="72">
        <f>M7+M32*S12*2</f>
        <v>9.5</v>
      </c>
      <c r="H32" s="38"/>
      <c r="I32" s="68" t="s">
        <v>22</v>
      </c>
      <c r="J32" s="74">
        <v>2</v>
      </c>
      <c r="K32" s="38"/>
      <c r="L32" s="73" t="s">
        <v>23</v>
      </c>
      <c r="M32" s="128">
        <v>0.5</v>
      </c>
      <c r="N32" s="38"/>
      <c r="O32" s="73" t="s">
        <v>23</v>
      </c>
      <c r="P32" s="72">
        <f>P21</f>
        <v>11</v>
      </c>
      <c r="Q32" s="38"/>
      <c r="R32" s="73" t="s">
        <v>23</v>
      </c>
      <c r="S32" s="119">
        <v>0.8</v>
      </c>
      <c r="T32" s="119"/>
      <c r="U32" s="68" t="s">
        <v>24</v>
      </c>
      <c r="V32" s="76">
        <f>ROUND((D32+G32)/J32*M32*P32*S32,3)</f>
        <v>38.5</v>
      </c>
      <c r="W32" s="76"/>
      <c r="X32" s="76"/>
      <c r="Y32" s="184">
        <f>ROUND(SUM(V31:V47),2)</f>
        <v>38.5</v>
      </c>
      <c r="Z32" s="185"/>
      <c r="AA32" s="27"/>
      <c r="AB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</row>
    <row r="33" spans="1:182" s="28" customFormat="1" ht="14.45" hidden="1" customHeight="1">
      <c r="A33" s="60"/>
      <c r="B33" s="61"/>
      <c r="C33" s="36"/>
      <c r="D33" s="35"/>
      <c r="E33" s="35"/>
      <c r="F33" s="35"/>
      <c r="G33" s="35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62"/>
      <c r="T33" s="36"/>
      <c r="U33" s="36"/>
      <c r="V33" s="36"/>
      <c r="W33" s="36"/>
      <c r="X33" s="63"/>
      <c r="Y33" s="77"/>
      <c r="Z33" s="78"/>
      <c r="AA33" s="27"/>
      <c r="AB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</row>
    <row r="34" spans="1:182" s="28" customFormat="1" ht="14.45" hidden="1" customHeight="1">
      <c r="A34" s="60"/>
      <c r="B34" s="61"/>
      <c r="C34" s="36"/>
      <c r="D34" s="35"/>
      <c r="E34" s="35"/>
      <c r="F34" s="35"/>
      <c r="G34" s="35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62"/>
      <c r="T34" s="36"/>
      <c r="U34" s="36"/>
      <c r="V34" s="36"/>
      <c r="W34" s="36"/>
      <c r="X34" s="63"/>
      <c r="Y34" s="77"/>
      <c r="Z34" s="78"/>
      <c r="AA34" s="27"/>
      <c r="AB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</row>
    <row r="35" spans="1:182" s="28" customFormat="1" ht="14.45" hidden="1" customHeight="1">
      <c r="A35" s="60"/>
      <c r="B35" s="61"/>
      <c r="C35" s="36"/>
      <c r="D35" s="35"/>
      <c r="E35" s="35"/>
      <c r="F35" s="35"/>
      <c r="G35" s="35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62"/>
      <c r="T35" s="36"/>
      <c r="U35" s="36"/>
      <c r="V35" s="36"/>
      <c r="W35" s="36"/>
      <c r="X35" s="63"/>
      <c r="Y35" s="77"/>
      <c r="Z35" s="78"/>
      <c r="AA35" s="27"/>
      <c r="AB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</row>
    <row r="36" spans="1:182" s="28" customFormat="1" ht="14.45" customHeight="1">
      <c r="A36" s="60"/>
      <c r="B36" s="61"/>
      <c r="C36" s="36"/>
      <c r="D36" s="35"/>
      <c r="E36" s="35"/>
      <c r="F36" s="35"/>
      <c r="G36" s="35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62"/>
      <c r="T36" s="36"/>
      <c r="U36" s="36"/>
      <c r="V36" s="36"/>
      <c r="W36" s="36"/>
      <c r="X36" s="63"/>
      <c r="Y36" s="77"/>
      <c r="Z36" s="78"/>
      <c r="AA36" s="27"/>
      <c r="AB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</row>
    <row r="37" spans="1:182" s="28" customFormat="1" ht="14.45" hidden="1" customHeight="1">
      <c r="A37" s="60"/>
      <c r="B37" s="61"/>
      <c r="C37" s="36"/>
      <c r="D37" s="35"/>
      <c r="E37" s="35"/>
      <c r="F37" s="35"/>
      <c r="G37" s="35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62"/>
      <c r="T37" s="36"/>
      <c r="U37" s="36"/>
      <c r="V37" s="36"/>
      <c r="W37" s="36"/>
      <c r="X37" s="63"/>
      <c r="Y37" s="77"/>
      <c r="Z37" s="78"/>
      <c r="AA37" s="27"/>
      <c r="AB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</row>
    <row r="38" spans="1:182" s="28" customFormat="1" ht="14.45" hidden="1" customHeight="1">
      <c r="A38" s="60"/>
      <c r="B38" s="61"/>
      <c r="C38" s="36"/>
      <c r="D38" s="35"/>
      <c r="E38" s="35"/>
      <c r="F38" s="35"/>
      <c r="G38" s="35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62"/>
      <c r="T38" s="36"/>
      <c r="U38" s="36"/>
      <c r="V38" s="36"/>
      <c r="W38" s="36"/>
      <c r="X38" s="63"/>
      <c r="Y38" s="77"/>
      <c r="Z38" s="78"/>
      <c r="AA38" s="27"/>
      <c r="AB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</row>
    <row r="39" spans="1:182" s="28" customFormat="1" ht="14.45" hidden="1" customHeight="1">
      <c r="A39" s="60"/>
      <c r="B39" s="61"/>
      <c r="C39" s="36"/>
      <c r="D39" s="35"/>
      <c r="E39" s="35"/>
      <c r="F39" s="35"/>
      <c r="G39" s="35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62"/>
      <c r="T39" s="36"/>
      <c r="U39" s="36"/>
      <c r="V39" s="36"/>
      <c r="W39" s="36"/>
      <c r="X39" s="63"/>
      <c r="Y39" s="77"/>
      <c r="Z39" s="78"/>
      <c r="AA39" s="27"/>
      <c r="AB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</row>
    <row r="40" spans="1:182" s="28" customFormat="1" ht="14.45" hidden="1" customHeight="1">
      <c r="A40" s="60"/>
      <c r="B40" s="61"/>
      <c r="C40" s="36"/>
      <c r="D40" s="35"/>
      <c r="E40" s="35"/>
      <c r="F40" s="35"/>
      <c r="G40" s="35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62"/>
      <c r="T40" s="36"/>
      <c r="U40" s="36"/>
      <c r="V40" s="36"/>
      <c r="W40" s="36"/>
      <c r="X40" s="63"/>
      <c r="Y40" s="77"/>
      <c r="Z40" s="78"/>
      <c r="AA40" s="27"/>
      <c r="AB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</row>
    <row r="41" spans="1:182" s="28" customFormat="1" ht="14.45" hidden="1" customHeight="1">
      <c r="A41" s="60"/>
      <c r="B41" s="61"/>
      <c r="C41" s="36"/>
      <c r="D41" s="35"/>
      <c r="E41" s="35"/>
      <c r="F41" s="35"/>
      <c r="G41" s="35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62"/>
      <c r="T41" s="36"/>
      <c r="U41" s="36"/>
      <c r="V41" s="36"/>
      <c r="W41" s="36"/>
      <c r="X41" s="63"/>
      <c r="Y41" s="77"/>
      <c r="Z41" s="78"/>
      <c r="AA41" s="27"/>
      <c r="AB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</row>
    <row r="42" spans="1:182" s="28" customFormat="1" ht="14.45" hidden="1" customHeight="1">
      <c r="A42" s="60"/>
      <c r="B42" s="61"/>
      <c r="C42" s="36"/>
      <c r="D42" s="35"/>
      <c r="E42" s="35"/>
      <c r="F42" s="35"/>
      <c r="G42" s="35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62"/>
      <c r="T42" s="36"/>
      <c r="U42" s="36"/>
      <c r="V42" s="36"/>
      <c r="W42" s="36"/>
      <c r="X42" s="63"/>
      <c r="Y42" s="77"/>
      <c r="Z42" s="78"/>
      <c r="AA42" s="27"/>
      <c r="AB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</row>
    <row r="43" spans="1:182" s="28" customFormat="1" ht="14.45" hidden="1" customHeight="1">
      <c r="A43" s="60"/>
      <c r="B43" s="61"/>
      <c r="C43" s="36"/>
      <c r="D43" s="35"/>
      <c r="E43" s="35"/>
      <c r="F43" s="35"/>
      <c r="G43" s="35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62"/>
      <c r="T43" s="36"/>
      <c r="U43" s="36"/>
      <c r="V43" s="36"/>
      <c r="W43" s="36"/>
      <c r="X43" s="63"/>
      <c r="Y43" s="77"/>
      <c r="Z43" s="78"/>
      <c r="AA43" s="27"/>
      <c r="AB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</row>
    <row r="44" spans="1:182" s="28" customFormat="1" ht="14.45" hidden="1" customHeight="1">
      <c r="A44" s="60"/>
      <c r="B44" s="61"/>
      <c r="C44" s="36"/>
      <c r="D44" s="35"/>
      <c r="E44" s="35"/>
      <c r="F44" s="35"/>
      <c r="G44" s="35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62"/>
      <c r="T44" s="36"/>
      <c r="U44" s="36"/>
      <c r="V44" s="36"/>
      <c r="W44" s="36"/>
      <c r="X44" s="63"/>
      <c r="Y44" s="77"/>
      <c r="Z44" s="78"/>
      <c r="AA44" s="27"/>
      <c r="AB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</row>
    <row r="45" spans="1:182" s="28" customFormat="1" ht="14.45" hidden="1" customHeight="1">
      <c r="A45" s="60"/>
      <c r="B45" s="61"/>
      <c r="C45" s="36"/>
      <c r="D45" s="35"/>
      <c r="E45" s="35"/>
      <c r="F45" s="35"/>
      <c r="G45" s="35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62"/>
      <c r="T45" s="36"/>
      <c r="U45" s="36"/>
      <c r="V45" s="36"/>
      <c r="W45" s="36"/>
      <c r="X45" s="63"/>
      <c r="Y45" s="77"/>
      <c r="Z45" s="78"/>
      <c r="AA45" s="27"/>
      <c r="AB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</row>
    <row r="46" spans="1:182" s="28" customFormat="1" ht="14.45" hidden="1" customHeight="1">
      <c r="A46" s="60"/>
      <c r="B46" s="61"/>
      <c r="C46" s="36"/>
      <c r="D46" s="35"/>
      <c r="E46" s="35"/>
      <c r="F46" s="35"/>
      <c r="G46" s="35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62"/>
      <c r="T46" s="36"/>
      <c r="U46" s="36"/>
      <c r="V46" s="36"/>
      <c r="W46" s="36"/>
      <c r="X46" s="63"/>
      <c r="Y46" s="77"/>
      <c r="Z46" s="78"/>
      <c r="AA46" s="27"/>
      <c r="AB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</row>
    <row r="47" spans="1:182" s="28" customFormat="1" ht="14.45" customHeight="1">
      <c r="A47" s="52"/>
      <c r="B47" s="53"/>
      <c r="C47" s="54"/>
      <c r="D47" s="55"/>
      <c r="E47" s="55"/>
      <c r="F47" s="55"/>
      <c r="G47" s="55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6"/>
      <c r="T47" s="54"/>
      <c r="U47" s="54"/>
      <c r="V47" s="54"/>
      <c r="W47" s="54"/>
      <c r="X47" s="57"/>
      <c r="Y47" s="58"/>
      <c r="Z47" s="59"/>
      <c r="AA47" s="27"/>
      <c r="AB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</row>
    <row r="48" spans="1:182" s="28" customFormat="1" ht="14.45" customHeight="1">
      <c r="A48" s="79"/>
      <c r="B48" s="80"/>
      <c r="C48" s="81"/>
      <c r="D48" s="82"/>
      <c r="E48" s="82"/>
      <c r="F48" s="82"/>
      <c r="G48" s="82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3"/>
      <c r="T48" s="81"/>
      <c r="U48" s="81"/>
      <c r="V48" s="81"/>
      <c r="W48" s="81"/>
      <c r="X48" s="84"/>
      <c r="Y48" s="64"/>
      <c r="Z48" s="65"/>
      <c r="AA48" s="27"/>
      <c r="AB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</row>
    <row r="49" spans="1:182" s="28" customFormat="1" ht="14.45" customHeight="1">
      <c r="A49" s="19" t="s">
        <v>43</v>
      </c>
      <c r="B49" s="20"/>
      <c r="C49" s="21" t="s">
        <v>45</v>
      </c>
      <c r="D49" s="30"/>
      <c r="E49" s="30"/>
      <c r="F49" s="30"/>
      <c r="G49" s="22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3"/>
      <c r="T49" s="21"/>
      <c r="U49" s="21"/>
      <c r="V49" s="21"/>
      <c r="W49" s="21"/>
      <c r="X49" s="24"/>
      <c r="Y49" s="69"/>
      <c r="Z49" s="70" t="s">
        <v>17</v>
      </c>
      <c r="AA49" s="27"/>
      <c r="AB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</row>
    <row r="50" spans="1:182" s="28" customFormat="1" ht="14.45" customHeight="1">
      <c r="A50" s="19" t="s">
        <v>44</v>
      </c>
      <c r="B50" s="20"/>
      <c r="C50" s="30"/>
      <c r="D50" s="34" t="s">
        <v>42</v>
      </c>
      <c r="E50" s="30"/>
      <c r="F50" s="30"/>
      <c r="G50" s="22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3"/>
      <c r="T50" s="21"/>
      <c r="U50" s="21"/>
      <c r="V50" s="21"/>
      <c r="W50" s="21"/>
      <c r="X50" s="24"/>
      <c r="Y50" s="184">
        <f>ROUND(SUM(V49:V53),2)</f>
        <v>33</v>
      </c>
      <c r="Z50" s="185"/>
      <c r="AA50" s="27"/>
      <c r="AB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</row>
    <row r="51" spans="1:182" s="28" customFormat="1" ht="14.45" customHeight="1">
      <c r="A51" s="29" t="s">
        <v>51</v>
      </c>
      <c r="B51" s="20"/>
      <c r="C51" s="30"/>
      <c r="D51" s="88">
        <v>11</v>
      </c>
      <c r="E51" s="89"/>
      <c r="F51" s="129" t="s">
        <v>29</v>
      </c>
      <c r="G51" s="30"/>
      <c r="H51" s="90" t="s">
        <v>23</v>
      </c>
      <c r="I51" s="91">
        <v>3</v>
      </c>
      <c r="J51" s="75"/>
      <c r="K51" s="21"/>
      <c r="L51" s="92"/>
      <c r="M51" s="89"/>
      <c r="N51" s="93"/>
      <c r="O51" s="94"/>
      <c r="P51" s="95"/>
      <c r="Q51" s="96"/>
      <c r="R51" s="95"/>
      <c r="S51" s="21"/>
      <c r="T51" s="21"/>
      <c r="U51" s="68" t="s">
        <v>24</v>
      </c>
      <c r="V51" s="76">
        <f>ROUND(D51*I51,3)</f>
        <v>33</v>
      </c>
      <c r="W51" s="76"/>
      <c r="X51" s="76"/>
      <c r="Y51" s="69"/>
      <c r="Z51" s="97" t="s">
        <v>30</v>
      </c>
      <c r="AA51" s="27"/>
      <c r="AB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</row>
    <row r="52" spans="1:182" s="28" customFormat="1" ht="14.45" customHeight="1">
      <c r="A52" s="29"/>
      <c r="B52" s="20"/>
      <c r="C52" s="72"/>
      <c r="D52" s="30"/>
      <c r="E52" s="30"/>
      <c r="F52" s="30"/>
      <c r="G52" s="30"/>
      <c r="H52" s="30"/>
      <c r="I52" s="30"/>
      <c r="J52" s="30"/>
      <c r="K52" s="21"/>
      <c r="L52" s="21"/>
      <c r="M52" s="21"/>
      <c r="N52" s="21"/>
      <c r="O52" s="21"/>
      <c r="P52" s="21"/>
      <c r="Q52" s="21"/>
      <c r="R52" s="21"/>
      <c r="S52" s="23"/>
      <c r="T52" s="21"/>
      <c r="U52" s="21" t="s">
        <v>31</v>
      </c>
      <c r="V52" s="76"/>
      <c r="W52" s="76"/>
      <c r="X52" s="76"/>
      <c r="Y52" s="182">
        <f>ROUND(Y50/2.5,1)</f>
        <v>13.2</v>
      </c>
      <c r="Z52" s="183"/>
      <c r="AA52" s="27"/>
      <c r="AB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</row>
    <row r="53" spans="1:182" s="28" customFormat="1" ht="14.45" customHeight="1">
      <c r="A53" s="98"/>
      <c r="B53" s="99"/>
      <c r="C53" s="100"/>
      <c r="D53" s="87"/>
      <c r="E53" s="87"/>
      <c r="F53" s="87"/>
      <c r="G53" s="87"/>
      <c r="H53" s="87"/>
      <c r="I53" s="87"/>
      <c r="J53" s="87"/>
      <c r="K53" s="101"/>
      <c r="L53" s="101"/>
      <c r="M53" s="101"/>
      <c r="N53" s="101"/>
      <c r="O53" s="101"/>
      <c r="P53" s="101"/>
      <c r="Q53" s="101"/>
      <c r="R53" s="101"/>
      <c r="S53" s="102"/>
      <c r="T53" s="101"/>
      <c r="U53" s="103"/>
      <c r="V53" s="104"/>
      <c r="W53" s="104"/>
      <c r="X53" s="104"/>
      <c r="Y53" s="58"/>
      <c r="Z53" s="59"/>
      <c r="AA53" s="27"/>
      <c r="AB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</row>
    <row r="54" spans="1:182" ht="14.45" customHeight="1"/>
    <row r="55" spans="1:182" ht="14.45" customHeight="1"/>
    <row r="56" spans="1:182" ht="14.45" customHeight="1"/>
    <row r="57" spans="1:182" ht="14.45" customHeight="1"/>
    <row r="58" spans="1:182" ht="14.45" customHeight="1"/>
    <row r="59" spans="1:182" ht="14.45" customHeight="1"/>
    <row r="60" spans="1:182" ht="14.45" customHeight="1"/>
    <row r="61" spans="1:182" ht="14.45" customHeight="1"/>
    <row r="62" spans="1:182" ht="14.45" customHeight="1"/>
    <row r="63" spans="1:182" ht="14.45" customHeight="1"/>
    <row r="64" spans="1:182" ht="14.45" customHeight="1"/>
    <row r="65" spans="2:182" s="105" customFormat="1" ht="14.45" customHeight="1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6"/>
      <c r="Z65" s="107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</row>
    <row r="66" spans="2:182" s="105" customFormat="1" ht="14.45" customHeight="1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6"/>
      <c r="Z66" s="107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</row>
    <row r="67" spans="2:182" s="105" customFormat="1" ht="14.45" customHeight="1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6"/>
      <c r="Z67" s="107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</row>
    <row r="68" spans="2:182" s="105" customFormat="1" ht="14.45" customHeight="1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6"/>
      <c r="Z68" s="107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</row>
    <row r="69" spans="2:182" s="105" customFormat="1" ht="14.45" customHeight="1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6"/>
      <c r="Z69" s="107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</row>
    <row r="70" spans="2:182" s="105" customFormat="1" ht="14.45" customHeight="1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6"/>
      <c r="Z70" s="107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</row>
    <row r="71" spans="2:182" s="105" customFormat="1" ht="14.45" customHeight="1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6"/>
      <c r="Z71" s="107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</row>
    <row r="72" spans="2:182" s="105" customFormat="1" ht="14.45" customHeight="1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6"/>
      <c r="Z72" s="107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</row>
    <row r="73" spans="2:182" s="105" customFormat="1" ht="14.45" customHeight="1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6"/>
      <c r="Z73" s="107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</row>
    <row r="74" spans="2:182" s="105" customFormat="1" ht="14.45" customHeight="1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6"/>
      <c r="Z74" s="107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</row>
    <row r="75" spans="2:182" s="105" customFormat="1" ht="14.45" customHeight="1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6"/>
      <c r="Z75" s="107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</row>
    <row r="76" spans="2:182" s="105" customFormat="1" ht="14.45" customHeight="1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6"/>
      <c r="Z76" s="107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</row>
    <row r="77" spans="2:182" s="105" customFormat="1" ht="14.45" customHeight="1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6"/>
      <c r="Z77" s="107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</row>
    <row r="78" spans="2:182" s="105" customFormat="1" ht="14.45" customHeight="1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6"/>
      <c r="Z78" s="107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</row>
    <row r="79" spans="2:182" s="105" customFormat="1" ht="14.45" customHeight="1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6"/>
      <c r="Z79" s="107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</row>
    <row r="80" spans="2:182" s="105" customFormat="1" ht="14.45" customHeight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6"/>
      <c r="Z80" s="107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</row>
    <row r="81" spans="2:182" s="105" customFormat="1" ht="14.45" customHeight="1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6"/>
      <c r="Z81" s="107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</row>
    <row r="82" spans="2:182" s="105" customFormat="1" ht="14.45" customHeight="1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6"/>
      <c r="Z82" s="107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</row>
    <row r="83" spans="2:182" s="105" customFormat="1" ht="14.45" customHeight="1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6"/>
      <c r="Z83" s="107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</row>
    <row r="84" spans="2:182" s="105" customFormat="1" ht="14.45" customHeight="1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6"/>
      <c r="Z84" s="107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</row>
    <row r="85" spans="2:182" s="105" customFormat="1" ht="14.45" customHeight="1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6"/>
      <c r="Z85" s="107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</row>
    <row r="86" spans="2:182" s="105" customFormat="1" ht="14.45" customHeight="1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6"/>
      <c r="Z86" s="107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</row>
    <row r="87" spans="2:182" s="105" customFormat="1" ht="14.45" customHeight="1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6"/>
      <c r="Z87" s="107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</row>
    <row r="88" spans="2:182" s="105" customFormat="1" ht="14.45" customHeight="1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6"/>
      <c r="Z88" s="107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</row>
    <row r="89" spans="2:182" s="105" customFormat="1" ht="14.45" customHeight="1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6"/>
      <c r="Z89" s="107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</row>
    <row r="90" spans="2:182" s="105" customFormat="1" ht="14.45" customHeight="1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6"/>
      <c r="Z90" s="107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</row>
    <row r="91" spans="2:182" s="105" customFormat="1" ht="14.45" customHeight="1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6"/>
      <c r="Z91" s="107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</row>
    <row r="92" spans="2:182" s="105" customFormat="1" ht="14.45" customHeight="1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6"/>
      <c r="Z92" s="107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</row>
    <row r="93" spans="2:182" s="105" customFormat="1" ht="14.45" customHeight="1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6"/>
      <c r="Z93" s="107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</row>
    <row r="94" spans="2:182" s="105" customFormat="1" ht="14.45" customHeight="1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6"/>
      <c r="Z94" s="107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</row>
    <row r="95" spans="2:182" s="105" customFormat="1" ht="14.45" customHeight="1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6"/>
      <c r="Z95" s="107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</row>
    <row r="96" spans="2:182" s="105" customFormat="1" ht="14.45" customHeight="1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6"/>
      <c r="Z96" s="107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</row>
    <row r="97" spans="2:182" s="105" customFormat="1" ht="14.45" customHeight="1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6"/>
      <c r="Z97" s="107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</row>
    <row r="98" spans="2:182" s="105" customFormat="1" ht="14.45" customHeight="1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6"/>
      <c r="Z98" s="107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</row>
    <row r="99" spans="2:182" s="105" customFormat="1" ht="14.45" customHeight="1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6"/>
      <c r="Z99" s="107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</row>
    <row r="100" spans="2:182" s="105" customFormat="1" ht="14.45" customHeight="1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6"/>
      <c r="Z100" s="107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</row>
    <row r="101" spans="2:182" s="105" customFormat="1" ht="14.45" customHeight="1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6"/>
      <c r="Z101" s="107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</row>
    <row r="102" spans="2:182" s="105" customFormat="1" ht="14.45" customHeight="1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6"/>
      <c r="Z102" s="107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</row>
    <row r="103" spans="2:182" s="105" customFormat="1" ht="14.45" customHeight="1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6"/>
      <c r="Z103" s="107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</row>
    <row r="104" spans="2:182" s="105" customFormat="1" ht="14.45" customHeight="1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6"/>
      <c r="Z104" s="107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</row>
    <row r="105" spans="2:182" s="105" customFormat="1" ht="14.45" customHeight="1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6"/>
      <c r="Z105" s="107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</row>
    <row r="106" spans="2:182" s="105" customFormat="1" ht="14.45" customHeight="1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6"/>
      <c r="Z106" s="107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</row>
    <row r="107" spans="2:182" s="105" customFormat="1" ht="14.45" customHeight="1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6"/>
      <c r="Z107" s="107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</row>
    <row r="108" spans="2:182" s="105" customFormat="1" ht="14.45" customHeight="1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6"/>
      <c r="Z108" s="107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</row>
    <row r="109" spans="2:182" s="105" customFormat="1" ht="14.45" customHeight="1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6"/>
      <c r="Z109" s="107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</row>
    <row r="110" spans="2:182" s="105" customFormat="1" ht="14.45" customHeight="1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6"/>
      <c r="Z110" s="107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</row>
    <row r="111" spans="2:182" s="105" customFormat="1" ht="14.45" customHeight="1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6"/>
      <c r="Z111" s="107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</row>
    <row r="112" spans="2:182" s="105" customFormat="1" ht="14.45" customHeight="1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6"/>
      <c r="Z112" s="107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</row>
    <row r="113" spans="2:182" s="105" customFormat="1" ht="14.45" customHeight="1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6"/>
      <c r="Z113" s="107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</row>
    <row r="114" spans="2:182" s="105" customFormat="1" ht="14.45" customHeight="1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6"/>
      <c r="Z114" s="107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</row>
    <row r="115" spans="2:182" s="105" customFormat="1" ht="14.45" customHeight="1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6"/>
      <c r="Z115" s="107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</row>
    <row r="116" spans="2:182" s="105" customFormat="1" ht="14.45" customHeight="1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6"/>
      <c r="Z116" s="107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</row>
    <row r="117" spans="2:182" s="105" customFormat="1" ht="14.45" customHeight="1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6"/>
      <c r="Z117" s="107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</row>
    <row r="118" spans="2:182" s="105" customFormat="1" ht="14.45" customHeight="1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6"/>
      <c r="Z118" s="107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</row>
    <row r="119" spans="2:182" s="105" customFormat="1" ht="14.45" customHeight="1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6"/>
      <c r="Z119" s="107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</row>
    <row r="120" spans="2:182" s="105" customFormat="1" ht="14.45" customHeight="1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6"/>
      <c r="Z120" s="107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</row>
    <row r="121" spans="2:182" s="105" customFormat="1" ht="14.45" customHeight="1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6"/>
      <c r="Z121" s="107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</row>
    <row r="122" spans="2:182" s="105" customFormat="1" ht="14.45" customHeight="1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6"/>
      <c r="Z122" s="107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</row>
    <row r="123" spans="2:182" s="105" customFormat="1" ht="14.45" customHeight="1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6"/>
      <c r="Z123" s="107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</row>
    <row r="124" spans="2:182" s="105" customFormat="1" ht="14.45" customHeight="1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6"/>
      <c r="Z124" s="107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</row>
    <row r="125" spans="2:182" s="105" customFormat="1" ht="14.45" customHeight="1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6"/>
      <c r="Z125" s="107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</row>
    <row r="126" spans="2:182" s="105" customFormat="1" ht="14.45" customHeight="1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6"/>
      <c r="Z126" s="107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</row>
    <row r="127" spans="2:182" s="105" customFormat="1" ht="14.45" customHeight="1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6"/>
      <c r="Z127" s="107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</row>
    <row r="128" spans="2:182" s="105" customFormat="1" ht="14.45" customHeight="1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6"/>
      <c r="Z128" s="107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</row>
    <row r="129" spans="2:182" s="105" customFormat="1" ht="14.45" customHeight="1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6"/>
      <c r="Z129" s="107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</row>
    <row r="130" spans="2:182" s="105" customFormat="1" ht="14.45" customHeight="1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6"/>
      <c r="Z130" s="107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</row>
    <row r="131" spans="2:182" s="105" customFormat="1" ht="14.45" customHeight="1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6"/>
      <c r="Z131" s="107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</row>
    <row r="132" spans="2:182" s="105" customFormat="1" ht="14.45" customHeight="1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6"/>
      <c r="Z132" s="107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</row>
    <row r="133" spans="2:182" s="105" customFormat="1" ht="14.45" customHeight="1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6"/>
      <c r="Z133" s="107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</row>
    <row r="134" spans="2:182" s="105" customFormat="1" ht="14.45" customHeight="1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6"/>
      <c r="Z134" s="107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</row>
    <row r="135" spans="2:182" s="105" customFormat="1" ht="14.45" customHeight="1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6"/>
      <c r="Z135" s="107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</row>
    <row r="136" spans="2:182" s="105" customFormat="1" ht="14.45" customHeight="1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6"/>
      <c r="Z136" s="107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</row>
    <row r="137" spans="2:182" s="105" customFormat="1" ht="14.45" customHeight="1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6"/>
      <c r="Z137" s="107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</row>
    <row r="138" spans="2:182" s="105" customFormat="1" ht="14.45" customHeight="1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6"/>
      <c r="Z138" s="107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</row>
    <row r="139" spans="2:182" s="105" customFormat="1" ht="14.45" customHeight="1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6"/>
      <c r="Z139" s="107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</row>
    <row r="140" spans="2:182" s="105" customFormat="1" ht="14.45" customHeight="1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6"/>
      <c r="Z140" s="107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</row>
    <row r="141" spans="2:182" s="105" customFormat="1" ht="14.45" customHeight="1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6"/>
      <c r="Z141" s="107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</row>
    <row r="142" spans="2:182" s="105" customFormat="1" ht="14.45" customHeight="1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6"/>
      <c r="Z142" s="107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</row>
    <row r="143" spans="2:182" s="105" customFormat="1" ht="14.45" customHeight="1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6"/>
      <c r="Z143" s="107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</row>
    <row r="144" spans="2:182" s="105" customFormat="1" ht="14.45" customHeight="1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6"/>
      <c r="Z144" s="107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</row>
    <row r="145" spans="2:182" s="105" customFormat="1" ht="14.45" customHeight="1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6"/>
      <c r="Z145" s="107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</row>
    <row r="146" spans="2:182" s="105" customFormat="1" ht="14.45" customHeight="1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6"/>
      <c r="Z146" s="107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</row>
    <row r="147" spans="2:182" s="105" customFormat="1" ht="14.45" customHeight="1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6"/>
      <c r="Z147" s="107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</row>
    <row r="148" spans="2:182" s="105" customFormat="1" ht="14.45" customHeight="1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6"/>
      <c r="Z148" s="107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</row>
    <row r="149" spans="2:182" s="105" customFormat="1" ht="14.45" customHeight="1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6"/>
      <c r="Z149" s="107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</row>
    <row r="150" spans="2:182" s="105" customFormat="1" ht="14.45" customHeight="1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6"/>
      <c r="Z150" s="107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</row>
    <row r="151" spans="2:182" s="105" customFormat="1" ht="14.45" customHeight="1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6"/>
      <c r="Z151" s="107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</row>
    <row r="152" spans="2:182" s="105" customFormat="1" ht="14.45" customHeight="1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6"/>
      <c r="Z152" s="107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</row>
    <row r="153" spans="2:182" s="105" customFormat="1" ht="14.45" customHeight="1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6"/>
      <c r="Z153" s="107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</row>
    <row r="154" spans="2:182" s="105" customFormat="1" ht="14.45" customHeight="1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6"/>
      <c r="Z154" s="107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</row>
    <row r="155" spans="2:182" s="105" customFormat="1" ht="14.45" customHeight="1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6"/>
      <c r="Z155" s="107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</row>
    <row r="156" spans="2:182" s="105" customFormat="1" ht="14.45" customHeight="1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6"/>
      <c r="Z156" s="107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</row>
    <row r="157" spans="2:182" s="105" customFormat="1" ht="14.45" customHeight="1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6"/>
      <c r="Z157" s="107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</row>
    <row r="158" spans="2:182" s="105" customFormat="1" ht="14.45" customHeight="1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6"/>
      <c r="Z158" s="107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</row>
    <row r="159" spans="2:182" s="105" customFormat="1" ht="14.45" customHeight="1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6"/>
      <c r="Z159" s="107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</row>
    <row r="160" spans="2:182" s="105" customFormat="1" ht="14.45" customHeight="1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6"/>
      <c r="Z160" s="107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</row>
    <row r="161" spans="2:182" s="105" customFormat="1" ht="14.45" customHeight="1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6"/>
      <c r="Z161" s="107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</row>
    <row r="162" spans="2:182" s="105" customFormat="1" ht="14.45" customHeight="1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6"/>
      <c r="Z162" s="107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</row>
    <row r="163" spans="2:182" s="105" customFormat="1" ht="14.45" customHeight="1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6"/>
      <c r="Z163" s="107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</row>
    <row r="164" spans="2:182" s="105" customFormat="1" ht="14.45" customHeight="1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6"/>
      <c r="Z164" s="107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</row>
    <row r="165" spans="2:182" s="105" customFormat="1" ht="14.45" customHeight="1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6"/>
      <c r="Z165" s="107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</row>
    <row r="166" spans="2:182" s="105" customFormat="1" ht="14.45" customHeight="1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6"/>
      <c r="Z166" s="107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</row>
    <row r="167" spans="2:182" s="105" customFormat="1" ht="14.45" customHeight="1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6"/>
      <c r="Z167" s="107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</row>
    <row r="168" spans="2:182" s="105" customFormat="1" ht="14.45" customHeight="1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6"/>
      <c r="Z168" s="107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</row>
    <row r="169" spans="2:182" s="105" customFormat="1" ht="14.45" customHeight="1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6"/>
      <c r="Z169" s="107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</row>
    <row r="170" spans="2:182" s="105" customFormat="1" ht="14.45" customHeight="1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6"/>
      <c r="Z170" s="107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</row>
    <row r="171" spans="2:182" s="105" customFormat="1" ht="14.45" customHeight="1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6"/>
      <c r="Z171" s="107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</row>
    <row r="172" spans="2:182" s="105" customFormat="1" ht="14.45" customHeight="1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6"/>
      <c r="Z172" s="107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</row>
    <row r="173" spans="2:182" s="105" customFormat="1" ht="14.45" customHeight="1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6"/>
      <c r="Z173" s="107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</row>
    <row r="174" spans="2:182" s="105" customFormat="1" ht="14.4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6"/>
      <c r="Z174" s="107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</row>
    <row r="175" spans="2:182" s="105" customFormat="1" ht="14.4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6"/>
      <c r="Z175" s="107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</row>
    <row r="176" spans="2:182" s="105" customFormat="1" ht="14.4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6"/>
      <c r="Z176" s="107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</row>
    <row r="177" spans="2:182" s="105" customFormat="1" ht="14.4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6"/>
      <c r="Z177" s="107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</row>
    <row r="178" spans="2:182" s="105" customFormat="1" ht="14.4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6"/>
      <c r="Z178" s="107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</row>
    <row r="179" spans="2:182" s="105" customFormat="1" ht="14.4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6"/>
      <c r="Z179" s="107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</row>
    <row r="180" spans="2:182" s="105" customFormat="1" ht="14.4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6"/>
      <c r="Z180" s="107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</row>
    <row r="181" spans="2:182" s="105" customFormat="1" ht="14.4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6"/>
      <c r="Z181" s="107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</row>
    <row r="182" spans="2:182" s="105" customFormat="1" ht="14.4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6"/>
      <c r="Z182" s="107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</row>
    <row r="183" spans="2:182" s="105" customFormat="1" ht="14.4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6"/>
      <c r="Z183" s="107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</row>
    <row r="184" spans="2:182" s="105" customFormat="1" ht="14.4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6"/>
      <c r="Z184" s="107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</row>
    <row r="185" spans="2:182" s="105" customFormat="1" ht="14.4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6"/>
      <c r="Z185" s="107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</row>
    <row r="186" spans="2:182" s="105" customFormat="1" ht="14.4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6"/>
      <c r="Z186" s="107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</row>
    <row r="187" spans="2:182" s="105" customFormat="1" ht="14.4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6"/>
      <c r="Z187" s="107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</row>
    <row r="188" spans="2:182" s="105" customFormat="1" ht="14.4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6"/>
      <c r="Z188" s="107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</row>
    <row r="189" spans="2:182" s="105" customFormat="1" ht="14.4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6"/>
      <c r="Z189" s="107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</row>
    <row r="190" spans="2:182" s="105" customFormat="1" ht="14.4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6"/>
      <c r="Z190" s="107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</row>
    <row r="191" spans="2:182" s="105" customFormat="1" ht="14.4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6"/>
      <c r="Z191" s="107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</row>
    <row r="192" spans="2:182" s="105" customFormat="1" ht="14.4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6"/>
      <c r="Z192" s="107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</row>
    <row r="193" spans="2:182" s="105" customFormat="1" ht="14.4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6"/>
      <c r="Z193" s="107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</row>
    <row r="194" spans="2:182" s="105" customFormat="1" ht="14.4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6"/>
      <c r="Z194" s="107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</row>
    <row r="195" spans="2:182" s="105" customFormat="1" ht="14.4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6"/>
      <c r="Z195" s="107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</row>
    <row r="196" spans="2:182" s="105" customFormat="1" ht="14.4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6"/>
      <c r="Z196" s="107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</row>
    <row r="197" spans="2:182" s="105" customFormat="1" ht="14.4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6"/>
      <c r="Z197" s="107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</row>
    <row r="198" spans="2:182" s="105" customFormat="1" ht="14.4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6"/>
      <c r="Z198" s="107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</row>
    <row r="199" spans="2:182" s="105" customFormat="1" ht="14.4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6"/>
      <c r="Z199" s="107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</row>
    <row r="200" spans="2:182" s="105" customFormat="1" ht="14.4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6"/>
      <c r="Z200" s="107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</row>
    <row r="201" spans="2:182" s="105" customFormat="1" ht="14.4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6"/>
      <c r="Z201" s="107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</row>
    <row r="202" spans="2:182" s="105" customFormat="1" ht="14.4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6"/>
      <c r="Z202" s="107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</row>
    <row r="203" spans="2:182" s="105" customFormat="1" ht="14.4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6"/>
      <c r="Z203" s="107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</row>
    <row r="204" spans="2:182" s="105" customFormat="1" ht="14.4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6"/>
      <c r="Z204" s="107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</row>
    <row r="205" spans="2:182" s="105" customFormat="1" ht="14.4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6"/>
      <c r="Z205" s="107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</row>
    <row r="206" spans="2:182" s="105" customFormat="1" ht="14.4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6"/>
      <c r="Z206" s="107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</row>
    <row r="207" spans="2:182" s="105" customFormat="1" ht="14.4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6"/>
      <c r="Z207" s="107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</row>
    <row r="208" spans="2:182" s="105" customFormat="1" ht="14.4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6"/>
      <c r="Z208" s="107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</row>
    <row r="209" spans="2:182" s="105" customFormat="1" ht="14.4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6"/>
      <c r="Z209" s="107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</row>
    <row r="210" spans="2:182" s="105" customFormat="1" ht="14.4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6"/>
      <c r="Z210" s="107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</row>
    <row r="211" spans="2:182" s="105" customFormat="1" ht="14.4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6"/>
      <c r="Z211" s="107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</row>
    <row r="212" spans="2:182" s="105" customFormat="1" ht="14.4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6"/>
      <c r="Z212" s="107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</row>
    <row r="213" spans="2:182" s="105" customFormat="1" ht="14.4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6"/>
      <c r="Z213" s="107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</row>
    <row r="214" spans="2:182" s="105" customFormat="1" ht="14.4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6"/>
      <c r="Z214" s="107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</row>
    <row r="215" spans="2:182" s="105" customFormat="1" ht="14.4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6"/>
      <c r="Z215" s="107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</row>
    <row r="216" spans="2:182" s="105" customFormat="1" ht="14.4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6"/>
      <c r="Z216" s="107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</row>
    <row r="217" spans="2:182" s="105" customFormat="1" ht="14.4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6"/>
      <c r="Z217" s="107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</row>
    <row r="218" spans="2:182" s="105" customFormat="1" ht="14.4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6"/>
      <c r="Z218" s="107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</row>
    <row r="219" spans="2:182" s="105" customFormat="1" ht="14.4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6"/>
      <c r="Z219" s="107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</row>
    <row r="220" spans="2:182" s="105" customFormat="1" ht="14.4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6"/>
      <c r="Z220" s="107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</row>
    <row r="221" spans="2:182" s="105" customFormat="1" ht="14.4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6"/>
      <c r="Z221" s="107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</row>
    <row r="222" spans="2:182" s="105" customFormat="1" ht="14.4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6"/>
      <c r="Z222" s="107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</row>
    <row r="223" spans="2:182" s="105" customFormat="1" ht="14.4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6"/>
      <c r="Z223" s="107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</row>
    <row r="224" spans="2:182" s="105" customFormat="1" ht="14.4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6"/>
      <c r="Z224" s="107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</row>
    <row r="225" spans="2:182" s="105" customFormat="1" ht="14.4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6"/>
      <c r="Z225" s="107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</row>
    <row r="226" spans="2:182" s="105" customFormat="1" ht="14.4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6"/>
      <c r="Z226" s="107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</row>
    <row r="227" spans="2:182" s="105" customFormat="1" ht="14.4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6"/>
      <c r="Z227" s="107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</row>
    <row r="228" spans="2:182" s="105" customFormat="1" ht="14.4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6"/>
      <c r="Z228" s="107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</row>
    <row r="229" spans="2:182" s="105" customFormat="1" ht="14.4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6"/>
      <c r="Z229" s="107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</row>
    <row r="230" spans="2:182" s="105" customFormat="1" ht="14.4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6"/>
      <c r="Z230" s="107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</row>
    <row r="231" spans="2:182" s="105" customFormat="1" ht="14.4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6"/>
      <c r="Z231" s="107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</row>
    <row r="232" spans="2:182" s="105" customFormat="1" ht="14.4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6"/>
      <c r="Z232" s="107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</row>
    <row r="233" spans="2:182" s="105" customFormat="1" ht="14.4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6"/>
      <c r="Z233" s="107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</row>
    <row r="234" spans="2:182" s="105" customFormat="1" ht="14.4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6"/>
      <c r="Z234" s="107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</row>
    <row r="235" spans="2:182" s="105" customFormat="1" ht="14.4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6"/>
      <c r="Z235" s="107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</row>
    <row r="236" spans="2:182" s="105" customFormat="1" ht="14.4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6"/>
      <c r="Z236" s="107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</row>
    <row r="237" spans="2:182" s="105" customFormat="1" ht="14.4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6"/>
      <c r="Z237" s="107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</row>
    <row r="238" spans="2:182" s="105" customFormat="1" ht="14.4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6"/>
      <c r="Z238" s="107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</row>
    <row r="239" spans="2:182" s="105" customFormat="1" ht="14.4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6"/>
      <c r="Z239" s="107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</row>
    <row r="240" spans="2:182" s="105" customFormat="1" ht="14.4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6"/>
      <c r="Z240" s="107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</row>
    <row r="241" spans="2:182" s="105" customFormat="1" ht="14.4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6"/>
      <c r="Z241" s="107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</row>
    <row r="242" spans="2:182" s="105" customFormat="1" ht="14.4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6"/>
      <c r="Z242" s="107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</row>
    <row r="243" spans="2:182" s="105" customFormat="1" ht="14.4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6"/>
      <c r="Z243" s="107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</row>
    <row r="244" spans="2:182" s="105" customFormat="1" ht="14.4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6"/>
      <c r="Z244" s="107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</row>
    <row r="245" spans="2:182" s="105" customFormat="1" ht="14.4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6"/>
      <c r="Z245" s="107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</row>
    <row r="246" spans="2:182" s="105" customFormat="1" ht="14.4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6"/>
      <c r="Z246" s="107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</row>
    <row r="247" spans="2:182" s="105" customFormat="1" ht="14.4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6"/>
      <c r="Z247" s="107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</row>
    <row r="248" spans="2:182" s="105" customFormat="1" ht="14.4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6"/>
      <c r="Z248" s="107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</row>
    <row r="249" spans="2:182" s="105" customFormat="1" ht="14.4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6"/>
      <c r="Z249" s="107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</row>
    <row r="250" spans="2:182" s="105" customFormat="1" ht="14.4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6"/>
      <c r="Z250" s="107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</row>
    <row r="251" spans="2:182" s="105" customFormat="1" ht="14.4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6"/>
      <c r="Z251" s="107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</row>
    <row r="252" spans="2:182" s="105" customFormat="1" ht="14.4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6"/>
      <c r="Z252" s="107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</row>
    <row r="253" spans="2:182" s="105" customFormat="1" ht="14.4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6"/>
      <c r="Z253" s="107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</row>
    <row r="254" spans="2:182" s="105" customFormat="1" ht="14.4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6"/>
      <c r="Z254" s="107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</row>
    <row r="255" spans="2:182" s="105" customFormat="1" ht="14.4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6"/>
      <c r="Z255" s="107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</row>
    <row r="256" spans="2:182" s="105" customFormat="1" ht="14.4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6"/>
      <c r="Z256" s="107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</row>
    <row r="257" spans="2:182" s="105" customFormat="1" ht="14.4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6"/>
      <c r="Z257" s="107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</row>
    <row r="258" spans="2:182" s="105" customFormat="1" ht="14.4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6"/>
      <c r="Z258" s="107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</row>
    <row r="259" spans="2:182" s="105" customFormat="1" ht="14.4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6"/>
      <c r="Z259" s="107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</row>
    <row r="260" spans="2:182" s="105" customFormat="1" ht="14.4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6"/>
      <c r="Z260" s="107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</row>
    <row r="261" spans="2:182" s="105" customFormat="1" ht="14.4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6"/>
      <c r="Z261" s="107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</row>
    <row r="262" spans="2:182" s="105" customFormat="1" ht="14.4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6"/>
      <c r="Z262" s="107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</row>
    <row r="263" spans="2:182" s="105" customFormat="1" ht="14.4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6"/>
      <c r="Z263" s="107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</row>
    <row r="264" spans="2:182" s="105" customFormat="1" ht="14.4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6"/>
      <c r="Z264" s="107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</row>
    <row r="265" spans="2:182" s="105" customFormat="1" ht="14.4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6"/>
      <c r="Z265" s="107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</row>
    <row r="266" spans="2:182" s="105" customFormat="1" ht="14.4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6"/>
      <c r="Z266" s="107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</row>
    <row r="267" spans="2:182" s="105" customFormat="1" ht="14.4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6"/>
      <c r="Z267" s="107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</row>
    <row r="268" spans="2:182" s="105" customFormat="1" ht="14.4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6"/>
      <c r="Z268" s="107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</row>
    <row r="269" spans="2:182" s="105" customFormat="1" ht="14.4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6"/>
      <c r="Z269" s="107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</row>
    <row r="270" spans="2:182" s="105" customFormat="1" ht="14.4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6"/>
      <c r="Z270" s="107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</row>
    <row r="271" spans="2:182" s="105" customFormat="1" ht="14.4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6"/>
      <c r="Z271" s="107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</row>
    <row r="272" spans="2:182" s="105" customFormat="1" ht="14.4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6"/>
      <c r="Z272" s="107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</row>
    <row r="273" spans="2:182" s="105" customFormat="1" ht="14.4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6"/>
      <c r="Z273" s="107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</row>
    <row r="274" spans="2:182" s="105" customFormat="1" ht="14.4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6"/>
      <c r="Z274" s="107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</row>
    <row r="275" spans="2:182" s="105" customFormat="1" ht="14.4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6"/>
      <c r="Z275" s="107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</row>
    <row r="276" spans="2:182" s="105" customFormat="1" ht="14.4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6"/>
      <c r="Z276" s="107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</row>
    <row r="277" spans="2:182" s="105" customFormat="1" ht="14.4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6"/>
      <c r="Z277" s="107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</row>
    <row r="278" spans="2:182" s="105" customFormat="1" ht="14.4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6"/>
      <c r="Z278" s="107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</row>
    <row r="279" spans="2:182" s="105" customFormat="1" ht="14.4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6"/>
      <c r="Z279" s="107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</row>
    <row r="280" spans="2:182" s="105" customFormat="1" ht="14.4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6"/>
      <c r="Z280" s="107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</row>
    <row r="281" spans="2:182" s="105" customFormat="1" ht="14.4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6"/>
      <c r="Z281" s="107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</row>
    <row r="282" spans="2:182" s="105" customFormat="1" ht="14.4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6"/>
      <c r="Z282" s="107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</row>
    <row r="283" spans="2:182" s="105" customFormat="1" ht="14.4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6"/>
      <c r="Z283" s="107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</row>
    <row r="284" spans="2:182" s="105" customFormat="1" ht="14.4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6"/>
      <c r="Z284" s="107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</row>
    <row r="285" spans="2:182" s="105" customFormat="1" ht="14.4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6"/>
      <c r="Z285" s="107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</row>
    <row r="286" spans="2:182" s="105" customFormat="1" ht="14.4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6"/>
      <c r="Z286" s="107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</row>
    <row r="287" spans="2:182" s="105" customFormat="1" ht="14.4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6"/>
      <c r="Z287" s="107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</row>
    <row r="288" spans="2:182" s="105" customFormat="1" ht="14.4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6"/>
      <c r="Z288" s="107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</row>
    <row r="289" spans="2:182" s="105" customFormat="1" ht="14.4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6"/>
      <c r="Z289" s="107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</row>
    <row r="290" spans="2:182" s="105" customFormat="1" ht="14.4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6"/>
      <c r="Z290" s="107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</row>
    <row r="291" spans="2:182" s="105" customFormat="1" ht="14.4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6"/>
      <c r="Z291" s="107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</row>
    <row r="292" spans="2:182" s="105" customFormat="1" ht="14.4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6"/>
      <c r="Z292" s="107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</row>
    <row r="293" spans="2:182" s="105" customFormat="1" ht="14.4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6"/>
      <c r="Z293" s="107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</row>
    <row r="294" spans="2:182" s="105" customFormat="1" ht="14.4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6"/>
      <c r="Z294" s="107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</row>
    <row r="295" spans="2:182" s="105" customFormat="1" ht="14.4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6"/>
      <c r="Z295" s="107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</row>
    <row r="296" spans="2:182" s="105" customFormat="1" ht="14.4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6"/>
      <c r="Z296" s="107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</row>
    <row r="297" spans="2:182" s="105" customFormat="1" ht="14.4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6"/>
      <c r="Z297" s="107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</row>
    <row r="298" spans="2:182" s="105" customFormat="1" ht="14.4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6"/>
      <c r="Z298" s="107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</row>
    <row r="299" spans="2:182" s="105" customFormat="1" ht="14.45" customHeight="1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6"/>
      <c r="Z299" s="107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</row>
    <row r="300" spans="2:182" s="105" customFormat="1" ht="14.45" customHeight="1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6"/>
      <c r="Z300" s="107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</row>
    <row r="301" spans="2:182" s="105" customFormat="1" ht="14.45" customHeight="1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6"/>
      <c r="Z301" s="107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  <c r="FO301" s="9"/>
      <c r="FP301" s="9"/>
      <c r="FQ301" s="9"/>
      <c r="FR301" s="9"/>
      <c r="FS301" s="9"/>
      <c r="FT301" s="9"/>
      <c r="FU301" s="9"/>
      <c r="FV301" s="9"/>
      <c r="FW301" s="9"/>
      <c r="FX301" s="9"/>
      <c r="FY301" s="9"/>
      <c r="FZ301" s="9"/>
    </row>
    <row r="302" spans="2:182" s="105" customFormat="1" ht="14.45" customHeight="1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6"/>
      <c r="Z302" s="107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  <c r="EN302" s="9"/>
      <c r="EO302" s="9"/>
      <c r="EP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  <c r="FI302" s="9"/>
      <c r="FJ302" s="9"/>
      <c r="FK302" s="9"/>
      <c r="FL302" s="9"/>
      <c r="FM302" s="9"/>
      <c r="FN302" s="9"/>
      <c r="FO302" s="9"/>
      <c r="FP302" s="9"/>
      <c r="FQ302" s="9"/>
      <c r="FR302" s="9"/>
      <c r="FS302" s="9"/>
      <c r="FT302" s="9"/>
      <c r="FU302" s="9"/>
      <c r="FV302" s="9"/>
      <c r="FW302" s="9"/>
      <c r="FX302" s="9"/>
      <c r="FY302" s="9"/>
      <c r="FZ302" s="9"/>
    </row>
    <row r="303" spans="2:182" s="105" customFormat="1" ht="14.45" customHeight="1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6"/>
      <c r="Z303" s="107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  <c r="EN303" s="9"/>
      <c r="EO303" s="9"/>
      <c r="EP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E303" s="9"/>
      <c r="FF303" s="9"/>
      <c r="FG303" s="9"/>
      <c r="FH303" s="9"/>
      <c r="FI303" s="9"/>
      <c r="FJ303" s="9"/>
      <c r="FK303" s="9"/>
      <c r="FL303" s="9"/>
      <c r="FM303" s="9"/>
      <c r="FN303" s="9"/>
      <c r="FO303" s="9"/>
      <c r="FP303" s="9"/>
      <c r="FQ303" s="9"/>
      <c r="FR303" s="9"/>
      <c r="FS303" s="9"/>
      <c r="FT303" s="9"/>
      <c r="FU303" s="9"/>
      <c r="FV303" s="9"/>
      <c r="FW303" s="9"/>
      <c r="FX303" s="9"/>
      <c r="FY303" s="9"/>
      <c r="FZ303" s="9"/>
    </row>
    <row r="304" spans="2:182" s="105" customFormat="1" ht="14.45" customHeight="1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6"/>
      <c r="Z304" s="107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  <c r="EN304" s="9"/>
      <c r="EO304" s="9"/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  <c r="FI304" s="9"/>
      <c r="FJ304" s="9"/>
      <c r="FK304" s="9"/>
      <c r="FL304" s="9"/>
      <c r="FM304" s="9"/>
      <c r="FN304" s="9"/>
      <c r="FO304" s="9"/>
      <c r="FP304" s="9"/>
      <c r="FQ304" s="9"/>
      <c r="FR304" s="9"/>
      <c r="FS304" s="9"/>
      <c r="FT304" s="9"/>
      <c r="FU304" s="9"/>
      <c r="FV304" s="9"/>
      <c r="FW304" s="9"/>
      <c r="FX304" s="9"/>
      <c r="FY304" s="9"/>
      <c r="FZ304" s="9"/>
    </row>
    <row r="305" spans="2:182" s="105" customFormat="1" ht="14.45" customHeight="1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6"/>
      <c r="Z305" s="107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</row>
    <row r="306" spans="2:182" s="105" customFormat="1" ht="14.45" customHeight="1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6"/>
      <c r="Z306" s="107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9"/>
      <c r="FU306" s="9"/>
      <c r="FV306" s="9"/>
      <c r="FW306" s="9"/>
      <c r="FX306" s="9"/>
      <c r="FY306" s="9"/>
      <c r="FZ306" s="9"/>
    </row>
    <row r="307" spans="2:182" s="105" customFormat="1" ht="14.45" customHeight="1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6"/>
      <c r="Z307" s="107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</row>
    <row r="308" spans="2:182" s="105" customFormat="1" ht="14.45" customHeight="1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6"/>
      <c r="Z308" s="107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</row>
    <row r="309" spans="2:182" s="105" customFormat="1" ht="14.45" customHeight="1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6"/>
      <c r="Z309" s="107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  <c r="EN309" s="9"/>
      <c r="EO309" s="9"/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  <c r="FI309" s="9"/>
      <c r="FJ309" s="9"/>
      <c r="FK309" s="9"/>
      <c r="FL309" s="9"/>
      <c r="FM309" s="9"/>
      <c r="FN309" s="9"/>
      <c r="FO309" s="9"/>
      <c r="FP309" s="9"/>
      <c r="FQ309" s="9"/>
      <c r="FR309" s="9"/>
      <c r="FS309" s="9"/>
      <c r="FT309" s="9"/>
      <c r="FU309" s="9"/>
      <c r="FV309" s="9"/>
      <c r="FW309" s="9"/>
      <c r="FX309" s="9"/>
      <c r="FY309" s="9"/>
      <c r="FZ309" s="9"/>
    </row>
    <row r="310" spans="2:182" s="105" customFormat="1" ht="14.45" customHeight="1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6"/>
      <c r="Z310" s="107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</row>
    <row r="311" spans="2:182" s="105" customFormat="1" ht="14.45" customHeight="1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6"/>
      <c r="Z311" s="107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  <c r="EN311" s="9"/>
      <c r="EO311" s="9"/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  <c r="FI311" s="9"/>
      <c r="FJ311" s="9"/>
      <c r="FK311" s="9"/>
      <c r="FL311" s="9"/>
      <c r="FM311" s="9"/>
      <c r="FN311" s="9"/>
      <c r="FO311" s="9"/>
      <c r="FP311" s="9"/>
      <c r="FQ311" s="9"/>
      <c r="FR311" s="9"/>
      <c r="FS311" s="9"/>
      <c r="FT311" s="9"/>
      <c r="FU311" s="9"/>
      <c r="FV311" s="9"/>
      <c r="FW311" s="9"/>
      <c r="FX311" s="9"/>
      <c r="FY311" s="9"/>
      <c r="FZ311" s="9"/>
    </row>
    <row r="312" spans="2:182" s="105" customFormat="1" ht="14.45" customHeight="1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6"/>
      <c r="Z312" s="107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  <c r="EN312" s="9"/>
      <c r="EO312" s="9"/>
      <c r="EP312" s="9"/>
      <c r="EQ312" s="9"/>
      <c r="ER312" s="9"/>
      <c r="ES312" s="9"/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9"/>
      <c r="FS312" s="9"/>
      <c r="FT312" s="9"/>
      <c r="FU312" s="9"/>
      <c r="FV312" s="9"/>
      <c r="FW312" s="9"/>
      <c r="FX312" s="9"/>
      <c r="FY312" s="9"/>
      <c r="FZ312" s="9"/>
    </row>
    <row r="313" spans="2:182" s="105" customFormat="1" ht="14.45" customHeight="1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6"/>
      <c r="Z313" s="107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  <c r="EN313" s="9"/>
      <c r="EO313" s="9"/>
      <c r="EP313" s="9"/>
      <c r="EQ313" s="9"/>
      <c r="ER313" s="9"/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E313" s="9"/>
      <c r="FF313" s="9"/>
      <c r="FG313" s="9"/>
      <c r="FH313" s="9"/>
      <c r="FI313" s="9"/>
      <c r="FJ313" s="9"/>
      <c r="FK313" s="9"/>
      <c r="FL313" s="9"/>
      <c r="FM313" s="9"/>
      <c r="FN313" s="9"/>
      <c r="FO313" s="9"/>
      <c r="FP313" s="9"/>
      <c r="FQ313" s="9"/>
      <c r="FR313" s="9"/>
      <c r="FS313" s="9"/>
      <c r="FT313" s="9"/>
      <c r="FU313" s="9"/>
      <c r="FV313" s="9"/>
      <c r="FW313" s="9"/>
      <c r="FX313" s="9"/>
      <c r="FY313" s="9"/>
      <c r="FZ313" s="9"/>
    </row>
    <row r="314" spans="2:182" s="105" customFormat="1" ht="14.45" customHeight="1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6"/>
      <c r="Z314" s="107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/>
      <c r="FL314" s="9"/>
      <c r="FM314" s="9"/>
      <c r="FN314" s="9"/>
      <c r="FO314" s="9"/>
      <c r="FP314" s="9"/>
      <c r="FQ314" s="9"/>
      <c r="FR314" s="9"/>
      <c r="FS314" s="9"/>
      <c r="FT314" s="9"/>
      <c r="FU314" s="9"/>
      <c r="FV314" s="9"/>
      <c r="FW314" s="9"/>
      <c r="FX314" s="9"/>
      <c r="FY314" s="9"/>
      <c r="FZ314" s="9"/>
    </row>
    <row r="315" spans="2:182" s="105" customFormat="1" ht="14.45" customHeight="1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6"/>
      <c r="Z315" s="107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9"/>
      <c r="FK315" s="9"/>
      <c r="FL315" s="9"/>
      <c r="FM315" s="9"/>
      <c r="FN315" s="9"/>
      <c r="FO315" s="9"/>
      <c r="FP315" s="9"/>
      <c r="FQ315" s="9"/>
      <c r="FR315" s="9"/>
      <c r="FS315" s="9"/>
      <c r="FT315" s="9"/>
      <c r="FU315" s="9"/>
      <c r="FV315" s="9"/>
      <c r="FW315" s="9"/>
      <c r="FX315" s="9"/>
      <c r="FY315" s="9"/>
      <c r="FZ315" s="9"/>
    </row>
    <row r="316" spans="2:182" s="105" customFormat="1" ht="14.45" customHeight="1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6"/>
      <c r="Z316" s="107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9"/>
      <c r="FS316" s="9"/>
      <c r="FT316" s="9"/>
      <c r="FU316" s="9"/>
      <c r="FV316" s="9"/>
      <c r="FW316" s="9"/>
      <c r="FX316" s="9"/>
      <c r="FY316" s="9"/>
      <c r="FZ316" s="9"/>
    </row>
    <row r="317" spans="2:182" s="105" customFormat="1" ht="14.45" customHeight="1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6"/>
      <c r="Z317" s="107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  <c r="FI317" s="9"/>
      <c r="FJ317" s="9"/>
      <c r="FK317" s="9"/>
      <c r="FL317" s="9"/>
      <c r="FM317" s="9"/>
      <c r="FN317" s="9"/>
      <c r="FO317" s="9"/>
      <c r="FP317" s="9"/>
      <c r="FQ317" s="9"/>
      <c r="FR317" s="9"/>
      <c r="FS317" s="9"/>
      <c r="FT317" s="9"/>
      <c r="FU317" s="9"/>
      <c r="FV317" s="9"/>
      <c r="FW317" s="9"/>
      <c r="FX317" s="9"/>
      <c r="FY317" s="9"/>
      <c r="FZ317" s="9"/>
    </row>
    <row r="318" spans="2:182" s="105" customFormat="1" ht="14.45" customHeight="1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6"/>
      <c r="Z318" s="107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  <c r="FO318" s="9"/>
      <c r="FP318" s="9"/>
      <c r="FQ318" s="9"/>
      <c r="FR318" s="9"/>
      <c r="FS318" s="9"/>
      <c r="FT318" s="9"/>
      <c r="FU318" s="9"/>
      <c r="FV318" s="9"/>
      <c r="FW318" s="9"/>
      <c r="FX318" s="9"/>
      <c r="FY318" s="9"/>
      <c r="FZ318" s="9"/>
    </row>
    <row r="319" spans="2:182" s="105" customFormat="1" ht="14.45" customHeight="1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6"/>
      <c r="Z319" s="107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  <c r="EN319" s="9"/>
      <c r="EO319" s="9"/>
      <c r="EP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E319" s="9"/>
      <c r="FF319" s="9"/>
      <c r="FG319" s="9"/>
      <c r="FH319" s="9"/>
      <c r="FI319" s="9"/>
      <c r="FJ319" s="9"/>
      <c r="FK319" s="9"/>
      <c r="FL319" s="9"/>
      <c r="FM319" s="9"/>
      <c r="FN319" s="9"/>
      <c r="FO319" s="9"/>
      <c r="FP319" s="9"/>
      <c r="FQ319" s="9"/>
      <c r="FR319" s="9"/>
      <c r="FS319" s="9"/>
      <c r="FT319" s="9"/>
      <c r="FU319" s="9"/>
      <c r="FV319" s="9"/>
      <c r="FW319" s="9"/>
      <c r="FX319" s="9"/>
      <c r="FY319" s="9"/>
      <c r="FZ319" s="9"/>
    </row>
    <row r="320" spans="2:182" s="105" customFormat="1" ht="14.45" customHeight="1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6"/>
      <c r="Z320" s="107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  <c r="FO320" s="9"/>
      <c r="FP320" s="9"/>
      <c r="FQ320" s="9"/>
      <c r="FR320" s="9"/>
      <c r="FS320" s="9"/>
      <c r="FT320" s="9"/>
      <c r="FU320" s="9"/>
      <c r="FV320" s="9"/>
      <c r="FW320" s="9"/>
      <c r="FX320" s="9"/>
      <c r="FY320" s="9"/>
      <c r="FZ320" s="9"/>
    </row>
    <row r="321" spans="2:182" s="105" customFormat="1" ht="14.45" customHeight="1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6"/>
      <c r="Z321" s="107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  <c r="FI321" s="9"/>
      <c r="FJ321" s="9"/>
      <c r="FK321" s="9"/>
      <c r="FL321" s="9"/>
      <c r="FM321" s="9"/>
      <c r="FN321" s="9"/>
      <c r="FO321" s="9"/>
      <c r="FP321" s="9"/>
      <c r="FQ321" s="9"/>
      <c r="FR321" s="9"/>
      <c r="FS321" s="9"/>
      <c r="FT321" s="9"/>
      <c r="FU321" s="9"/>
      <c r="FV321" s="9"/>
      <c r="FW321" s="9"/>
      <c r="FX321" s="9"/>
      <c r="FY321" s="9"/>
      <c r="FZ321" s="9"/>
    </row>
    <row r="322" spans="2:182" s="105" customFormat="1" ht="14.45" customHeight="1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6"/>
      <c r="Z322" s="107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  <c r="FI322" s="9"/>
      <c r="FJ322" s="9"/>
      <c r="FK322" s="9"/>
      <c r="FL322" s="9"/>
      <c r="FM322" s="9"/>
      <c r="FN322" s="9"/>
      <c r="FO322" s="9"/>
      <c r="FP322" s="9"/>
      <c r="FQ322" s="9"/>
      <c r="FR322" s="9"/>
      <c r="FS322" s="9"/>
      <c r="FT322" s="9"/>
      <c r="FU322" s="9"/>
      <c r="FV322" s="9"/>
      <c r="FW322" s="9"/>
      <c r="FX322" s="9"/>
      <c r="FY322" s="9"/>
      <c r="FZ322" s="9"/>
    </row>
    <row r="323" spans="2:182" s="105" customFormat="1" ht="14.45" customHeight="1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6"/>
      <c r="Z323" s="107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  <c r="EN323" s="9"/>
      <c r="EO323" s="9"/>
      <c r="EP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E323" s="9"/>
      <c r="FF323" s="9"/>
      <c r="FG323" s="9"/>
      <c r="FH323" s="9"/>
      <c r="FI323" s="9"/>
      <c r="FJ323" s="9"/>
      <c r="FK323" s="9"/>
      <c r="FL323" s="9"/>
      <c r="FM323" s="9"/>
      <c r="FN323" s="9"/>
      <c r="FO323" s="9"/>
      <c r="FP323" s="9"/>
      <c r="FQ323" s="9"/>
      <c r="FR323" s="9"/>
      <c r="FS323" s="9"/>
      <c r="FT323" s="9"/>
      <c r="FU323" s="9"/>
      <c r="FV323" s="9"/>
      <c r="FW323" s="9"/>
      <c r="FX323" s="9"/>
      <c r="FY323" s="9"/>
      <c r="FZ323" s="9"/>
    </row>
    <row r="324" spans="2:182" s="105" customFormat="1" ht="14.45" customHeight="1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6"/>
      <c r="Z324" s="107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  <c r="EN324" s="9"/>
      <c r="EO324" s="9"/>
      <c r="EP324" s="9"/>
      <c r="EQ324" s="9"/>
      <c r="ER324" s="9"/>
      <c r="ES324" s="9"/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/>
      <c r="FI324" s="9"/>
      <c r="FJ324" s="9"/>
      <c r="FK324" s="9"/>
      <c r="FL324" s="9"/>
      <c r="FM324" s="9"/>
      <c r="FN324" s="9"/>
      <c r="FO324" s="9"/>
      <c r="FP324" s="9"/>
      <c r="FQ324" s="9"/>
      <c r="FR324" s="9"/>
      <c r="FS324" s="9"/>
      <c r="FT324" s="9"/>
      <c r="FU324" s="9"/>
      <c r="FV324" s="9"/>
      <c r="FW324" s="9"/>
      <c r="FX324" s="9"/>
      <c r="FY324" s="9"/>
      <c r="FZ324" s="9"/>
    </row>
    <row r="325" spans="2:182" s="105" customFormat="1" ht="14.45" customHeight="1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6"/>
      <c r="Z325" s="107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  <c r="EN325" s="9"/>
      <c r="EO325" s="9"/>
      <c r="EP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E325" s="9"/>
      <c r="FF325" s="9"/>
      <c r="FG325" s="9"/>
      <c r="FH325" s="9"/>
      <c r="FI325" s="9"/>
      <c r="FJ325" s="9"/>
      <c r="FK325" s="9"/>
      <c r="FL325" s="9"/>
      <c r="FM325" s="9"/>
      <c r="FN325" s="9"/>
      <c r="FO325" s="9"/>
      <c r="FP325" s="9"/>
      <c r="FQ325" s="9"/>
      <c r="FR325" s="9"/>
      <c r="FS325" s="9"/>
      <c r="FT325" s="9"/>
      <c r="FU325" s="9"/>
      <c r="FV325" s="9"/>
      <c r="FW325" s="9"/>
      <c r="FX325" s="9"/>
      <c r="FY325" s="9"/>
      <c r="FZ325" s="9"/>
    </row>
    <row r="326" spans="2:182" s="105" customFormat="1" ht="14.45" customHeight="1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6"/>
      <c r="Z326" s="107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  <c r="EN326" s="9"/>
      <c r="EO326" s="9"/>
      <c r="EP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E326" s="9"/>
      <c r="FF326" s="9"/>
      <c r="FG326" s="9"/>
      <c r="FH326" s="9"/>
      <c r="FI326" s="9"/>
      <c r="FJ326" s="9"/>
      <c r="FK326" s="9"/>
      <c r="FL326" s="9"/>
      <c r="FM326" s="9"/>
      <c r="FN326" s="9"/>
      <c r="FO326" s="9"/>
      <c r="FP326" s="9"/>
      <c r="FQ326" s="9"/>
      <c r="FR326" s="9"/>
      <c r="FS326" s="9"/>
      <c r="FT326" s="9"/>
      <c r="FU326" s="9"/>
      <c r="FV326" s="9"/>
      <c r="FW326" s="9"/>
      <c r="FX326" s="9"/>
      <c r="FY326" s="9"/>
      <c r="FZ326" s="9"/>
    </row>
    <row r="327" spans="2:182" s="105" customFormat="1" ht="14.45" customHeight="1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6"/>
      <c r="Z327" s="107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9"/>
      <c r="EO327" s="9"/>
      <c r="EP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  <c r="FI327" s="9"/>
      <c r="FJ327" s="9"/>
      <c r="FK327" s="9"/>
      <c r="FL327" s="9"/>
      <c r="FM327" s="9"/>
      <c r="FN327" s="9"/>
      <c r="FO327" s="9"/>
      <c r="FP327" s="9"/>
      <c r="FQ327" s="9"/>
      <c r="FR327" s="9"/>
      <c r="FS327" s="9"/>
      <c r="FT327" s="9"/>
      <c r="FU327" s="9"/>
      <c r="FV327" s="9"/>
      <c r="FW327" s="9"/>
      <c r="FX327" s="9"/>
      <c r="FY327" s="9"/>
      <c r="FZ327" s="9"/>
    </row>
    <row r="328" spans="2:182" s="105" customFormat="1" ht="14.45" customHeight="1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6"/>
      <c r="Z328" s="107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  <c r="EN328" s="9"/>
      <c r="EO328" s="9"/>
      <c r="EP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E328" s="9"/>
      <c r="FF328" s="9"/>
      <c r="FG328" s="9"/>
      <c r="FH328" s="9"/>
      <c r="FI328" s="9"/>
      <c r="FJ328" s="9"/>
      <c r="FK328" s="9"/>
      <c r="FL328" s="9"/>
      <c r="FM328" s="9"/>
      <c r="FN328" s="9"/>
      <c r="FO328" s="9"/>
      <c r="FP328" s="9"/>
      <c r="FQ328" s="9"/>
      <c r="FR328" s="9"/>
      <c r="FS328" s="9"/>
      <c r="FT328" s="9"/>
      <c r="FU328" s="9"/>
      <c r="FV328" s="9"/>
      <c r="FW328" s="9"/>
      <c r="FX328" s="9"/>
      <c r="FY328" s="9"/>
      <c r="FZ328" s="9"/>
    </row>
    <row r="329" spans="2:182" s="105" customFormat="1" ht="14.45" customHeight="1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6"/>
      <c r="Z329" s="107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  <c r="FI329" s="9"/>
      <c r="FJ329" s="9"/>
      <c r="FK329" s="9"/>
      <c r="FL329" s="9"/>
      <c r="FM329" s="9"/>
      <c r="FN329" s="9"/>
      <c r="FO329" s="9"/>
      <c r="FP329" s="9"/>
      <c r="FQ329" s="9"/>
      <c r="FR329" s="9"/>
      <c r="FS329" s="9"/>
      <c r="FT329" s="9"/>
      <c r="FU329" s="9"/>
      <c r="FV329" s="9"/>
      <c r="FW329" s="9"/>
      <c r="FX329" s="9"/>
      <c r="FY329" s="9"/>
      <c r="FZ329" s="9"/>
    </row>
    <row r="330" spans="2:182" s="105" customFormat="1" ht="14.45" customHeight="1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6"/>
      <c r="Z330" s="107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  <c r="EN330" s="9"/>
      <c r="EO330" s="9"/>
      <c r="EP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E330" s="9"/>
      <c r="FF330" s="9"/>
      <c r="FG330" s="9"/>
      <c r="FH330" s="9"/>
      <c r="FI330" s="9"/>
      <c r="FJ330" s="9"/>
      <c r="FK330" s="9"/>
      <c r="FL330" s="9"/>
      <c r="FM330" s="9"/>
      <c r="FN330" s="9"/>
      <c r="FO330" s="9"/>
      <c r="FP330" s="9"/>
      <c r="FQ330" s="9"/>
      <c r="FR330" s="9"/>
      <c r="FS330" s="9"/>
      <c r="FT330" s="9"/>
      <c r="FU330" s="9"/>
      <c r="FV330" s="9"/>
      <c r="FW330" s="9"/>
      <c r="FX330" s="9"/>
      <c r="FY330" s="9"/>
      <c r="FZ330" s="9"/>
    </row>
    <row r="331" spans="2:182" s="105" customFormat="1" ht="14.45" customHeight="1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6"/>
      <c r="Z331" s="107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  <c r="EN331" s="9"/>
      <c r="EO331" s="9"/>
      <c r="EP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E331" s="9"/>
      <c r="FF331" s="9"/>
      <c r="FG331" s="9"/>
      <c r="FH331" s="9"/>
      <c r="FI331" s="9"/>
      <c r="FJ331" s="9"/>
      <c r="FK331" s="9"/>
      <c r="FL331" s="9"/>
      <c r="FM331" s="9"/>
      <c r="FN331" s="9"/>
      <c r="FO331" s="9"/>
      <c r="FP331" s="9"/>
      <c r="FQ331" s="9"/>
      <c r="FR331" s="9"/>
      <c r="FS331" s="9"/>
      <c r="FT331" s="9"/>
      <c r="FU331" s="9"/>
      <c r="FV331" s="9"/>
      <c r="FW331" s="9"/>
      <c r="FX331" s="9"/>
      <c r="FY331" s="9"/>
      <c r="FZ331" s="9"/>
    </row>
    <row r="332" spans="2:182" s="105" customFormat="1" ht="14.45" customHeight="1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6"/>
      <c r="Z332" s="107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  <c r="EN332" s="9"/>
      <c r="EO332" s="9"/>
      <c r="EP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E332" s="9"/>
      <c r="FF332" s="9"/>
      <c r="FG332" s="9"/>
      <c r="FH332" s="9"/>
      <c r="FI332" s="9"/>
      <c r="FJ332" s="9"/>
      <c r="FK332" s="9"/>
      <c r="FL332" s="9"/>
      <c r="FM332" s="9"/>
      <c r="FN332" s="9"/>
      <c r="FO332" s="9"/>
      <c r="FP332" s="9"/>
      <c r="FQ332" s="9"/>
      <c r="FR332" s="9"/>
      <c r="FS332" s="9"/>
      <c r="FT332" s="9"/>
      <c r="FU332" s="9"/>
      <c r="FV332" s="9"/>
      <c r="FW332" s="9"/>
      <c r="FX332" s="9"/>
      <c r="FY332" s="9"/>
      <c r="FZ332" s="9"/>
    </row>
    <row r="333" spans="2:182" s="105" customFormat="1" ht="14.45" customHeight="1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6"/>
      <c r="Z333" s="107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  <c r="FO333" s="9"/>
      <c r="FP333" s="9"/>
      <c r="FQ333" s="9"/>
      <c r="FR333" s="9"/>
      <c r="FS333" s="9"/>
      <c r="FT333" s="9"/>
      <c r="FU333" s="9"/>
      <c r="FV333" s="9"/>
      <c r="FW333" s="9"/>
      <c r="FX333" s="9"/>
      <c r="FY333" s="9"/>
      <c r="FZ333" s="9"/>
    </row>
    <row r="334" spans="2:182" s="105" customFormat="1" ht="14.45" customHeight="1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6"/>
      <c r="Z334" s="107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E334" s="9"/>
      <c r="FF334" s="9"/>
      <c r="FG334" s="9"/>
      <c r="FH334" s="9"/>
      <c r="FI334" s="9"/>
      <c r="FJ334" s="9"/>
      <c r="FK334" s="9"/>
      <c r="FL334" s="9"/>
      <c r="FM334" s="9"/>
      <c r="FN334" s="9"/>
      <c r="FO334" s="9"/>
      <c r="FP334" s="9"/>
      <c r="FQ334" s="9"/>
      <c r="FR334" s="9"/>
      <c r="FS334" s="9"/>
      <c r="FT334" s="9"/>
      <c r="FU334" s="9"/>
      <c r="FV334" s="9"/>
      <c r="FW334" s="9"/>
      <c r="FX334" s="9"/>
      <c r="FY334" s="9"/>
      <c r="FZ334" s="9"/>
    </row>
    <row r="335" spans="2:182" s="105" customFormat="1" ht="14.45" customHeight="1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6"/>
      <c r="Z335" s="107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  <c r="EN335" s="9"/>
      <c r="EO335" s="9"/>
      <c r="EP335" s="9"/>
      <c r="EQ335" s="9"/>
      <c r="ER335" s="9"/>
      <c r="ES335" s="9"/>
      <c r="ET335" s="9"/>
      <c r="EU335" s="9"/>
      <c r="EV335" s="9"/>
      <c r="EW335" s="9"/>
      <c r="EX335" s="9"/>
      <c r="EY335" s="9"/>
      <c r="EZ335" s="9"/>
      <c r="FA335" s="9"/>
      <c r="FB335" s="9"/>
      <c r="FC335" s="9"/>
      <c r="FD335" s="9"/>
      <c r="FE335" s="9"/>
      <c r="FF335" s="9"/>
      <c r="FG335" s="9"/>
      <c r="FH335" s="9"/>
      <c r="FI335" s="9"/>
      <c r="FJ335" s="9"/>
      <c r="FK335" s="9"/>
      <c r="FL335" s="9"/>
      <c r="FM335" s="9"/>
      <c r="FN335" s="9"/>
      <c r="FO335" s="9"/>
      <c r="FP335" s="9"/>
      <c r="FQ335" s="9"/>
      <c r="FR335" s="9"/>
      <c r="FS335" s="9"/>
      <c r="FT335" s="9"/>
      <c r="FU335" s="9"/>
      <c r="FV335" s="9"/>
      <c r="FW335" s="9"/>
      <c r="FX335" s="9"/>
      <c r="FY335" s="9"/>
      <c r="FZ335" s="9"/>
    </row>
    <row r="336" spans="2:182" s="105" customFormat="1" ht="14.45" customHeight="1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6"/>
      <c r="Z336" s="107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  <c r="EN336" s="9"/>
      <c r="EO336" s="9"/>
      <c r="EP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E336" s="9"/>
      <c r="FF336" s="9"/>
      <c r="FG336" s="9"/>
      <c r="FH336" s="9"/>
      <c r="FI336" s="9"/>
      <c r="FJ336" s="9"/>
      <c r="FK336" s="9"/>
      <c r="FL336" s="9"/>
      <c r="FM336" s="9"/>
      <c r="FN336" s="9"/>
      <c r="FO336" s="9"/>
      <c r="FP336" s="9"/>
      <c r="FQ336" s="9"/>
      <c r="FR336" s="9"/>
      <c r="FS336" s="9"/>
      <c r="FT336" s="9"/>
      <c r="FU336" s="9"/>
      <c r="FV336" s="9"/>
      <c r="FW336" s="9"/>
      <c r="FX336" s="9"/>
      <c r="FY336" s="9"/>
      <c r="FZ336" s="9"/>
    </row>
    <row r="337" spans="2:182" s="105" customFormat="1" ht="14.45" customHeight="1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6"/>
      <c r="Z337" s="107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9"/>
      <c r="FU337" s="9"/>
      <c r="FV337" s="9"/>
      <c r="FW337" s="9"/>
      <c r="FX337" s="9"/>
      <c r="FY337" s="9"/>
      <c r="FZ337" s="9"/>
    </row>
    <row r="338" spans="2:182" s="105" customFormat="1" ht="14.45" customHeight="1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6"/>
      <c r="Z338" s="107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  <c r="FI338" s="9"/>
      <c r="FJ338" s="9"/>
      <c r="FK338" s="9"/>
      <c r="FL338" s="9"/>
      <c r="FM338" s="9"/>
      <c r="FN338" s="9"/>
      <c r="FO338" s="9"/>
      <c r="FP338" s="9"/>
      <c r="FQ338" s="9"/>
      <c r="FR338" s="9"/>
      <c r="FS338" s="9"/>
      <c r="FT338" s="9"/>
      <c r="FU338" s="9"/>
      <c r="FV338" s="9"/>
      <c r="FW338" s="9"/>
      <c r="FX338" s="9"/>
      <c r="FY338" s="9"/>
      <c r="FZ338" s="9"/>
    </row>
    <row r="339" spans="2:182" s="105" customFormat="1" ht="14.45" customHeight="1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6"/>
      <c r="Z339" s="107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9"/>
      <c r="FJ339" s="9"/>
      <c r="FK339" s="9"/>
      <c r="FL339" s="9"/>
      <c r="FM339" s="9"/>
      <c r="FN339" s="9"/>
      <c r="FO339" s="9"/>
      <c r="FP339" s="9"/>
      <c r="FQ339" s="9"/>
      <c r="FR339" s="9"/>
      <c r="FS339" s="9"/>
      <c r="FT339" s="9"/>
      <c r="FU339" s="9"/>
      <c r="FV339" s="9"/>
      <c r="FW339" s="9"/>
      <c r="FX339" s="9"/>
      <c r="FY339" s="9"/>
      <c r="FZ339" s="9"/>
    </row>
    <row r="340" spans="2:182" s="105" customFormat="1" ht="14.45" customHeight="1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6"/>
      <c r="Z340" s="107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  <c r="FO340" s="9"/>
      <c r="FP340" s="9"/>
      <c r="FQ340" s="9"/>
      <c r="FR340" s="9"/>
      <c r="FS340" s="9"/>
      <c r="FT340" s="9"/>
      <c r="FU340" s="9"/>
      <c r="FV340" s="9"/>
      <c r="FW340" s="9"/>
      <c r="FX340" s="9"/>
      <c r="FY340" s="9"/>
      <c r="FZ340" s="9"/>
    </row>
    <row r="341" spans="2:182" s="105" customFormat="1" ht="14.45" customHeight="1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6"/>
      <c r="Z341" s="107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  <c r="FO341" s="9"/>
      <c r="FP341" s="9"/>
      <c r="FQ341" s="9"/>
      <c r="FR341" s="9"/>
      <c r="FS341" s="9"/>
      <c r="FT341" s="9"/>
      <c r="FU341" s="9"/>
      <c r="FV341" s="9"/>
      <c r="FW341" s="9"/>
      <c r="FX341" s="9"/>
      <c r="FY341" s="9"/>
      <c r="FZ341" s="9"/>
    </row>
    <row r="342" spans="2:182" s="105" customFormat="1" ht="14.45" customHeight="1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6"/>
      <c r="Z342" s="107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</row>
    <row r="343" spans="2:182" s="105" customFormat="1" ht="14.45" customHeight="1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6"/>
      <c r="Z343" s="107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  <c r="FO343" s="9"/>
      <c r="FP343" s="9"/>
      <c r="FQ343" s="9"/>
      <c r="FR343" s="9"/>
      <c r="FS343" s="9"/>
      <c r="FT343" s="9"/>
      <c r="FU343" s="9"/>
      <c r="FV343" s="9"/>
      <c r="FW343" s="9"/>
      <c r="FX343" s="9"/>
      <c r="FY343" s="9"/>
      <c r="FZ343" s="9"/>
    </row>
    <row r="344" spans="2:182" s="105" customFormat="1" ht="14.45" customHeight="1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6"/>
      <c r="Z344" s="107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  <c r="FO344" s="9"/>
      <c r="FP344" s="9"/>
      <c r="FQ344" s="9"/>
      <c r="FR344" s="9"/>
      <c r="FS344" s="9"/>
      <c r="FT344" s="9"/>
      <c r="FU344" s="9"/>
      <c r="FV344" s="9"/>
      <c r="FW344" s="9"/>
      <c r="FX344" s="9"/>
      <c r="FY344" s="9"/>
      <c r="FZ344" s="9"/>
    </row>
    <row r="345" spans="2:182" s="105" customFormat="1" ht="14.45" customHeight="1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6"/>
      <c r="Z345" s="107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9"/>
      <c r="FK345" s="9"/>
      <c r="FL345" s="9"/>
      <c r="FM345" s="9"/>
      <c r="FN345" s="9"/>
      <c r="FO345" s="9"/>
      <c r="FP345" s="9"/>
      <c r="FQ345" s="9"/>
      <c r="FR345" s="9"/>
      <c r="FS345" s="9"/>
      <c r="FT345" s="9"/>
      <c r="FU345" s="9"/>
      <c r="FV345" s="9"/>
      <c r="FW345" s="9"/>
      <c r="FX345" s="9"/>
      <c r="FY345" s="9"/>
      <c r="FZ345" s="9"/>
    </row>
    <row r="346" spans="2:182" s="105" customFormat="1" ht="14.45" customHeight="1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6"/>
      <c r="Z346" s="107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9"/>
      <c r="FJ346" s="9"/>
      <c r="FK346" s="9"/>
      <c r="FL346" s="9"/>
      <c r="FM346" s="9"/>
      <c r="FN346" s="9"/>
      <c r="FO346" s="9"/>
      <c r="FP346" s="9"/>
      <c r="FQ346" s="9"/>
      <c r="FR346" s="9"/>
      <c r="FS346" s="9"/>
      <c r="FT346" s="9"/>
      <c r="FU346" s="9"/>
      <c r="FV346" s="9"/>
      <c r="FW346" s="9"/>
      <c r="FX346" s="9"/>
      <c r="FY346" s="9"/>
      <c r="FZ346" s="9"/>
    </row>
  </sheetData>
  <dataConsolidate/>
  <mergeCells count="19">
    <mergeCell ref="K5:L5"/>
    <mergeCell ref="N5:O5"/>
    <mergeCell ref="R5:S5"/>
    <mergeCell ref="M7:N7"/>
    <mergeCell ref="I9:J9"/>
    <mergeCell ref="M9:N9"/>
    <mergeCell ref="P9:Q9"/>
    <mergeCell ref="Y52:Z52"/>
    <mergeCell ref="Y50:Z50"/>
    <mergeCell ref="Y32:Z32"/>
    <mergeCell ref="E12:E14"/>
    <mergeCell ref="S12:T13"/>
    <mergeCell ref="M16:N16"/>
    <mergeCell ref="Y21:Z21"/>
    <mergeCell ref="Y26:Z26"/>
    <mergeCell ref="Y28:Z28"/>
    <mergeCell ref="D28:F28"/>
    <mergeCell ref="H28:I28"/>
    <mergeCell ref="Q26:R26"/>
  </mergeCells>
  <phoneticPr fontId="66" type="noConversion"/>
  <printOptions horizontalCentered="1" gridLinesSet="0"/>
  <pageMargins left="0.59055118110236227" right="0.59055118110236227" top="0.94488188976377963" bottom="0.78740157480314965" header="0.98425196850393704" footer="0.19685039370078741"/>
  <pageSetup paperSize="9" scale="95" orientation="portrait" horizontalDpi="4294967292" r:id="rId1"/>
  <headerFooter alignWithMargins="0">
    <oddFooter>&amp;R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소간지</vt:lpstr>
      <vt:lpstr>간지(가축도)</vt:lpstr>
      <vt:lpstr>가축도집계</vt:lpstr>
      <vt:lpstr>갈전7교</vt:lpstr>
      <vt:lpstr>가축도집계!Print_Area</vt:lpstr>
      <vt:lpstr>갈전7교!Print_Titles</vt:lpstr>
    </vt:vector>
  </TitlesOfParts>
  <Company>동부엔지니어링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bartlk</dc:creator>
  <cp:lastModifiedBy>직원용</cp:lastModifiedBy>
  <cp:lastPrinted>2025-11-12T01:18:42Z</cp:lastPrinted>
  <dcterms:created xsi:type="dcterms:W3CDTF">2009-07-01T10:45:18Z</dcterms:created>
  <dcterms:modified xsi:type="dcterms:W3CDTF">2026-01-15T05:35:04Z</dcterms:modified>
</cp:coreProperties>
</file>