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inas.dbeng.co.kr\구조부\공유5(2024년)\J2023067 창원죽동지구 하천기본계획 수립 및 실시설계\05 성과품\03 수량\13. 갈전7교\"/>
    </mc:Choice>
  </mc:AlternateContent>
  <xr:revisionPtr revIDLastSave="0" documentId="13_ncr:1_{B9D391C7-4194-4EAC-8C81-3AA4C1F19686}" xr6:coauthVersionLast="36" xr6:coauthVersionMax="47" xr10:uidLastSave="{00000000-0000-0000-0000-000000000000}"/>
  <bookViews>
    <workbookView xWindow="28680" yWindow="-120" windowWidth="29040" windowHeight="15840" tabRatio="833" activeTab="1" xr2:uid="{00000000-000D-0000-FFFF-FFFF00000000}"/>
  </bookViews>
  <sheets>
    <sheet name="간지" sheetId="80" r:id="rId1"/>
    <sheet name="0-1)가시설 수량 집계표" sheetId="65" r:id="rId2"/>
    <sheet name="0-2) 가시설 자재 집계표" sheetId="66" r:id="rId3"/>
    <sheet name="시점" sheetId="67" r:id="rId4"/>
    <sheet name="종점" sheetId="82" r:id="rId5"/>
  </sheets>
  <definedNames>
    <definedName name="_Order1" hidden="1">255</definedName>
    <definedName name="_Order2" hidden="1">255</definedName>
    <definedName name="aaa" localSheetId="2" hidden="1">{#N/A,#N/A,FALSE,"속도"}</definedName>
    <definedName name="aaa" localSheetId="3" hidden="1">{#N/A,#N/A,FALSE,"속도"}</definedName>
    <definedName name="aaa" localSheetId="4" hidden="1">{#N/A,#N/A,FALSE,"속도"}</definedName>
    <definedName name="aaa" hidden="1">{#N/A,#N/A,FALSE,"속도"}</definedName>
    <definedName name="HMAX">#N/A</definedName>
    <definedName name="LLFE">#N/A</definedName>
    <definedName name="_xlnm.Print_Area" localSheetId="1">'0-1)가시설 수량 집계표'!$A$1:$I$70</definedName>
    <definedName name="_xlnm.Print_Area" localSheetId="2">'0-2) 가시설 자재 집계표'!$A$1:$Q$34</definedName>
    <definedName name="_xlnm.Print_Area" localSheetId="3">시점!$A$2:$AD$239</definedName>
    <definedName name="_xlnm.Print_Area" localSheetId="4">종점!$A$2:$AD$239</definedName>
    <definedName name="_xlnm.Print_Area">#REF!</definedName>
    <definedName name="_xlnm.Print_Titles" localSheetId="1">'0-1)가시설 수량 집계표'!$1:$2</definedName>
    <definedName name="_xlnm.Print_Titles" localSheetId="2">'0-2) 가시설 자재 집계표'!$1:$2</definedName>
    <definedName name="_xlnm.Print_Titles" localSheetId="3">시점!$1:$2</definedName>
    <definedName name="_xlnm.Print_Titles" localSheetId="4">종점!$1:$2</definedName>
    <definedName name="QW" localSheetId="2" hidden="1">{#N/A,#N/A,FALSE,"배수2"}</definedName>
    <definedName name="QW" localSheetId="3" hidden="1">{#N/A,#N/A,FALSE,"배수2"}</definedName>
    <definedName name="QW" localSheetId="4" hidden="1">{#N/A,#N/A,FALSE,"배수2"}</definedName>
    <definedName name="QW" hidden="1">{#N/A,#N/A,FALSE,"배수2"}</definedName>
    <definedName name="RRR" localSheetId="2" hidden="1">{#N/A,#N/A,FALSE,"포장2"}</definedName>
    <definedName name="RRR" localSheetId="3" hidden="1">{#N/A,#N/A,FALSE,"포장2"}</definedName>
    <definedName name="RRR" localSheetId="4" hidden="1">{#N/A,#N/A,FALSE,"포장2"}</definedName>
    <definedName name="RRR" hidden="1">{#N/A,#N/A,FALSE,"포장2"}</definedName>
    <definedName name="SDCFG\" localSheetId="2" hidden="1">{#N/A,#N/A,FALSE,"운반시간"}</definedName>
    <definedName name="SDCFG\" localSheetId="3" hidden="1">{#N/A,#N/A,FALSE,"운반시간"}</definedName>
    <definedName name="SDCFG\" localSheetId="4" hidden="1">{#N/A,#N/A,FALSE,"운반시간"}</definedName>
    <definedName name="SDCFG\" hidden="1">{#N/A,#N/A,FALSE,"운반시간"}</definedName>
    <definedName name="SDF" localSheetId="2" hidden="1">{#N/A,#N/A,FALSE,"혼합골재"}</definedName>
    <definedName name="SDF" localSheetId="3" hidden="1">{#N/A,#N/A,FALSE,"혼합골재"}</definedName>
    <definedName name="SDF" localSheetId="4" hidden="1">{#N/A,#N/A,FALSE,"혼합골재"}</definedName>
    <definedName name="SDF" hidden="1">{#N/A,#N/A,FALSE,"혼합골재"}</definedName>
    <definedName name="VMAX">#N/A</definedName>
    <definedName name="wrn.2번." localSheetId="2" hidden="1">{#N/A,#N/A,FALSE,"2~8번"}</definedName>
    <definedName name="wrn.2번." localSheetId="3" hidden="1">{#N/A,#N/A,FALSE,"2~8번"}</definedName>
    <definedName name="wrn.2번." localSheetId="4" hidden="1">{#N/A,#N/A,FALSE,"2~8번"}</definedName>
    <definedName name="wrn.2번." hidden="1">{#N/A,#N/A,FALSE,"2~8번"}</definedName>
    <definedName name="wrn.골재소요량." localSheetId="2" hidden="1">{#N/A,#N/A,FALSE,"골재소요량";#N/A,#N/A,FALSE,"골재소요량"}</definedName>
    <definedName name="wrn.골재소요량." localSheetId="3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2" hidden="1">{#N/A,#N/A,FALSE,"구조2"}</definedName>
    <definedName name="wrn.구조2." localSheetId="3" hidden="1">{#N/A,#N/A,FALSE,"구조2"}</definedName>
    <definedName name="wrn.구조2." localSheetId="4" hidden="1">{#N/A,#N/A,FALSE,"구조2"}</definedName>
    <definedName name="wrn.구조2." hidden="1">{#N/A,#N/A,FALSE,"구조2"}</definedName>
    <definedName name="wrn.단가표지." localSheetId="2" hidden="1">{#N/A,#N/A,FALSE,"단가표지"}</definedName>
    <definedName name="wrn.단가표지." localSheetId="3" hidden="1">{#N/A,#N/A,FALSE,"단가표지"}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2" hidden="1">{#N/A,#N/A,FALSE,"배수1"}</definedName>
    <definedName name="wrn.배수1." localSheetId="3" hidden="1">{#N/A,#N/A,FALSE,"배수1"}</definedName>
    <definedName name="wrn.배수1." localSheetId="4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localSheetId="3" hidden="1">{#N/A,#N/A,FALSE,"배수2"}</definedName>
    <definedName name="wrn.배수2." localSheetId="4" hidden="1">{#N/A,#N/A,FALSE,"배수2"}</definedName>
    <definedName name="wrn.배수2." hidden="1">{#N/A,#N/A,FALSE,"배수2"}</definedName>
    <definedName name="wrn.부대1." localSheetId="2" hidden="1">{#N/A,#N/A,FALSE,"부대1"}</definedName>
    <definedName name="wrn.부대1." localSheetId="3" hidden="1">{#N/A,#N/A,FALSE,"부대1"}</definedName>
    <definedName name="wrn.부대1." localSheetId="4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localSheetId="3" hidden="1">{#N/A,#N/A,FALSE,"부대2"}</definedName>
    <definedName name="wrn.부대2." localSheetId="4" hidden="1">{#N/A,#N/A,FALSE,"부대2"}</definedName>
    <definedName name="wrn.부대2." hidden="1">{#N/A,#N/A,FALSE,"부대2"}</definedName>
    <definedName name="wrn.속도." localSheetId="2" hidden="1">{#N/A,#N/A,FALSE,"속도"}</definedName>
    <definedName name="wrn.속도." localSheetId="3" hidden="1">{#N/A,#N/A,FALSE,"속도"}</definedName>
    <definedName name="wrn.속도." localSheetId="4" hidden="1">{#N/A,#N/A,FALSE,"속도"}</definedName>
    <definedName name="wrn.속도." hidden="1">{#N/A,#N/A,FALSE,"속도"}</definedName>
    <definedName name="wrn.운반시간." localSheetId="2" hidden="1">{#N/A,#N/A,FALSE,"운반시간"}</definedName>
    <definedName name="wrn.운반시간." localSheetId="3" hidden="1">{#N/A,#N/A,FALSE,"운반시간"}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2" hidden="1">{#N/A,#N/A,FALSE,"이정표"}</definedName>
    <definedName name="wrn.이정표." localSheetId="3" hidden="1">{#N/A,#N/A,FALSE,"이정표"}</definedName>
    <definedName name="wrn.이정표." localSheetId="4" hidden="1">{#N/A,#N/A,FALSE,"이정표"}</definedName>
    <definedName name="wrn.이정표." hidden="1">{#N/A,#N/A,FALSE,"이정표"}</definedName>
    <definedName name="wrn.조골재." localSheetId="2" hidden="1">{#N/A,#N/A,FALSE,"조골재"}</definedName>
    <definedName name="wrn.조골재." localSheetId="3" hidden="1">{#N/A,#N/A,FALSE,"조골재"}</definedName>
    <definedName name="wrn.조골재." localSheetId="4" hidden="1">{#N/A,#N/A,FALSE,"조골재"}</definedName>
    <definedName name="wrn.조골재." hidden="1">{#N/A,#N/A,FALSE,"조골재"}</definedName>
    <definedName name="wrn.토공1." localSheetId="2" hidden="1">{#N/A,#N/A,FALSE,"구조1"}</definedName>
    <definedName name="wrn.토공1." localSheetId="3" hidden="1">{#N/A,#N/A,FALSE,"구조1"}</definedName>
    <definedName name="wrn.토공1." localSheetId="4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localSheetId="3" hidden="1">{#N/A,#N/A,FALSE,"토공2"}</definedName>
    <definedName name="wrn.토공2." localSheetId="4" hidden="1">{#N/A,#N/A,FALSE,"토공2"}</definedName>
    <definedName name="wrn.토공2." hidden="1">{#N/A,#N/A,FALSE,"토공2"}</definedName>
    <definedName name="wrn.포장1." localSheetId="2" hidden="1">{#N/A,#N/A,FALSE,"포장1";#N/A,#N/A,FALSE,"포장1"}</definedName>
    <definedName name="wrn.포장1." localSheetId="3" hidden="1">{#N/A,#N/A,FALSE,"포장1";#N/A,#N/A,FALSE,"포장1"}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localSheetId="3" hidden="1">{#N/A,#N/A,FALSE,"포장2"}</definedName>
    <definedName name="wrn.포장2." localSheetId="4" hidden="1">{#N/A,#N/A,FALSE,"포장2"}</definedName>
    <definedName name="wrn.포장2." hidden="1">{#N/A,#N/A,FALSE,"포장2"}</definedName>
    <definedName name="wrn.표지목차." localSheetId="2" hidden="1">{#N/A,#N/A,FALSE,"표지목차"}</definedName>
    <definedName name="wrn.표지목차." localSheetId="3" hidden="1">{#N/A,#N/A,FALSE,"표지목차"}</definedName>
    <definedName name="wrn.표지목차." localSheetId="4" hidden="1">{#N/A,#N/A,FALSE,"표지목차"}</definedName>
    <definedName name="wrn.표지목차." hidden="1">{#N/A,#N/A,FALSE,"표지목차"}</definedName>
    <definedName name="wrn.혼합골재." localSheetId="2" hidden="1">{#N/A,#N/A,FALSE,"혼합골재"}</definedName>
    <definedName name="wrn.혼합골재." localSheetId="3" hidden="1">{#N/A,#N/A,FALSE,"혼합골재"}</definedName>
    <definedName name="wrn.혼합골재." localSheetId="4" hidden="1">{#N/A,#N/A,FALSE,"혼합골재"}</definedName>
    <definedName name="wrn.혼합골재." hidden="1">{#N/A,#N/A,FALSE,"혼합골재"}</definedName>
    <definedName name="x" localSheetId="2" hidden="1">{#N/A,#N/A,FALSE,"운반시간"}</definedName>
    <definedName name="x" localSheetId="3" hidden="1">{#N/A,#N/A,FALSE,"운반시간"}</definedName>
    <definedName name="x" localSheetId="4" hidden="1">{#N/A,#N/A,FALSE,"운반시간"}</definedName>
    <definedName name="x" hidden="1">{#N/A,#N/A,FALSE,"운반시간"}</definedName>
    <definedName name="ㄴㄴㄴㄴㄴㄴㄴㄴ" localSheetId="2" hidden="1">{#N/A,#N/A,FALSE,"단가표지"}</definedName>
    <definedName name="ㄴㄴㄴㄴㄴㄴㄴㄴ" localSheetId="3" hidden="1">{#N/A,#N/A,FALSE,"단가표지"}</definedName>
    <definedName name="ㄴㄴㄴㄴㄴㄴㄴㄴ" localSheetId="4" hidden="1">{#N/A,#N/A,FALSE,"단가표지"}</definedName>
    <definedName name="ㄴㄴㄴㄴㄴㄴㄴㄴ" hidden="1">{#N/A,#N/A,FALSE,"단가표지"}</definedName>
    <definedName name="ㄷㄷ" localSheetId="2" hidden="1">{#N/A,#N/A,FALSE,"2~8번"}</definedName>
    <definedName name="ㄷㄷ" localSheetId="3" hidden="1">{#N/A,#N/A,FALSE,"2~8번"}</definedName>
    <definedName name="ㄷㄷ" localSheetId="4" hidden="1">{#N/A,#N/A,FALSE,"2~8번"}</definedName>
    <definedName name="ㄷㄷ" hidden="1">{#N/A,#N/A,FALSE,"2~8번"}</definedName>
    <definedName name="ㅁㄴㅇ" localSheetId="2" hidden="1">{#N/A,#N/A,FALSE,"배수1"}</definedName>
    <definedName name="ㅁㄴㅇ" localSheetId="3" hidden="1">{#N/A,#N/A,FALSE,"배수1"}</definedName>
    <definedName name="ㅁㄴㅇ" localSheetId="4" hidden="1">{#N/A,#N/A,FALSE,"배수1"}</definedName>
    <definedName name="ㅁㄴㅇ" hidden="1">{#N/A,#N/A,FALSE,"배수1"}</definedName>
    <definedName name="용동" localSheetId="2" hidden="1">{#N/A,#N/A,FALSE,"골재소요량";#N/A,#N/A,FALSE,"골재소요량"}</definedName>
    <definedName name="용동" localSheetId="3" hidden="1">{#N/A,#N/A,FALSE,"골재소요량";#N/A,#N/A,FALSE,"골재소요량"}</definedName>
    <definedName name="용동" localSheetId="4" hidden="1">{#N/A,#N/A,FALSE,"골재소요량";#N/A,#N/A,FALSE,"골재소요량"}</definedName>
    <definedName name="용동" hidden="1">{#N/A,#N/A,FALSE,"골재소요량";#N/A,#N/A,FALSE,"골재소요량"}</definedName>
    <definedName name="용동교" localSheetId="2" hidden="1">{#N/A,#N/A,FALSE,"배수1"}</definedName>
    <definedName name="용동교" localSheetId="3" hidden="1">{#N/A,#N/A,FALSE,"배수1"}</definedName>
    <definedName name="용동교" localSheetId="4" hidden="1">{#N/A,#N/A,FALSE,"배수1"}</definedName>
    <definedName name="용동교" hidden="1">{#N/A,#N/A,FALSE,"배수1"}</definedName>
    <definedName name="이정" localSheetId="2" hidden="1">{#N/A,#N/A,FALSE,"2~8번"}</definedName>
    <definedName name="이정" localSheetId="3" hidden="1">{#N/A,#N/A,FALSE,"2~8번"}</definedName>
    <definedName name="이정" localSheetId="4" hidden="1">{#N/A,#N/A,FALSE,"2~8번"}</definedName>
    <definedName name="이정" hidden="1">{#N/A,#N/A,FALSE,"2~8번"}</definedName>
    <definedName name="이종구" localSheetId="2" hidden="1">{#N/A,#N/A,FALSE,"배수1"}</definedName>
    <definedName name="이종구" localSheetId="3" hidden="1">{#N/A,#N/A,FALSE,"배수1"}</definedName>
    <definedName name="이종구" localSheetId="4" hidden="1">{#N/A,#N/A,FALSE,"배수1"}</definedName>
    <definedName name="이종구" hidden="1">{#N/A,#N/A,FALSE,"배수1"}</definedName>
    <definedName name="ㅈㅈ" localSheetId="2" hidden="1">{#N/A,#N/A,FALSE,"표지목차"}</definedName>
    <definedName name="ㅈㅈ" localSheetId="3" hidden="1">{#N/A,#N/A,FALSE,"표지목차"}</definedName>
    <definedName name="ㅈㅈ" localSheetId="4" hidden="1">{#N/A,#N/A,FALSE,"표지목차"}</definedName>
    <definedName name="ㅈㅈ" hidden="1">{#N/A,#N/A,FALSE,"표지목차"}</definedName>
    <definedName name="ㅍ49" localSheetId="4">#REF!</definedName>
    <definedName name="ㅍ49">#REF!</definedName>
  </definedNames>
  <calcPr calcId="191029" iterate="1"/>
</workbook>
</file>

<file path=xl/calcChain.xml><?xml version="1.0" encoding="utf-8"?>
<calcChain xmlns="http://schemas.openxmlformats.org/spreadsheetml/2006/main">
  <c r="H60" i="65" l="1"/>
  <c r="H61" i="65"/>
  <c r="H62" i="65"/>
  <c r="H63" i="65"/>
  <c r="H65" i="65"/>
  <c r="H66" i="65"/>
  <c r="H67" i="65"/>
  <c r="H68" i="65"/>
  <c r="H69" i="65"/>
  <c r="H70" i="65"/>
  <c r="E69" i="65"/>
  <c r="E68" i="65"/>
  <c r="E67" i="65"/>
  <c r="D69" i="65"/>
  <c r="D68" i="65"/>
  <c r="D67" i="65"/>
  <c r="E59" i="65"/>
  <c r="E58" i="65"/>
  <c r="E57" i="65"/>
  <c r="E56" i="65"/>
  <c r="AA238" i="82"/>
  <c r="AA236" i="82"/>
  <c r="AA234" i="82"/>
  <c r="AA238" i="67"/>
  <c r="AA236" i="67"/>
  <c r="AA234" i="67"/>
  <c r="X54" i="82" l="1"/>
  <c r="X51" i="82"/>
  <c r="X48" i="82"/>
  <c r="X54" i="67" l="1"/>
  <c r="X51" i="67"/>
  <c r="X48" i="67"/>
  <c r="E55" i="65" l="1"/>
  <c r="E54" i="65"/>
  <c r="E53" i="65"/>
  <c r="E64" i="65"/>
  <c r="E49" i="65"/>
  <c r="E48" i="65"/>
  <c r="E47" i="65"/>
  <c r="E46" i="65"/>
  <c r="E44" i="65"/>
  <c r="E43" i="65"/>
  <c r="E42" i="65"/>
  <c r="E41" i="65"/>
  <c r="E40" i="65"/>
  <c r="E39" i="65"/>
  <c r="E38" i="65"/>
  <c r="E37" i="65"/>
  <c r="E36" i="65"/>
  <c r="E34" i="65"/>
  <c r="E33" i="65"/>
  <c r="E31" i="65"/>
  <c r="E30" i="65"/>
  <c r="E26" i="65"/>
  <c r="E25" i="65"/>
  <c r="E24" i="65"/>
  <c r="E23" i="65"/>
  <c r="E21" i="65"/>
  <c r="J32" i="66"/>
  <c r="J28" i="66"/>
  <c r="J29" i="66" s="1"/>
  <c r="J24" i="66"/>
  <c r="J25" i="66" s="1"/>
  <c r="J22" i="66"/>
  <c r="J20" i="66"/>
  <c r="J18" i="66"/>
  <c r="J19" i="66" s="1"/>
  <c r="J14" i="66"/>
  <c r="J15" i="66" s="1"/>
  <c r="J7" i="66"/>
  <c r="J6" i="66"/>
  <c r="J5" i="66"/>
  <c r="J16" i="66"/>
  <c r="J17" i="66" s="1"/>
  <c r="J3" i="66"/>
  <c r="J23" i="66"/>
  <c r="J21" i="66"/>
  <c r="J4" i="66"/>
  <c r="H223" i="67"/>
  <c r="I87" i="82"/>
  <c r="G57" i="82"/>
  <c r="P41" i="82"/>
  <c r="H30" i="82"/>
  <c r="H223" i="82"/>
  <c r="X223" i="82" s="1"/>
  <c r="AA223" i="82" s="1"/>
  <c r="O221" i="82"/>
  <c r="AA221" i="82" s="1"/>
  <c r="L217" i="82"/>
  <c r="H215" i="82"/>
  <c r="I217" i="82" s="1"/>
  <c r="X217" i="82" s="1"/>
  <c r="AA217" i="82" s="1"/>
  <c r="P203" i="82"/>
  <c r="AA202" i="82" s="1"/>
  <c r="H203" i="82"/>
  <c r="P196" i="82"/>
  <c r="P195" i="82"/>
  <c r="W194" i="82"/>
  <c r="AA193" i="82"/>
  <c r="L183" i="82"/>
  <c r="I183" i="82"/>
  <c r="X183" i="82" s="1"/>
  <c r="AB184" i="82" s="1"/>
  <c r="H181" i="82"/>
  <c r="X181" i="82" s="1"/>
  <c r="AB181" i="82" s="1"/>
  <c r="P175" i="82"/>
  <c r="P172" i="82"/>
  <c r="X169" i="82"/>
  <c r="AG169" i="82" s="1"/>
  <c r="X168" i="82"/>
  <c r="AA167" i="82"/>
  <c r="AB162" i="82"/>
  <c r="P157" i="82"/>
  <c r="P154" i="82"/>
  <c r="X149" i="82"/>
  <c r="K145" i="82"/>
  <c r="AA146" i="82" s="1"/>
  <c r="AG149" i="82" s="1"/>
  <c r="P141" i="82"/>
  <c r="P138" i="82"/>
  <c r="X134" i="82"/>
  <c r="X133" i="82"/>
  <c r="N130" i="82"/>
  <c r="AA131" i="82" s="1"/>
  <c r="AA117" i="82"/>
  <c r="L116" i="82"/>
  <c r="X116" i="82" s="1"/>
  <c r="X117" i="82" s="1"/>
  <c r="H119" i="82" s="1"/>
  <c r="X119" i="82" s="1"/>
  <c r="AA119" i="82" s="1"/>
  <c r="X114" i="82"/>
  <c r="V107" i="82"/>
  <c r="AG107" i="82" s="1"/>
  <c r="V106" i="82"/>
  <c r="AG106" i="82" s="1"/>
  <c r="AA103" i="82"/>
  <c r="R95" i="82"/>
  <c r="V94" i="82"/>
  <c r="AG94" i="82" s="1"/>
  <c r="AA91" i="82"/>
  <c r="X87" i="82"/>
  <c r="AA87" i="82" s="1"/>
  <c r="O85" i="82"/>
  <c r="X85" i="82" s="1"/>
  <c r="AA85" i="82" s="1"/>
  <c r="L78" i="82"/>
  <c r="X78" i="82" s="1"/>
  <c r="AA78" i="82" s="1"/>
  <c r="I78" i="82"/>
  <c r="O76" i="82"/>
  <c r="X76" i="82" s="1"/>
  <c r="AA76" i="82" s="1"/>
  <c r="AA74" i="82"/>
  <c r="X74" i="82"/>
  <c r="O74" i="82"/>
  <c r="AA38" i="82"/>
  <c r="H35" i="82"/>
  <c r="AB32" i="82"/>
  <c r="N26" i="82"/>
  <c r="J26" i="82"/>
  <c r="X26" i="82" s="1"/>
  <c r="AA26" i="82" s="1"/>
  <c r="H16" i="82"/>
  <c r="O11" i="82"/>
  <c r="O10" i="82"/>
  <c r="J8" i="66" l="1"/>
  <c r="J9" i="66" s="1"/>
  <c r="AG194" i="82"/>
  <c r="K12" i="82"/>
  <c r="R12" i="82" s="1"/>
  <c r="X12" i="82" s="1"/>
  <c r="AA13" i="82" s="1"/>
  <c r="L48" i="82" s="1"/>
  <c r="P40" i="82"/>
  <c r="P42" i="82" s="1"/>
  <c r="AG134" i="82"/>
  <c r="X203" i="82"/>
  <c r="AA204" i="82" s="1"/>
  <c r="X215" i="82"/>
  <c r="AA215" i="82" s="1"/>
  <c r="X203" i="67"/>
  <c r="AA204" i="67"/>
  <c r="R95" i="67"/>
  <c r="V94" i="67"/>
  <c r="I87" i="67"/>
  <c r="O76" i="67"/>
  <c r="L78" i="67"/>
  <c r="G57" i="67"/>
  <c r="H30" i="67"/>
  <c r="L16" i="82" l="1"/>
  <c r="X16" i="82" s="1"/>
  <c r="AA16" i="82" s="1"/>
  <c r="K57" i="82"/>
  <c r="X57" i="82" s="1"/>
  <c r="AA58" i="82" s="1"/>
  <c r="AA48" i="82"/>
  <c r="E19" i="65" s="1"/>
  <c r="J65" i="82"/>
  <c r="L51" i="82"/>
  <c r="H22" i="65"/>
  <c r="L54" i="82" l="1"/>
  <c r="N65" i="82"/>
  <c r="AA51" i="82"/>
  <c r="X133" i="67"/>
  <c r="X223" i="67"/>
  <c r="AA223" i="67" s="1"/>
  <c r="I20" i="66" s="1"/>
  <c r="I21" i="66" s="1"/>
  <c r="O221" i="67"/>
  <c r="AA221" i="67" s="1"/>
  <c r="D48" i="65" s="1"/>
  <c r="H48" i="65" s="1"/>
  <c r="L217" i="67"/>
  <c r="H215" i="67"/>
  <c r="I217" i="67" s="1"/>
  <c r="AA54" i="82" l="1"/>
  <c r="E20" i="65" s="1"/>
  <c r="R65" i="82"/>
  <c r="X65" i="82" s="1"/>
  <c r="AA65" i="82" s="1"/>
  <c r="P21" i="66"/>
  <c r="D59" i="65"/>
  <c r="P20" i="66"/>
  <c r="X217" i="67"/>
  <c r="AA217" i="67" s="1"/>
  <c r="I22" i="66" s="1"/>
  <c r="X215" i="67"/>
  <c r="AA215" i="67" s="1"/>
  <c r="D46" i="65" s="1"/>
  <c r="P203" i="67" l="1"/>
  <c r="K145" i="67"/>
  <c r="I78" i="67"/>
  <c r="X76" i="67"/>
  <c r="AA76" i="67" s="1"/>
  <c r="D31" i="65" s="1"/>
  <c r="O74" i="67"/>
  <c r="X74" i="67" s="1"/>
  <c r="AA74" i="67" s="1"/>
  <c r="D30" i="65" s="1"/>
  <c r="N130" i="67"/>
  <c r="AA103" i="67"/>
  <c r="D33" i="65" s="1"/>
  <c r="V107" i="67"/>
  <c r="AG107" i="67" s="1"/>
  <c r="V106" i="67"/>
  <c r="AG106" i="67" s="1"/>
  <c r="AB32" i="67"/>
  <c r="X78" i="67" l="1"/>
  <c r="AA78" i="67" s="1"/>
  <c r="I5" i="66" s="1"/>
  <c r="O11" i="67"/>
  <c r="O85" i="67" l="1"/>
  <c r="X85" i="67" s="1"/>
  <c r="AA85" i="67" s="1"/>
  <c r="D38" i="65" l="1"/>
  <c r="D37" i="65"/>
  <c r="H38" i="65" l="1"/>
  <c r="H37" i="65"/>
  <c r="H31" i="65"/>
  <c r="D64" i="65"/>
  <c r="H64" i="65" s="1"/>
  <c r="P26" i="66"/>
  <c r="P30" i="66"/>
  <c r="A60" i="65"/>
  <c r="D62" i="65"/>
  <c r="D60" i="65"/>
  <c r="P31" i="66"/>
  <c r="P27" i="66"/>
  <c r="H33" i="65"/>
  <c r="H29" i="65"/>
  <c r="H28" i="65"/>
  <c r="H51" i="65"/>
  <c r="H11" i="65"/>
  <c r="D23" i="65"/>
  <c r="X169" i="67"/>
  <c r="P175" i="67"/>
  <c r="P172" i="67"/>
  <c r="P157" i="67"/>
  <c r="X149" i="67"/>
  <c r="P154" i="67"/>
  <c r="X134" i="67"/>
  <c r="P141" i="67"/>
  <c r="P138" i="67"/>
  <c r="H203" i="67"/>
  <c r="I18" i="66" s="1"/>
  <c r="AA202" i="67"/>
  <c r="D49" i="65" s="1"/>
  <c r="P196" i="67"/>
  <c r="P195" i="67"/>
  <c r="W194" i="67"/>
  <c r="AA193" i="67"/>
  <c r="D47" i="65" s="1"/>
  <c r="L183" i="67"/>
  <c r="H181" i="67"/>
  <c r="I183" i="67" s="1"/>
  <c r="X168" i="67"/>
  <c r="AA167" i="67"/>
  <c r="D43" i="65" s="1"/>
  <c r="AB162" i="67"/>
  <c r="D42" i="65" s="1"/>
  <c r="AA146" i="67"/>
  <c r="D41" i="65" s="1"/>
  <c r="AA131" i="67"/>
  <c r="AA117" i="67"/>
  <c r="D36" i="65" s="1"/>
  <c r="L116" i="67"/>
  <c r="X116" i="67" s="1"/>
  <c r="X114" i="67"/>
  <c r="AA91" i="67"/>
  <c r="AG94" i="67" s="1"/>
  <c r="AA38" i="67"/>
  <c r="D26" i="65" s="1"/>
  <c r="H35" i="67"/>
  <c r="P41" i="67" s="1"/>
  <c r="D24" i="65"/>
  <c r="N26" i="67"/>
  <c r="J26" i="67"/>
  <c r="H16" i="67"/>
  <c r="O10" i="67"/>
  <c r="A23" i="66"/>
  <c r="A27" i="66" s="1"/>
  <c r="A29" i="66" s="1"/>
  <c r="A31" i="66" s="1"/>
  <c r="H12" i="65"/>
  <c r="H27" i="65"/>
  <c r="H52" i="65"/>
  <c r="H13" i="65"/>
  <c r="P33" i="66"/>
  <c r="P10" i="66"/>
  <c r="P12" i="66"/>
  <c r="H14" i="65"/>
  <c r="H16" i="65"/>
  <c r="H50" i="65"/>
  <c r="P34" i="66"/>
  <c r="H15" i="65"/>
  <c r="H3" i="65"/>
  <c r="H6" i="65"/>
  <c r="P13" i="66"/>
  <c r="P11" i="66"/>
  <c r="H4" i="65"/>
  <c r="H18" i="65"/>
  <c r="H17" i="65"/>
  <c r="H10" i="65"/>
  <c r="AG149" i="67" l="1"/>
  <c r="AG194" i="67"/>
  <c r="AG134" i="67"/>
  <c r="AG169" i="67"/>
  <c r="I28" i="66"/>
  <c r="D39" i="65"/>
  <c r="I6" i="66"/>
  <c r="D44" i="65"/>
  <c r="H44" i="65" s="1"/>
  <c r="K12" i="67"/>
  <c r="R12" i="67" s="1"/>
  <c r="X12" i="67" s="1"/>
  <c r="AA13" i="67" s="1"/>
  <c r="I32" i="66"/>
  <c r="X117" i="67"/>
  <c r="H119" i="67" s="1"/>
  <c r="X119" i="67" s="1"/>
  <c r="AA119" i="67" s="1"/>
  <c r="I24" i="66" s="1"/>
  <c r="I25" i="66" s="1"/>
  <c r="H23" i="65"/>
  <c r="X26" i="67"/>
  <c r="AA26" i="67" s="1"/>
  <c r="I16" i="66" s="1"/>
  <c r="I17" i="66" s="1"/>
  <c r="D53" i="65" s="1"/>
  <c r="P40" i="67"/>
  <c r="P42" i="67" s="1"/>
  <c r="X183" i="67"/>
  <c r="AB184" i="67" s="1"/>
  <c r="I23" i="66" s="1"/>
  <c r="H30" i="65"/>
  <c r="D34" i="65"/>
  <c r="A25" i="66"/>
  <c r="I7" i="66"/>
  <c r="X87" i="67"/>
  <c r="AA87" i="67" s="1"/>
  <c r="I14" i="66" s="1"/>
  <c r="H36" i="65"/>
  <c r="H47" i="65"/>
  <c r="H49" i="65"/>
  <c r="H41" i="65"/>
  <c r="H42" i="65"/>
  <c r="H43" i="65"/>
  <c r="D40" i="65"/>
  <c r="P18" i="66"/>
  <c r="I19" i="66"/>
  <c r="D58" i="65" s="1"/>
  <c r="H58" i="65" s="1"/>
  <c r="H24" i="65"/>
  <c r="H26" i="65"/>
  <c r="H39" i="65"/>
  <c r="X181" i="67"/>
  <c r="AB181" i="67" s="1"/>
  <c r="H46" i="65" s="1"/>
  <c r="P32" i="66" l="1"/>
  <c r="L48" i="67"/>
  <c r="J65" i="67" s="1"/>
  <c r="K57" i="67"/>
  <c r="X57" i="67" s="1"/>
  <c r="AA58" i="67" s="1"/>
  <c r="D25" i="65" s="1"/>
  <c r="H25" i="65" s="1"/>
  <c r="L16" i="67"/>
  <c r="X16" i="67" s="1"/>
  <c r="AA16" i="67" s="1"/>
  <c r="I3" i="66" s="1"/>
  <c r="P3" i="66" s="1"/>
  <c r="L39" i="66" s="1"/>
  <c r="P16" i="66"/>
  <c r="L36" i="66" s="1"/>
  <c r="H34" i="65"/>
  <c r="I8" i="66"/>
  <c r="I9" i="66" s="1"/>
  <c r="P7" i="66"/>
  <c r="H40" i="65"/>
  <c r="P24" i="66"/>
  <c r="I29" i="66"/>
  <c r="P28" i="66"/>
  <c r="P14" i="66"/>
  <c r="I15" i="66"/>
  <c r="P15" i="66" s="1"/>
  <c r="P6" i="66"/>
  <c r="D56" i="65"/>
  <c r="H56" i="65" s="1"/>
  <c r="P25" i="66"/>
  <c r="P17" i="66"/>
  <c r="M36" i="66" s="1"/>
  <c r="H53" i="65"/>
  <c r="P22" i="66"/>
  <c r="H59" i="65"/>
  <c r="P19" i="66"/>
  <c r="P23" i="66"/>
  <c r="D57" i="65"/>
  <c r="H57" i="65" s="1"/>
  <c r="D54" i="65" l="1"/>
  <c r="I4" i="66"/>
  <c r="P4" i="66" s="1"/>
  <c r="M39" i="66" s="1"/>
  <c r="L51" i="67"/>
  <c r="L54" i="67" s="1"/>
  <c r="AA54" i="67" s="1"/>
  <c r="AA48" i="67"/>
  <c r="D19" i="65" s="1"/>
  <c r="P9" i="66"/>
  <c r="M37" i="66" s="1"/>
  <c r="M38" i="66" s="1"/>
  <c r="D61" i="65"/>
  <c r="P29" i="66"/>
  <c r="H54" i="65"/>
  <c r="P8" i="66"/>
  <c r="L37" i="66" s="1"/>
  <c r="L38" i="66" s="1"/>
  <c r="AA51" i="67" l="1"/>
  <c r="D20" i="65" s="1"/>
  <c r="H20" i="65" s="1"/>
  <c r="N65" i="67"/>
  <c r="R65" i="67"/>
  <c r="D55" i="65"/>
  <c r="H55" i="65" s="1"/>
  <c r="H19" i="65"/>
  <c r="X65" i="67" l="1"/>
  <c r="AA65" i="67" s="1"/>
  <c r="D21" i="65" s="1"/>
  <c r="H21" i="65" s="1"/>
</calcChain>
</file>

<file path=xl/sharedStrings.xml><?xml version="1.0" encoding="utf-8"?>
<sst xmlns="http://schemas.openxmlformats.org/spreadsheetml/2006/main" count="1313" uniqueCount="337">
  <si>
    <t>Ф12.7 - 5EA</t>
  </si>
  <si>
    <t>계</t>
    <phoneticPr fontId="12" type="noConversion"/>
  </si>
  <si>
    <t>+</t>
    <phoneticPr fontId="12" type="noConversion"/>
  </si>
  <si>
    <t>)</t>
    <phoneticPr fontId="12" type="noConversion"/>
  </si>
  <si>
    <t>(</t>
    <phoneticPr fontId="12" type="noConversion"/>
  </si>
  <si>
    <t>가시설 수량 집계표</t>
    <phoneticPr fontId="7" type="noConversion"/>
  </si>
  <si>
    <t>공    종</t>
  </si>
  <si>
    <t>산      출      근      거</t>
  </si>
  <si>
    <t>x</t>
    <phoneticPr fontId="70" type="noConversion"/>
  </si>
  <si>
    <t>본</t>
    <phoneticPr fontId="70" type="noConversion"/>
  </si>
  <si>
    <t>tonf</t>
    <phoneticPr fontId="70" type="noConversion"/>
  </si>
  <si>
    <t>tonf/m</t>
    <phoneticPr fontId="70" type="noConversion"/>
  </si>
  <si>
    <t>=</t>
    <phoneticPr fontId="70" type="noConversion"/>
  </si>
  <si>
    <t>H =</t>
    <phoneticPr fontId="70" type="noConversion"/>
  </si>
  <si>
    <t>m</t>
    <phoneticPr fontId="70" type="noConversion"/>
  </si>
  <si>
    <t>:</t>
    <phoneticPr fontId="70" type="noConversion"/>
  </si>
  <si>
    <t>단위 수량표(개소당)</t>
    <phoneticPr fontId="70" type="noConversion"/>
  </si>
  <si>
    <t>구  분</t>
    <phoneticPr fontId="70" type="noConversion"/>
  </si>
  <si>
    <t>치   수</t>
    <phoneticPr fontId="70" type="noConversion"/>
  </si>
  <si>
    <t>수  량</t>
    <phoneticPr fontId="70" type="noConversion"/>
  </si>
  <si>
    <t>비  고</t>
    <phoneticPr fontId="70" type="noConversion"/>
  </si>
  <si>
    <t>Sheet Pile 절단</t>
    <phoneticPr fontId="70" type="noConversion"/>
  </si>
  <si>
    <t>13 mm</t>
    <phoneticPr fontId="70" type="noConversion"/>
  </si>
  <si>
    <t>형강 L-90x90x10</t>
    <phoneticPr fontId="70" type="noConversion"/>
  </si>
  <si>
    <t>L =0.150m</t>
  </si>
  <si>
    <t>EA</t>
    <phoneticPr fontId="70" type="noConversion"/>
  </si>
  <si>
    <t>필렛용접</t>
    <phoneticPr fontId="70" type="noConversion"/>
  </si>
  <si>
    <t>6mm</t>
    <phoneticPr fontId="70" type="noConversion"/>
  </si>
  <si>
    <t xml:space="preserve">H-250×250×9×14 </t>
    <phoneticPr fontId="11" type="noConversion"/>
  </si>
  <si>
    <t>-</t>
    <phoneticPr fontId="70" type="noConversion"/>
  </si>
  <si>
    <t>1조</t>
    <phoneticPr fontId="70" type="noConversion"/>
  </si>
  <si>
    <t>회 운용</t>
    <phoneticPr fontId="11" type="noConversion"/>
  </si>
  <si>
    <t>자재비</t>
    <phoneticPr fontId="70" type="noConversion"/>
  </si>
  <si>
    <t>면</t>
    <phoneticPr fontId="70" type="noConversion"/>
  </si>
  <si>
    <t>400x125x13</t>
    <phoneticPr fontId="70" type="noConversion"/>
  </si>
  <si>
    <t>＝</t>
  </si>
  <si>
    <t>L - 90 x 90 x 10</t>
    <phoneticPr fontId="70" type="noConversion"/>
  </si>
  <si>
    <t>(Strut 버팀보용)</t>
    <phoneticPr fontId="70" type="noConversion"/>
  </si>
  <si>
    <t>계:</t>
    <phoneticPr fontId="70" type="noConversion"/>
  </si>
  <si>
    <t>단위수량표</t>
    <phoneticPr fontId="70" type="noConversion"/>
  </si>
  <si>
    <t>(개소당)</t>
    <phoneticPr fontId="70" type="noConversion"/>
  </si>
  <si>
    <t>공   종</t>
    <phoneticPr fontId="70" type="noConversion"/>
  </si>
  <si>
    <t>규   격</t>
    <phoneticPr fontId="70" type="noConversion"/>
  </si>
  <si>
    <t>단 위</t>
    <phoneticPr fontId="70" type="noConversion"/>
  </si>
  <si>
    <t>길  이</t>
    <phoneticPr fontId="70" type="noConversion"/>
  </si>
  <si>
    <t>단위수량</t>
    <phoneticPr fontId="70" type="noConversion"/>
  </si>
  <si>
    <t>ANGLE</t>
    <phoneticPr fontId="70" type="noConversion"/>
  </si>
  <si>
    <t>L-90x90x10</t>
    <phoneticPr fontId="70" type="noConversion"/>
  </si>
  <si>
    <t>구멍뚫기</t>
    <phoneticPr fontId="70" type="noConversion"/>
  </si>
  <si>
    <t>φ25mm , t=10 mm</t>
    <phoneticPr fontId="70" type="noConversion"/>
  </si>
  <si>
    <t>용접</t>
    <phoneticPr fontId="70" type="noConversion"/>
  </si>
  <si>
    <t>6mm 필렛용접</t>
    <phoneticPr fontId="70" type="noConversion"/>
  </si>
  <si>
    <t>BOLT</t>
    <phoneticPr fontId="70" type="noConversion"/>
  </si>
  <si>
    <t>F8T-M22x75</t>
    <phoneticPr fontId="70" type="noConversion"/>
  </si>
  <si>
    <t>ㄷ - 380 x 100 x 10.5 x 16</t>
    <phoneticPr fontId="70" type="noConversion"/>
  </si>
  <si>
    <t xml:space="preserve"> 및 해체</t>
    <phoneticPr fontId="70" type="noConversion"/>
  </si>
  <si>
    <t>L =</t>
    <phoneticPr fontId="70" type="noConversion"/>
  </si>
  <si>
    <t>(사보강 스트럿 
결합부)</t>
    <phoneticPr fontId="70" type="noConversion"/>
  </si>
  <si>
    <t>TON</t>
    <phoneticPr fontId="70" type="noConversion"/>
  </si>
  <si>
    <t>CHANNEL</t>
    <phoneticPr fontId="70" type="noConversion"/>
  </si>
  <si>
    <t>ㄷ-380x100x10.5x16</t>
    <phoneticPr fontId="70" type="noConversion"/>
  </si>
  <si>
    <t>φ25mm ,t=10.5</t>
    <phoneticPr fontId="70" type="noConversion"/>
  </si>
  <si>
    <t>φ25mm ,t=14</t>
    <phoneticPr fontId="70" type="noConversion"/>
  </si>
  <si>
    <t>H - 300 x 300 x 10 x 15</t>
    <phoneticPr fontId="70" type="noConversion"/>
  </si>
  <si>
    <t>갯  수</t>
    <phoneticPr fontId="70" type="noConversion"/>
  </si>
  <si>
    <t>중량(tonf)</t>
    <phoneticPr fontId="70" type="noConversion"/>
  </si>
  <si>
    <t>H-BEAM</t>
    <phoneticPr fontId="70" type="noConversion"/>
  </si>
  <si>
    <t>H-300x300x10x15</t>
    <phoneticPr fontId="70" type="noConversion"/>
  </si>
  <si>
    <t>강 판
t=14mm</t>
    <phoneticPr fontId="70" type="noConversion"/>
  </si>
  <si>
    <t>424x300x14</t>
    <phoneticPr fontId="70" type="noConversion"/>
  </si>
  <si>
    <t>300x300x14</t>
    <phoneticPr fontId="11" type="noConversion"/>
  </si>
  <si>
    <t>강판절단</t>
    <phoneticPr fontId="70" type="noConversion"/>
  </si>
  <si>
    <t>t=14mm</t>
    <phoneticPr fontId="70" type="noConversion"/>
  </si>
  <si>
    <t>φ25mm ,t=15</t>
    <phoneticPr fontId="70" type="noConversion"/>
  </si>
  <si>
    <t>용  접</t>
    <phoneticPr fontId="70" type="noConversion"/>
  </si>
  <si>
    <t>6mm 필렛</t>
    <phoneticPr fontId="70" type="noConversion"/>
  </si>
  <si>
    <t>강 판</t>
    <phoneticPr fontId="70" type="noConversion"/>
  </si>
  <si>
    <t>(버팀보용)</t>
    <phoneticPr fontId="70" type="noConversion"/>
  </si>
  <si>
    <t>개수</t>
    <phoneticPr fontId="70" type="noConversion"/>
  </si>
  <si>
    <t>PLATE</t>
    <phoneticPr fontId="70" type="noConversion"/>
  </si>
  <si>
    <t>PL-270x145x14</t>
    <phoneticPr fontId="70" type="noConversion"/>
  </si>
  <si>
    <t>절 단</t>
    <phoneticPr fontId="70" type="noConversion"/>
  </si>
  <si>
    <t/>
  </si>
  <si>
    <t>토사</t>
  </si>
  <si>
    <t>M</t>
  </si>
  <si>
    <t>연암</t>
  </si>
  <si>
    <t>슬라임부</t>
  </si>
  <si>
    <t>본</t>
  </si>
  <si>
    <t>개소</t>
  </si>
  <si>
    <t>M3</t>
  </si>
  <si>
    <t>M2</t>
  </si>
  <si>
    <t>공</t>
  </si>
  <si>
    <t>H-300x300x10x15</t>
  </si>
  <si>
    <t>회</t>
  </si>
  <si>
    <t>φ22</t>
  </si>
  <si>
    <t>개</t>
  </si>
  <si>
    <t>TON</t>
  </si>
  <si>
    <t>H-250*250*9*14</t>
  </si>
  <si>
    <t>H-300*300*10*15</t>
  </si>
  <si>
    <t>L-90*90*10</t>
  </si>
  <si>
    <t>400x125x13 , H =</t>
    <phoneticPr fontId="70" type="noConversion"/>
  </si>
  <si>
    <t>1. SHEET-PILE
    자재비</t>
    <phoneticPr fontId="70" type="noConversion"/>
  </si>
  <si>
    <t>SHEET-PILE 본수</t>
    <phoneticPr fontId="70" type="noConversion"/>
  </si>
  <si>
    <t>÷</t>
    <phoneticPr fontId="70" type="noConversion"/>
  </si>
  <si>
    <t>SHEET-PILE 자재비</t>
    <phoneticPr fontId="70" type="noConversion"/>
  </si>
  <si>
    <t>가이드 빔 길이 :</t>
    <phoneticPr fontId="70" type="noConversion"/>
  </si>
  <si>
    <t>m</t>
    <phoneticPr fontId="11" type="noConversion"/>
  </si>
  <si>
    <t>개소</t>
    <phoneticPr fontId="70" type="noConversion"/>
  </si>
  <si>
    <t>규  격</t>
    <phoneticPr fontId="12" type="noConversion"/>
  </si>
  <si>
    <t>ⓐ</t>
    <phoneticPr fontId="12" type="noConversion"/>
  </si>
  <si>
    <t>토사 천공</t>
    <phoneticPr fontId="70" type="noConversion"/>
  </si>
  <si>
    <t>ⓑ</t>
    <phoneticPr fontId="12" type="noConversion"/>
  </si>
  <si>
    <t>연암 천공</t>
    <phoneticPr fontId="70" type="noConversion"/>
  </si>
  <si>
    <t>=</t>
    <phoneticPr fontId="12" type="noConversion"/>
  </si>
  <si>
    <t>기준틀 제작</t>
    <phoneticPr fontId="12" type="noConversion"/>
  </si>
  <si>
    <t>회</t>
    <phoneticPr fontId="70" type="noConversion"/>
  </si>
  <si>
    <t>지수재 도포</t>
    <phoneticPr fontId="12" type="noConversion"/>
  </si>
  <si>
    <t>x</t>
    <phoneticPr fontId="12" type="noConversion"/>
  </si>
  <si>
    <t>본</t>
    <phoneticPr fontId="12" type="noConversion"/>
  </si>
  <si>
    <t>m</t>
    <phoneticPr fontId="12" type="noConversion"/>
  </si>
  <si>
    <t>- 전체 설치 개소</t>
    <phoneticPr fontId="70" type="noConversion"/>
  </si>
  <si>
    <t>-</t>
    <phoneticPr fontId="12" type="noConversion"/>
  </si>
  <si>
    <t>L =</t>
    <phoneticPr fontId="12" type="noConversion"/>
  </si>
  <si>
    <t>~</t>
    <phoneticPr fontId="12" type="noConversion"/>
  </si>
  <si>
    <t>:</t>
    <phoneticPr fontId="12" type="noConversion"/>
  </si>
  <si>
    <t>자재비</t>
    <phoneticPr fontId="12" type="noConversion"/>
  </si>
  <si>
    <t>300x300x14</t>
    <phoneticPr fontId="70" type="noConversion"/>
  </si>
  <si>
    <t>(Auger+T4)</t>
    <phoneticPr fontId="70" type="noConversion"/>
  </si>
  <si>
    <t xml:space="preserve">6. Sheet Pile </t>
    <phoneticPr fontId="70" type="noConversion"/>
  </si>
  <si>
    <t>8. 띠장 설치 및
    철거</t>
    <phoneticPr fontId="70" type="noConversion"/>
  </si>
  <si>
    <t>`</t>
    <phoneticPr fontId="12" type="noConversion"/>
  </si>
  <si>
    <t>L-100x100x10</t>
    <phoneticPr fontId="12" type="noConversion"/>
  </si>
  <si>
    <t>개소</t>
    <phoneticPr fontId="12" type="noConversion"/>
  </si>
  <si>
    <t>kg/m</t>
    <phoneticPr fontId="12" type="noConversion"/>
  </si>
  <si>
    <t>tonf</t>
    <phoneticPr fontId="12" type="noConversion"/>
  </si>
  <si>
    <t>100 tonf</t>
    <phoneticPr fontId="12" type="noConversion"/>
  </si>
  <si>
    <t>PLATE t=14mm</t>
    <phoneticPr fontId="68" type="noConversion"/>
  </si>
  <si>
    <t xml:space="preserve"> H-PILE 두부정리</t>
    <phoneticPr fontId="12" type="noConversion"/>
  </si>
  <si>
    <t xml:space="preserve"> 지압판 제작 및 설치</t>
    <phoneticPr fontId="12" type="noConversion"/>
  </si>
  <si>
    <t>지압판 철거</t>
    <phoneticPr fontId="12" type="noConversion"/>
  </si>
  <si>
    <t>가이드빔 기준틀 이동 및 설치</t>
    <phoneticPr fontId="12" type="noConversion"/>
  </si>
  <si>
    <t xml:space="preserve"> 띠장 설치 및 철거</t>
    <phoneticPr fontId="12" type="noConversion"/>
  </si>
  <si>
    <t>강재 사용료 및 운반비</t>
    <phoneticPr fontId="68" type="noConversion"/>
  </si>
  <si>
    <t>경사 버팀보</t>
    <phoneticPr fontId="12" type="noConversion"/>
  </si>
  <si>
    <t>화타 제작 설치</t>
    <phoneticPr fontId="12" type="noConversion"/>
  </si>
  <si>
    <t>및 철거</t>
    <phoneticPr fontId="12" type="noConversion"/>
  </si>
  <si>
    <t>화타 쐐기</t>
    <phoneticPr fontId="12" type="noConversion"/>
  </si>
  <si>
    <t xml:space="preserve">2. 가이드 빔  </t>
    <phoneticPr fontId="70" type="noConversion"/>
  </si>
  <si>
    <t xml:space="preserve">4. Corner 
  Sheet-Pile 제작
  </t>
    <phoneticPr fontId="70" type="noConversion"/>
  </si>
  <si>
    <t>5. Sheet Pile 천공</t>
    <phoneticPr fontId="70" type="noConversion"/>
  </si>
  <si>
    <t>7. Sheet Pile 인발</t>
    <phoneticPr fontId="70" type="noConversion"/>
  </si>
  <si>
    <t>16. L형강 설치 및
      철거</t>
    <phoneticPr fontId="70" type="noConversion"/>
  </si>
  <si>
    <t xml:space="preserve">17. 스티프너 
     제작설치
        </t>
    <phoneticPr fontId="71" type="noConversion"/>
  </si>
  <si>
    <t>가이드 빔</t>
    <phoneticPr fontId="12" type="noConversion"/>
  </si>
  <si>
    <t>가이드 파일</t>
    <phoneticPr fontId="12" type="noConversion"/>
  </si>
  <si>
    <t>가이드 파일 길이 :</t>
    <phoneticPr fontId="70" type="noConversion"/>
  </si>
  <si>
    <t>ⓒ</t>
    <phoneticPr fontId="12" type="noConversion"/>
  </si>
  <si>
    <t>PLATE 절단</t>
    <phoneticPr fontId="70" type="noConversion"/>
  </si>
  <si>
    <t>띠장 우각부 연결 및 해체</t>
    <phoneticPr fontId="12" type="noConversion"/>
  </si>
  <si>
    <t>300x000x14</t>
    <phoneticPr fontId="70" type="noConversion"/>
  </si>
  <si>
    <t>200x145x14</t>
    <phoneticPr fontId="70" type="noConversion"/>
  </si>
  <si>
    <t>535x272x14</t>
    <phoneticPr fontId="70" type="noConversion"/>
  </si>
  <si>
    <t>770x600x14</t>
    <phoneticPr fontId="11" type="noConversion"/>
  </si>
  <si>
    <t>780x300x14</t>
    <phoneticPr fontId="70" type="noConversion"/>
  </si>
  <si>
    <t>L=0.30m</t>
    <phoneticPr fontId="70" type="noConversion"/>
  </si>
  <si>
    <t xml:space="preserve"> 가시설 계측</t>
    <phoneticPr fontId="12" type="noConversion"/>
  </si>
  <si>
    <t>식</t>
    <phoneticPr fontId="12" type="noConversion"/>
  </si>
  <si>
    <t>공   종</t>
    <phoneticPr fontId="12" type="noConversion"/>
  </si>
  <si>
    <t>계</t>
    <phoneticPr fontId="7" type="noConversion"/>
  </si>
  <si>
    <t>비  고</t>
    <phoneticPr fontId="12" type="noConversion"/>
  </si>
  <si>
    <t xml:space="preserve"> H-PILE 천공</t>
    <phoneticPr fontId="12" type="noConversion"/>
  </si>
  <si>
    <t>H-PILE 항타</t>
    <phoneticPr fontId="12" type="noConversion"/>
  </si>
  <si>
    <t>케이싱 튜브 설치 철거</t>
    <phoneticPr fontId="12" type="noConversion"/>
  </si>
  <si>
    <t xml:space="preserve"> H-PILE 연결 및 해체</t>
    <phoneticPr fontId="12" type="noConversion"/>
  </si>
  <si>
    <t xml:space="preserve"> 모래 채움</t>
    <phoneticPr fontId="12" type="noConversion"/>
  </si>
  <si>
    <t xml:space="preserve"> H-PILE 인발</t>
    <phoneticPr fontId="12" type="noConversion"/>
  </si>
  <si>
    <t>토류판 설치 및 철거</t>
    <phoneticPr fontId="12" type="noConversion"/>
  </si>
  <si>
    <t>어스앵커 천공</t>
    <phoneticPr fontId="12" type="noConversion"/>
  </si>
  <si>
    <t>그라우팅</t>
    <phoneticPr fontId="12" type="noConversion"/>
  </si>
  <si>
    <t>P.C 콘 조립 및 인장</t>
    <phoneticPr fontId="12" type="noConversion"/>
  </si>
  <si>
    <t>직선형 기준틀</t>
    <phoneticPr fontId="12" type="noConversion"/>
  </si>
  <si>
    <t>SHEET PILE 코너 파일 제작</t>
    <phoneticPr fontId="12" type="noConversion"/>
  </si>
  <si>
    <t>9-11m, H=300~500</t>
    <phoneticPr fontId="12" type="noConversion"/>
  </si>
  <si>
    <t>15-18m, H=300~500</t>
    <phoneticPr fontId="12" type="noConversion"/>
  </si>
  <si>
    <t>띠장 이음 및 해체</t>
    <phoneticPr fontId="12" type="noConversion"/>
  </si>
  <si>
    <t>경사 버팀보 제작</t>
    <phoneticPr fontId="12" type="noConversion"/>
  </si>
  <si>
    <t>경사 버팀보 화타 제작 및 설치 철거</t>
    <phoneticPr fontId="12" type="noConversion"/>
  </si>
  <si>
    <t>100 tonf</t>
    <phoneticPr fontId="12" type="noConversion"/>
  </si>
  <si>
    <t>사보강재 제작</t>
    <phoneticPr fontId="12" type="noConversion"/>
  </si>
  <si>
    <t>사보강재 설치 및 철거</t>
    <phoneticPr fontId="12" type="noConversion"/>
  </si>
  <si>
    <t>3m미만, H=300~500</t>
    <phoneticPr fontId="12" type="noConversion"/>
  </si>
  <si>
    <t>사보강재 화타 제작 및 설치철거</t>
    <phoneticPr fontId="12" type="noConversion"/>
  </si>
  <si>
    <t>스티프너 설치 및 철거</t>
    <phoneticPr fontId="12" type="noConversion"/>
  </si>
  <si>
    <t>ㄷ-CHANNEL 설치 및 철거</t>
    <phoneticPr fontId="12" type="noConversion"/>
  </si>
  <si>
    <t>ㄷ-380x100x10.5x16</t>
    <phoneticPr fontId="12" type="noConversion"/>
  </si>
  <si>
    <t xml:space="preserve"> ROCK BOLT 설치공</t>
    <phoneticPr fontId="12" type="noConversion"/>
  </si>
  <si>
    <t>연암 천공</t>
    <phoneticPr fontId="12" type="noConversion"/>
  </si>
  <si>
    <t>SHEET PILE 400*125*13</t>
    <phoneticPr fontId="12" type="noConversion"/>
  </si>
  <si>
    <t>H-250x250x9x14</t>
    <phoneticPr fontId="12" type="noConversion"/>
  </si>
  <si>
    <t xml:space="preserve">  P.C 강선 조립 및 삽입</t>
    <phoneticPr fontId="12" type="noConversion"/>
  </si>
  <si>
    <t>자재비(L=5m)</t>
    <phoneticPr fontId="12" type="noConversion"/>
  </si>
  <si>
    <t>9-11m, H=0~250</t>
    <phoneticPr fontId="12" type="noConversion"/>
  </si>
  <si>
    <t>12-14m, H=0~250</t>
    <phoneticPr fontId="12" type="noConversion"/>
  </si>
  <si>
    <t>15-18m, H=0~250</t>
    <phoneticPr fontId="12" type="noConversion"/>
  </si>
  <si>
    <t>SHEET PILE 절단</t>
    <phoneticPr fontId="12" type="noConversion"/>
  </si>
  <si>
    <t>PLATE t=12mm</t>
    <phoneticPr fontId="68" type="noConversion"/>
  </si>
  <si>
    <t>PLATE t=25mm</t>
    <phoneticPr fontId="68" type="noConversion"/>
  </si>
  <si>
    <t>가설 계단</t>
    <phoneticPr fontId="12" type="noConversion"/>
  </si>
  <si>
    <t>200x100x50x1.0t</t>
  </si>
  <si>
    <t>가시설 자재 집계표</t>
    <phoneticPr fontId="70" type="noConversion"/>
  </si>
  <si>
    <t>공    종</t>
    <phoneticPr fontId="70" type="noConversion"/>
  </si>
  <si>
    <t xml:space="preserve">규     격 </t>
    <phoneticPr fontId="70" type="noConversion"/>
  </si>
  <si>
    <t>단위</t>
    <phoneticPr fontId="70" type="noConversion"/>
  </si>
  <si>
    <t>계</t>
    <phoneticPr fontId="70" type="noConversion"/>
  </si>
  <si>
    <t>비   고</t>
    <phoneticPr fontId="11" type="noConversion"/>
  </si>
  <si>
    <t>Sheet-Pile</t>
    <phoneticPr fontId="70" type="noConversion"/>
  </si>
  <si>
    <t>tonf</t>
    <phoneticPr fontId="70" type="noConversion"/>
  </si>
  <si>
    <t>NET</t>
    <phoneticPr fontId="11" type="noConversion"/>
  </si>
  <si>
    <t>할증 계</t>
    <phoneticPr fontId="11" type="noConversion"/>
  </si>
  <si>
    <t>tonf</t>
    <phoneticPr fontId="70" type="noConversion"/>
  </si>
  <si>
    <t>ADD 7%</t>
    <phoneticPr fontId="11" type="noConversion"/>
  </si>
  <si>
    <t>H-300x300x10x15</t>
    <phoneticPr fontId="11" type="noConversion"/>
  </si>
  <si>
    <t>계</t>
    <phoneticPr fontId="11" type="noConversion"/>
  </si>
  <si>
    <t>NET</t>
    <phoneticPr fontId="11" type="noConversion"/>
  </si>
  <si>
    <t>할증 계</t>
    <phoneticPr fontId="11" type="noConversion"/>
  </si>
  <si>
    <t>H-PILE</t>
    <phoneticPr fontId="11" type="noConversion"/>
  </si>
  <si>
    <t>어스앵카용 띠장</t>
    <phoneticPr fontId="11" type="noConversion"/>
  </si>
  <si>
    <t>H-250x250x9x14</t>
    <phoneticPr fontId="11" type="noConversion"/>
  </si>
  <si>
    <t>ADD 7%</t>
    <phoneticPr fontId="11" type="noConversion"/>
  </si>
  <si>
    <t>버팀보용 띠장</t>
    <phoneticPr fontId="11" type="noConversion"/>
  </si>
  <si>
    <t>H-300x300x10x15</t>
    <phoneticPr fontId="11" type="noConversion"/>
  </si>
  <si>
    <t>가이드 빔 및 파일</t>
    <phoneticPr fontId="11" type="noConversion"/>
  </si>
  <si>
    <t>ㄷ-형강</t>
    <phoneticPr fontId="11" type="noConversion"/>
  </si>
  <si>
    <t>L-형강</t>
    <phoneticPr fontId="11" type="noConversion"/>
  </si>
  <si>
    <t>ADD 5%</t>
    <phoneticPr fontId="11" type="noConversion"/>
  </si>
  <si>
    <t>L-형강</t>
    <phoneticPr fontId="11" type="noConversion"/>
  </si>
  <si>
    <t>L-90x90x10</t>
    <phoneticPr fontId="12" type="noConversion"/>
  </si>
  <si>
    <t>ADD 5%</t>
    <phoneticPr fontId="11" type="noConversion"/>
  </si>
  <si>
    <t>강  판</t>
    <phoneticPr fontId="11" type="noConversion"/>
  </si>
  <si>
    <t>t=12mm</t>
    <phoneticPr fontId="11" type="noConversion"/>
  </si>
  <si>
    <t>ADD 10%</t>
    <phoneticPr fontId="11" type="noConversion"/>
  </si>
  <si>
    <t>강  판</t>
    <phoneticPr fontId="11" type="noConversion"/>
  </si>
  <si>
    <t>t=14 mm</t>
    <phoneticPr fontId="11" type="noConversion"/>
  </si>
  <si>
    <t>ADD 10%</t>
    <phoneticPr fontId="11" type="noConversion"/>
  </si>
  <si>
    <t>t=25 mm</t>
    <phoneticPr fontId="11" type="noConversion"/>
  </si>
  <si>
    <t>JACK</t>
    <phoneticPr fontId="12" type="noConversion"/>
  </si>
  <si>
    <t>100 tonf</t>
    <phoneticPr fontId="12" type="noConversion"/>
  </si>
  <si>
    <t>개소</t>
    <phoneticPr fontId="12" type="noConversion"/>
  </si>
  <si>
    <t>PC 강연선</t>
    <phoneticPr fontId="11" type="noConversion"/>
  </si>
  <si>
    <t>m</t>
    <phoneticPr fontId="11" type="noConversion"/>
  </si>
  <si>
    <t>ROCK BOLT</t>
    <phoneticPr fontId="11" type="noConversion"/>
  </si>
  <si>
    <t>L=5.0m</t>
    <phoneticPr fontId="12" type="noConversion"/>
  </si>
  <si>
    <t>개소</t>
    <phoneticPr fontId="11" type="noConversion"/>
  </si>
  <si>
    <t>1) 가 시 설 공</t>
    <phoneticPr fontId="11" type="noConversion"/>
  </si>
  <si>
    <t>버팀보 설치 및 철거</t>
    <phoneticPr fontId="12" type="noConversion"/>
  </si>
  <si>
    <t>차수 그라우팅</t>
    <phoneticPr fontId="12" type="noConversion"/>
  </si>
  <si>
    <t>EARTH ANCHOR용</t>
    <phoneticPr fontId="12" type="noConversion"/>
  </si>
  <si>
    <t>가시설 차수용</t>
    <phoneticPr fontId="12" type="noConversion"/>
  </si>
  <si>
    <t>P1(좌측)</t>
    <phoneticPr fontId="12" type="noConversion"/>
  </si>
  <si>
    <t>H-BEAM</t>
    <phoneticPr fontId="12" type="noConversion"/>
  </si>
  <si>
    <t>공 종</t>
    <phoneticPr fontId="12" type="noConversion"/>
  </si>
  <si>
    <t>NET 계</t>
    <phoneticPr fontId="12" type="noConversion"/>
  </si>
  <si>
    <t>할증 계</t>
    <phoneticPr fontId="12" type="noConversion"/>
  </si>
  <si>
    <t>하중계</t>
    <phoneticPr fontId="12" type="noConversion"/>
  </si>
  <si>
    <t>공</t>
    <phoneticPr fontId="12" type="noConversion"/>
  </si>
  <si>
    <t xml:space="preserve">3. 가이드 빔 기준틀 
</t>
    <phoneticPr fontId="70" type="noConversion"/>
  </si>
  <si>
    <t>이동 및 설치</t>
  </si>
  <si>
    <t>단위수량(ton)</t>
    <phoneticPr fontId="70" type="noConversion"/>
  </si>
  <si>
    <t>풍화암 천공</t>
    <phoneticPr fontId="70" type="noConversion"/>
  </si>
  <si>
    <t>/</t>
    <phoneticPr fontId="12" type="noConversion"/>
  </si>
  <si>
    <t>M당 1회</t>
    <phoneticPr fontId="12" type="noConversion"/>
  </si>
  <si>
    <t>500x200x14</t>
    <phoneticPr fontId="70" type="noConversion"/>
  </si>
  <si>
    <t>620x250x14</t>
    <phoneticPr fontId="70" type="noConversion"/>
  </si>
  <si>
    <t>(L=4.400m)</t>
    <phoneticPr fontId="70" type="noConversion"/>
  </si>
  <si>
    <t>(띠장)</t>
    <phoneticPr fontId="70" type="noConversion"/>
  </si>
  <si>
    <t>(L=1.800m)</t>
    <phoneticPr fontId="70" type="noConversion"/>
  </si>
  <si>
    <t>(버팀보)</t>
    <phoneticPr fontId="70" type="noConversion"/>
  </si>
  <si>
    <t>ㄷ - 150 x 75 x 6.5 x 10</t>
    <phoneticPr fontId="70" type="noConversion"/>
  </si>
  <si>
    <t>m/ea</t>
    <phoneticPr fontId="70" type="noConversion"/>
  </si>
  <si>
    <t>ㄷ-150x75x6.5x10</t>
    <phoneticPr fontId="70" type="noConversion"/>
  </si>
  <si>
    <t>L=4.00m</t>
    <phoneticPr fontId="70" type="noConversion"/>
  </si>
  <si>
    <t>(L-130x130x9)</t>
    <phoneticPr fontId="70" type="noConversion"/>
  </si>
  <si>
    <t>φ25mm ,t=6.5</t>
    <phoneticPr fontId="70" type="noConversion"/>
  </si>
  <si>
    <t>10. 띠장 우각부 연결 및 해체</t>
    <phoneticPr fontId="12" type="noConversion"/>
  </si>
  <si>
    <t>11. 띠장 이음 및 해체</t>
    <phoneticPr fontId="12" type="noConversion"/>
  </si>
  <si>
    <t>12. 보 걸이 설치
   및 철거</t>
    <phoneticPr fontId="70" type="noConversion"/>
  </si>
  <si>
    <t xml:space="preserve">13. 경사 버팀보 </t>
    <phoneticPr fontId="70" type="noConversion"/>
  </si>
  <si>
    <t>제작 설치 및 철거</t>
    <phoneticPr fontId="70" type="noConversion"/>
  </si>
  <si>
    <t>14</t>
    <phoneticPr fontId="12" type="noConversion"/>
  </si>
  <si>
    <t>15. JACK 설치 및
      철거</t>
    <phoneticPr fontId="70" type="noConversion"/>
  </si>
  <si>
    <t>16. 사보강재 제작 
     설치 및 철거</t>
    <phoneticPr fontId="70" type="noConversion"/>
  </si>
  <si>
    <t>18. CHANNEL 조립</t>
    <phoneticPr fontId="70" type="noConversion"/>
  </si>
  <si>
    <t>19. L형강 설치 및
철거</t>
    <phoneticPr fontId="70" type="noConversion"/>
  </si>
  <si>
    <t>20. CHANNEL 조립</t>
    <phoneticPr fontId="70" type="noConversion"/>
  </si>
  <si>
    <t>7-9m, H=300~500</t>
    <phoneticPr fontId="12" type="noConversion"/>
  </si>
  <si>
    <t>경사 버팀보 설치 및 철거</t>
    <phoneticPr fontId="12" type="noConversion"/>
  </si>
  <si>
    <t>JACK 설치 철거</t>
    <phoneticPr fontId="12" type="noConversion"/>
  </si>
  <si>
    <t>SHEET PILE 인발</t>
    <phoneticPr fontId="12" type="noConversion"/>
  </si>
  <si>
    <t>가이드 빔 기준틀 제작</t>
    <phoneticPr fontId="12" type="noConversion"/>
  </si>
  <si>
    <t>지수제 도포</t>
    <phoneticPr fontId="12" type="noConversion"/>
  </si>
  <si>
    <t>띠장 설치 및 철거</t>
    <phoneticPr fontId="12" type="noConversion"/>
  </si>
  <si>
    <t>보걸이 설치 및  철거</t>
    <phoneticPr fontId="12" type="noConversion"/>
  </si>
  <si>
    <t>버팀보 제작</t>
    <phoneticPr fontId="12" type="noConversion"/>
  </si>
  <si>
    <t>9. 버팀보 설치 및
    철거</t>
    <phoneticPr fontId="70" type="noConversion"/>
  </si>
  <si>
    <t>L-형강 설치 및 철거</t>
    <phoneticPr fontId="12" type="noConversion"/>
  </si>
  <si>
    <t>ㄷ-150x75x6.5x10</t>
    <phoneticPr fontId="12" type="noConversion"/>
  </si>
  <si>
    <t>띠장</t>
    <phoneticPr fontId="11" type="noConversion"/>
  </si>
  <si>
    <t>경사 버팀보(L=4.400m)</t>
    <phoneticPr fontId="11" type="noConversion"/>
  </si>
  <si>
    <t>사보강재(L=1.800m)</t>
    <phoneticPr fontId="11" type="noConversion"/>
  </si>
  <si>
    <t>L-130x130x9</t>
    <phoneticPr fontId="12" type="noConversion"/>
  </si>
  <si>
    <t>L-130*130*9</t>
    <phoneticPr fontId="12" type="noConversion"/>
  </si>
  <si>
    <t>ㄷ-150*75*6.5*10</t>
    <phoneticPr fontId="68" type="noConversion"/>
  </si>
  <si>
    <t>ㄷ-380*100*10.5*16</t>
    <phoneticPr fontId="68" type="noConversion"/>
  </si>
  <si>
    <t>장비조립 및 해체</t>
    <phoneticPr fontId="12" type="noConversion"/>
  </si>
  <si>
    <t>6-8m, H=300~500</t>
    <phoneticPr fontId="12" type="noConversion"/>
  </si>
  <si>
    <t>갈전7교</t>
    <phoneticPr fontId="12" type="noConversion"/>
  </si>
  <si>
    <t>시점</t>
    <phoneticPr fontId="7" type="noConversion"/>
  </si>
  <si>
    <t>시점</t>
    <phoneticPr fontId="70" type="noConversion"/>
  </si>
  <si>
    <t>t=14</t>
    <phoneticPr fontId="70" type="noConversion"/>
  </si>
  <si>
    <t>종점</t>
    <phoneticPr fontId="12" type="noConversion"/>
  </si>
  <si>
    <t>5. Sheet Pile 항타</t>
    <phoneticPr fontId="70" type="noConversion"/>
  </si>
  <si>
    <t>SHEET PILE 항타</t>
    <phoneticPr fontId="12" type="noConversion"/>
  </si>
  <si>
    <t>토사</t>
    <phoneticPr fontId="70" type="noConversion"/>
  </si>
  <si>
    <t>풍화암</t>
    <phoneticPr fontId="70" type="noConversion"/>
  </si>
  <si>
    <t>연암</t>
    <phoneticPr fontId="70" type="noConversion"/>
  </si>
  <si>
    <t>H-300x300x10x15</t>
    <phoneticPr fontId="12" type="noConversion"/>
  </si>
  <si>
    <t>L-90x90x10</t>
    <phoneticPr fontId="12" type="noConversion"/>
  </si>
  <si>
    <t>ㄷ-380x100x10.5x16</t>
    <phoneticPr fontId="12" type="noConversion"/>
  </si>
  <si>
    <t>4-6m, H=300~500</t>
    <phoneticPr fontId="12" type="noConversion"/>
  </si>
  <si>
    <t>지중경사계</t>
    <phoneticPr fontId="12" type="noConversion"/>
  </si>
  <si>
    <t>EA</t>
    <phoneticPr fontId="12" type="noConversion"/>
  </si>
  <si>
    <t>지하수위계</t>
    <phoneticPr fontId="12" type="noConversion"/>
  </si>
  <si>
    <t>21. 가시설 계측</t>
    <phoneticPr fontId="70" type="noConversion"/>
  </si>
  <si>
    <t>경사계</t>
    <phoneticPr fontId="70" type="noConversion"/>
  </si>
  <si>
    <t>지하수위계</t>
    <phoneticPr fontId="70" type="noConversion"/>
  </si>
  <si>
    <t>변형률계</t>
    <phoneticPr fontId="70" type="noConversion"/>
  </si>
  <si>
    <t>변형률계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</si>
</sst>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.0"/>
    <numFmt numFmtId="177" formatCode="0.000"/>
    <numFmt numFmtId="178" formatCode="0.000_ "/>
    <numFmt numFmtId="179" formatCode="_ * #,##0_ ;_ * \-#,##0_ ;_ * &quot;-&quot;_ ;_ @_ "/>
    <numFmt numFmtId="180" formatCode="_ * #,##0.00_ ;_ * \-#,##0.00_ ;_ * &quot;-&quot;??_ ;_ @_ "/>
    <numFmt numFmtId="181" formatCode="0\ &quot;EA&quot;"/>
    <numFmt numFmtId="182" formatCode="_-* #,##0.000_-;\-* #,##0.000_-;_-* &quot;-&quot;_-;_-@_-"/>
    <numFmt numFmtId="183" formatCode="#,##0_ "/>
    <numFmt numFmtId="184" formatCode="mm&quot;월&quot;\ dd&quot;일&quot;"/>
    <numFmt numFmtId="185" formatCode="_(* #,##0.00_);_(* \(#,##0.00\);_(* &quot;-&quot;??_);_(@_)"/>
    <numFmt numFmtId="186" formatCode="_ * #,##0.00_ ;_ * &quot;₩&quot;\!\-#,##0.00_ ;_ * &quot;-&quot;??_ ;_ @_ "/>
    <numFmt numFmtId="187" formatCode="_-* #,##0.000_-;&quot;₩&quot;\!\-* #,##0.000_-;_-* &quot;-&quot;_-;_-@_-"/>
    <numFmt numFmtId="188" formatCode="0.0&quot;  &quot;"/>
    <numFmt numFmtId="189" formatCode=";;;"/>
    <numFmt numFmtId="190" formatCode="_-* #,##0.0_-;\-* #,##0.0_-;_-* &quot;-&quot;??_-;_-@_-"/>
    <numFmt numFmtId="191" formatCode="_-* #,##0_-;\-* #,##0_-;_-* &quot;-&quot;??_-;_-@_-"/>
    <numFmt numFmtId="192" formatCode="#,##0.000\ &quot;10공/㎥ &quot;"/>
    <numFmt numFmtId="193" formatCode="#,##0.00\ &quot;개 &quot;"/>
    <numFmt numFmtId="194" formatCode="#,###\ &quot;개&quot;"/>
    <numFmt numFmtId="195" formatCode="#,##0.0\ &quot;개소 &quot;"/>
    <numFmt numFmtId="196" formatCode="#,###.00\ &quot;매 &quot;"/>
    <numFmt numFmtId="197" formatCode="#."/>
    <numFmt numFmtId="198" formatCode="m&quot;/&quot;d"/>
    <numFmt numFmtId="199" formatCode="m&quot;월&quot;\ d&quot;일&quot;"/>
    <numFmt numFmtId="200" formatCode="0_);\(0\)"/>
    <numFmt numFmtId="201" formatCode="0.0%"/>
    <numFmt numFmtId="202" formatCode="0_ "/>
    <numFmt numFmtId="203" formatCode="0.000\ "/>
    <numFmt numFmtId="204" formatCode="&quot;  &quot;@"/>
    <numFmt numFmtId="205" formatCode="&quot;     &quot;@"/>
    <numFmt numFmtId="206" formatCode="0.00\ &quot;)&quot;"/>
    <numFmt numFmtId="207" formatCode="0.00\ &quot;)]&quot;"/>
    <numFmt numFmtId="208" formatCode="_ * #,##0_ ;_ * &quot;₩&quot;&quot;₩&quot;\!\!\-#,##0_ ;_ * &quot;-&quot;??_ ;_ @_ "/>
    <numFmt numFmtId="209" formatCode="&quot;₩&quot;#,##0.00;\!\-&quot;₩&quot;#,##0.00"/>
    <numFmt numFmtId="210" formatCode="#,##0;&quot;-&quot;#,##0"/>
    <numFmt numFmtId="211" formatCode="0.000\ &quot;²&quot;"/>
    <numFmt numFmtId="212" formatCode="&quot;(&quot;\ 0.00"/>
    <numFmt numFmtId="213" formatCode="&quot;[(&quot;\ 0.00"/>
    <numFmt numFmtId="214" formatCode="#,##0.00_ "/>
    <numFmt numFmtId="215" formatCode="_ * #,##0_ ;_ * &quot;₩&quot;&quot;₩&quot;&quot;₩&quot;&quot;₩&quot;\-#,##0_ ;_ * &quot;-&quot;_ ;_ @_ "/>
    <numFmt numFmtId="216" formatCode="#,##0.0"/>
    <numFmt numFmtId="217" formatCode="#,##0\ ;[Red]&quot;-&quot;#,##0\ "/>
    <numFmt numFmtId="218" formatCode="* #,##0\ ;[Red]* &quot;-&quot;#,##0\ "/>
    <numFmt numFmtId="219" formatCode="#,##0.####;[Red]&quot;-&quot;#,##0.####"/>
    <numFmt numFmtId="220" formatCode="#,##0.0###\ ;[Red]&quot;-&quot;#,##0.0###\ "/>
    <numFmt numFmtId="221" formatCode="#,##0.00\ &quot;a &quot;"/>
    <numFmt numFmtId="222" formatCode="_ * #,##0_ ;_ * &quot;₩&quot;\!\-#,##0_ ;_ * &quot;-&quot;_ ;_ @_ "/>
    <numFmt numFmtId="223" formatCode="_ &quot;₩&quot;* #,##0_ ;_ &quot;₩&quot;* \-#,##0_ ;_ &quot;₩&quot;* &quot;-&quot;_ ;_ @_ "/>
    <numFmt numFmtId="224" formatCode="_ &quot;₩&quot;* #,##0.00_ ;_ &quot;₩&quot;* \-#,##0.00_ ;_ &quot;₩&quot;* &quot;-&quot;??_ ;_ @_ "/>
    <numFmt numFmtId="225" formatCode="&quot;RM&quot;#,##0_);\(&quot;RM&quot;#,##0\)"/>
    <numFmt numFmtId="226" formatCode="#,##0;\(#,##0\)"/>
    <numFmt numFmtId="227" formatCode="&quot;₩&quot;#\!\,##0;&quot;₩&quot;\!\-&quot;₩&quot;#\!\,##0"/>
    <numFmt numFmtId="228" formatCode="\$#,##0.00;\(\$#,##0.00\)"/>
    <numFmt numFmtId="229" formatCode="\$#,##0;\(\$#,##0\)"/>
    <numFmt numFmtId="230" formatCode="#,##0.000\ &quot;㎏ &quot;"/>
    <numFmt numFmtId="231" formatCode="#,##0.00\ &quot;ℓ &quot;"/>
    <numFmt numFmtId="232" formatCode="#,##0.000\ &quot;m  &quot;"/>
    <numFmt numFmtId="233" formatCode="#,##0.000\ &quot;㎡ &quot;"/>
    <numFmt numFmtId="234" formatCode="#,##0.000\ &quot;㎥ &quot;"/>
    <numFmt numFmtId="235" formatCode="General_)"/>
    <numFmt numFmtId="236" formatCode="0.0000000000"/>
    <numFmt numFmtId="237" formatCode="0.00000000000"/>
    <numFmt numFmtId="238" formatCode="&quot;₩&quot;#,##0;&quot;₩&quot;&quot;₩&quot;&quot;₩&quot;\!\-#,##0"/>
    <numFmt numFmtId="239" formatCode="0.00_);[Red]\(0.00\)"/>
    <numFmt numFmtId="240" formatCode="0.0_)"/>
    <numFmt numFmtId="241" formatCode="0\ &quot;t&quot;"/>
    <numFmt numFmtId="242" formatCode="0.0_ "/>
    <numFmt numFmtId="243" formatCode="0.0000_ "/>
    <numFmt numFmtId="244" formatCode="0.0000"/>
    <numFmt numFmtId="245" formatCode="0.000\ &quot;tonf&quot;"/>
  </numFmts>
  <fonts count="84">
    <font>
      <sz val="10"/>
      <name val="돋움체"/>
      <family val="3"/>
      <charset val="129"/>
    </font>
    <font>
      <sz val="10"/>
      <name val="돋움체"/>
      <family val="3"/>
      <charset val="129"/>
    </font>
    <font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ÙÅÁÃ¼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0"/>
      <name val="굴림체"/>
      <family val="3"/>
      <charset val="129"/>
    </font>
    <font>
      <sz val="9"/>
      <color indexed="12"/>
      <name val="굴림체"/>
      <family val="3"/>
      <charset val="129"/>
    </font>
    <font>
      <sz val="9"/>
      <color indexed="10"/>
      <name val="굴림체"/>
      <family val="3"/>
      <charset val="129"/>
    </font>
    <font>
      <b/>
      <sz val="11"/>
      <name val="돋움"/>
      <family val="3"/>
      <charset val="129"/>
    </font>
    <font>
      <sz val="8"/>
      <name val="Arial"/>
      <family val="2"/>
    </font>
    <font>
      <sz val="8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10"/>
      <name val="Times New Roman"/>
      <family val="1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Times New Roman"/>
      <family val="1"/>
    </font>
    <font>
      <sz val="9"/>
      <name val="Arial"/>
      <family val="2"/>
    </font>
    <font>
      <sz val="10"/>
      <name val="Courier New"/>
      <family val="3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4"/>
      <name val="뼻뮝"/>
      <family val="1"/>
      <charset val="129"/>
    </font>
    <font>
      <sz val="1"/>
      <color indexed="0"/>
      <name val="Courier"/>
      <family val="3"/>
    </font>
    <font>
      <sz val="12"/>
      <name val="뼻뮝"/>
      <family val="1"/>
      <charset val="129"/>
    </font>
    <font>
      <sz val="9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9"/>
      <color indexed="10"/>
      <name val="바탕체"/>
      <family val="1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1"/>
      <name val="돋움체"/>
      <family val="3"/>
      <charset val="129"/>
    </font>
    <font>
      <b/>
      <u/>
      <sz val="14"/>
      <name val="굴림체"/>
      <family val="3"/>
      <charset val="129"/>
    </font>
    <font>
      <sz val="9.5"/>
      <name val="굴림"/>
      <family val="3"/>
      <charset val="129"/>
    </font>
    <font>
      <sz val="11"/>
      <color indexed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¹UAAA¼"/>
      <family val="2"/>
    </font>
    <font>
      <sz val="12"/>
      <name val="¹UAAA¼"/>
      <family val="2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1"/>
      <name val="μ¸¿o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10"/>
      <name val="굴림"/>
      <family val="3"/>
      <charset val="129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바탕"/>
      <family val="1"/>
      <charset val="129"/>
    </font>
    <font>
      <sz val="12"/>
      <name val="돋움체"/>
      <family val="3"/>
      <charset val="129"/>
    </font>
    <font>
      <sz val="8"/>
      <color indexed="8"/>
      <name val="돋움체"/>
      <family val="3"/>
      <charset val="129"/>
    </font>
    <font>
      <u/>
      <sz val="9"/>
      <name val="굴림체"/>
      <family val="3"/>
      <charset val="129"/>
    </font>
    <font>
      <b/>
      <sz val="11"/>
      <name val="굴림체"/>
      <family val="3"/>
      <charset val="129"/>
    </font>
    <font>
      <sz val="26"/>
      <name val="휴먼둥근헤드라인"/>
      <family val="1"/>
      <charset val="129"/>
    </font>
    <font>
      <sz val="11"/>
      <color theme="1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sz val="12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FF"/>
      <name val="굴림체"/>
      <family val="3"/>
      <charset val="129"/>
    </font>
    <font>
      <b/>
      <sz val="18"/>
      <color theme="1"/>
      <name val="견고딕"/>
      <family val="1"/>
      <charset val="129"/>
    </font>
    <font>
      <b/>
      <sz val="16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0"/>
        <bgColor indexed="2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39">
    <xf numFmtId="0" fontId="0" fillId="0" borderId="0"/>
    <xf numFmtId="186" fontId="20" fillId="0" borderId="0" applyFont="0" applyFill="0" applyBorder="0" applyAlignment="0" applyProtection="0"/>
    <xf numFmtId="24" fontId="21" fillId="0" borderId="0" applyFont="0" applyFill="0" applyBorder="0" applyAlignment="0" applyProtection="0"/>
    <xf numFmtId="187" fontId="8" fillId="0" borderId="0" applyNumberFormat="0" applyFont="0" applyFill="0" applyBorder="0" applyAlignment="0" applyProtection="0"/>
    <xf numFmtId="188" fontId="8" fillId="0" borderId="0" applyNumberFormat="0" applyFont="0" applyFill="0" applyBorder="0" applyAlignment="0" applyProtection="0"/>
    <xf numFmtId="187" fontId="8" fillId="0" borderId="0" applyNumberFormat="0" applyFont="0" applyFill="0" applyBorder="0" applyAlignment="0" applyProtection="0"/>
    <xf numFmtId="188" fontId="8" fillId="0" borderId="0" applyNumberFormat="0" applyFont="0" applyFill="0" applyBorder="0" applyAlignment="0" applyProtection="0"/>
    <xf numFmtId="40" fontId="21" fillId="0" borderId="0" applyFont="0" applyFill="0" applyBorder="0" applyAlignment="0" applyProtection="0"/>
    <xf numFmtId="176" fontId="10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89" fontId="22" fillId="0" borderId="1">
      <alignment vertical="center"/>
    </xf>
    <xf numFmtId="0" fontId="2" fillId="0" borderId="0"/>
    <xf numFmtId="0" fontId="2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5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21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21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21" fillId="0" borderId="0"/>
    <xf numFmtId="0" fontId="20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0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5" fillId="0" borderId="0"/>
    <xf numFmtId="0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3" fillId="0" borderId="0"/>
    <xf numFmtId="184" fontId="10" fillId="0" borderId="0" applyFont="0" applyFill="0" applyBorder="0" applyProtection="0">
      <alignment vertical="center"/>
    </xf>
    <xf numFmtId="190" fontId="10" fillId="0" borderId="0">
      <alignment vertical="center"/>
    </xf>
    <xf numFmtId="191" fontId="10" fillId="0" borderId="0" applyFon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3" fontId="25" fillId="0" borderId="2">
      <alignment horizontal="right" vertical="center"/>
    </xf>
    <xf numFmtId="192" fontId="22" fillId="0" borderId="3" applyBorder="0">
      <alignment vertical="center" wrapText="1"/>
    </xf>
    <xf numFmtId="0" fontId="10" fillId="0" borderId="0"/>
    <xf numFmtId="186" fontId="24" fillId="0" borderId="0" applyFont="0" applyFill="0" applyBorder="0" applyAlignment="0" applyProtection="0"/>
    <xf numFmtId="0" fontId="2" fillId="0" borderId="4">
      <alignment horizont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2" fontId="25" fillId="0" borderId="2">
      <alignment horizontal="right" vertical="center"/>
    </xf>
    <xf numFmtId="186" fontId="24" fillId="0" borderId="0" applyFont="0" applyFill="0" applyBorder="0" applyAlignment="0" applyProtection="0"/>
    <xf numFmtId="40" fontId="21" fillId="0" borderId="0" applyFont="0" applyFill="0" applyBorder="0" applyAlignment="0" applyProtection="0"/>
    <xf numFmtId="9" fontId="2" fillId="0" borderId="0">
      <protection locked="0"/>
    </xf>
    <xf numFmtId="186" fontId="20" fillId="0" borderId="0" applyFont="0" applyFill="0" applyBorder="0" applyAlignment="0" applyProtection="0"/>
    <xf numFmtId="221" fontId="22" fillId="0" borderId="1">
      <alignment vertical="center"/>
    </xf>
    <xf numFmtId="222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23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6" fillId="0" borderId="0" applyFont="0" applyFill="0" applyBorder="0" applyAlignment="0" applyProtection="0"/>
    <xf numFmtId="224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1" fillId="0" borderId="0"/>
    <xf numFmtId="224" fontId="4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6" fillId="0" borderId="0" applyFont="0" applyFill="0" applyBorder="0" applyAlignment="0" applyProtection="0"/>
    <xf numFmtId="180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86" fontId="5" fillId="0" borderId="0" applyFont="0" applyFill="0" applyBorder="0" applyAlignment="0" applyProtection="0"/>
    <xf numFmtId="0" fontId="45" fillId="0" borderId="0"/>
    <xf numFmtId="0" fontId="4" fillId="0" borderId="0"/>
    <xf numFmtId="0" fontId="48" fillId="0" borderId="0"/>
    <xf numFmtId="0" fontId="49" fillId="0" borderId="0"/>
    <xf numFmtId="0" fontId="50" fillId="0" borderId="0"/>
    <xf numFmtId="0" fontId="10" fillId="0" borderId="0" applyFill="0" applyBorder="0" applyAlignment="0"/>
    <xf numFmtId="0" fontId="51" fillId="0" borderId="0"/>
    <xf numFmtId="225" fontId="2" fillId="0" borderId="0">
      <protection locked="0"/>
    </xf>
    <xf numFmtId="0" fontId="52" fillId="0" borderId="0" applyFont="0" applyFill="0" applyBorder="0" applyAlignment="0" applyProtection="0"/>
    <xf numFmtId="226" fontId="20" fillId="0" borderId="0"/>
    <xf numFmtId="0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53" fillId="0" borderId="0" applyNumberFormat="0" applyAlignment="0">
      <alignment horizontal="left"/>
    </xf>
    <xf numFmtId="0" fontId="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" fillId="0" borderId="0" applyFont="0" applyFill="0" applyBorder="0" applyAlignment="0" applyProtection="0"/>
    <xf numFmtId="225" fontId="2" fillId="0" borderId="0">
      <protection locked="0"/>
    </xf>
    <xf numFmtId="0" fontId="5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20" fillId="0" borderId="0"/>
    <xf numFmtId="225" fontId="2" fillId="0" borderId="0">
      <protection locked="0"/>
    </xf>
    <xf numFmtId="0" fontId="2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29" fontId="20" fillId="0" borderId="0"/>
    <xf numFmtId="181" fontId="24" fillId="0" borderId="0" applyFill="0" applyBorder="0">
      <alignment horizontal="centerContinuous"/>
    </xf>
    <xf numFmtId="0" fontId="54" fillId="0" borderId="0" applyNumberFormat="0" applyAlignment="0">
      <alignment horizontal="left"/>
    </xf>
    <xf numFmtId="0" fontId="10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55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55" fillId="0" borderId="0">
      <protection locked="0"/>
    </xf>
    <xf numFmtId="225" fontId="2" fillId="0" borderId="0">
      <protection locked="0"/>
    </xf>
    <xf numFmtId="0" fontId="21" fillId="0" borderId="0" applyFont="0" applyFill="0" applyBorder="0" applyAlignment="0" applyProtection="0"/>
    <xf numFmtId="38" fontId="17" fillId="2" borderId="0" applyNumberFormat="0" applyBorder="0" applyAlignment="0" applyProtection="0"/>
    <xf numFmtId="3" fontId="22" fillId="0" borderId="5">
      <alignment horizontal="right" vertical="center"/>
    </xf>
    <xf numFmtId="4" fontId="22" fillId="0" borderId="5">
      <alignment horizontal="right" vertical="center"/>
    </xf>
    <xf numFmtId="0" fontId="56" fillId="0" borderId="0">
      <alignment horizontal="left"/>
    </xf>
    <xf numFmtId="0" fontId="6" fillId="0" borderId="6" applyNumberFormat="0" applyAlignment="0" applyProtection="0">
      <alignment horizontal="left" vertical="center"/>
    </xf>
    <xf numFmtId="0" fontId="6" fillId="0" borderId="7">
      <alignment horizontal="left" vertical="center"/>
    </xf>
    <xf numFmtId="0" fontId="5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225" fontId="2" fillId="0" borderId="0">
      <protection locked="0"/>
    </xf>
    <xf numFmtId="225" fontId="2" fillId="0" borderId="0">
      <protection locked="0"/>
    </xf>
    <xf numFmtId="0" fontId="58" fillId="0" borderId="0" applyNumberFormat="0" applyFill="0" applyBorder="0" applyAlignment="0" applyProtection="0"/>
    <xf numFmtId="10" fontId="17" fillId="2" borderId="1" applyNumberFormat="0" applyBorder="0" applyAlignment="0" applyProtection="0"/>
    <xf numFmtId="230" fontId="22" fillId="0" borderId="1">
      <alignment vertical="center"/>
    </xf>
    <xf numFmtId="231" fontId="22" fillId="0" borderId="1">
      <alignment vertical="center"/>
    </xf>
    <xf numFmtId="232" fontId="22" fillId="0" borderId="1">
      <alignment horizontal="right" vertical="center"/>
    </xf>
    <xf numFmtId="233" fontId="22" fillId="0" borderId="1">
      <alignment vertical="center"/>
    </xf>
    <xf numFmtId="234" fontId="22" fillId="0" borderId="1">
      <alignment vertical="center"/>
    </xf>
    <xf numFmtId="235" fontId="59" fillId="0" borderId="0">
      <alignment horizontal="left"/>
    </xf>
    <xf numFmtId="38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60" fillId="0" borderId="8"/>
    <xf numFmtId="236" fontId="61" fillId="0" borderId="0" applyFont="0" applyFill="0" applyBorder="0" applyAlignment="0" applyProtection="0"/>
    <xf numFmtId="237" fontId="61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0" fontId="1" fillId="0" borderId="0">
      <alignment vertical="center"/>
    </xf>
    <xf numFmtId="225" fontId="2" fillId="0" borderId="0">
      <protection locked="0"/>
    </xf>
    <xf numFmtId="10" fontId="5" fillId="0" borderId="0" applyFont="0" applyFill="0" applyBorder="0" applyAlignment="0" applyProtection="0"/>
    <xf numFmtId="0" fontId="2" fillId="0" borderId="0">
      <protection locked="0"/>
    </xf>
    <xf numFmtId="186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30" fontId="62" fillId="0" borderId="0" applyNumberFormat="0" applyFill="0" applyBorder="0" applyAlignment="0" applyProtection="0">
      <alignment horizontal="left"/>
    </xf>
    <xf numFmtId="238" fontId="10" fillId="0" borderId="0" applyFont="0" applyFill="0" applyBorder="0" applyAlignment="0" applyProtection="0"/>
    <xf numFmtId="186" fontId="5" fillId="0" borderId="0" applyFont="0" applyFill="0" applyBorder="0" applyAlignment="0" applyProtection="0"/>
    <xf numFmtId="239" fontId="1" fillId="0" borderId="0">
      <alignment vertical="center"/>
    </xf>
    <xf numFmtId="239" fontId="1" fillId="0" borderId="0">
      <alignment vertical="distributed"/>
    </xf>
    <xf numFmtId="0" fontId="5" fillId="3" borderId="0"/>
    <xf numFmtId="0" fontId="60" fillId="0" borderId="0"/>
    <xf numFmtId="40" fontId="63" fillId="0" borderId="0" applyBorder="0">
      <alignment horizontal="right"/>
    </xf>
    <xf numFmtId="40" fontId="21" fillId="0" borderId="0" applyFont="0" applyFill="0" applyBorder="0" applyAlignment="0" applyProtection="0"/>
    <xf numFmtId="240" fontId="64" fillId="0" borderId="0">
      <alignment horizontal="center"/>
    </xf>
    <xf numFmtId="49" fontId="65" fillId="0" borderId="0" applyFill="0" applyBorder="0" applyProtection="0">
      <alignment horizontal="centerContinuous" vertical="center"/>
    </xf>
    <xf numFmtId="0" fontId="66" fillId="0" borderId="0" applyFill="0" applyBorder="0" applyProtection="0">
      <alignment horizontal="centerContinuous" vertical="center"/>
    </xf>
    <xf numFmtId="0" fontId="67" fillId="2" borderId="0" applyFill="0" applyBorder="0" applyProtection="0">
      <alignment horizontal="center" vertical="center"/>
    </xf>
    <xf numFmtId="49" fontId="34" fillId="0" borderId="0" applyBorder="0">
      <alignment horizontal="right"/>
    </xf>
    <xf numFmtId="241" fontId="24" fillId="0" borderId="0" applyFill="0" applyBorder="0">
      <alignment horizontal="centerContinuous"/>
    </xf>
    <xf numFmtId="225" fontId="2" fillId="0" borderId="9">
      <protection locked="0"/>
    </xf>
    <xf numFmtId="0" fontId="68" fillId="0" borderId="4">
      <alignment horizontal="left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1" fillId="0" borderId="0">
      <alignment horizontal="center" vertical="center"/>
    </xf>
    <xf numFmtId="0" fontId="69" fillId="0" borderId="0" applyNumberFormat="0" applyFill="0" applyBorder="0" applyAlignment="0" applyProtection="0"/>
    <xf numFmtId="49" fontId="22" fillId="0" borderId="1">
      <alignment horizontal="center" vertical="center"/>
    </xf>
    <xf numFmtId="193" fontId="22" fillId="0" borderId="1">
      <alignment vertical="center"/>
    </xf>
    <xf numFmtId="194" fontId="22" fillId="0" borderId="1">
      <alignment vertical="center"/>
    </xf>
    <xf numFmtId="195" fontId="22" fillId="0" borderId="1">
      <alignment vertical="center"/>
    </xf>
    <xf numFmtId="0" fontId="10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7" fillId="0" borderId="0"/>
    <xf numFmtId="0" fontId="28" fillId="0" borderId="0">
      <protection locked="0"/>
    </xf>
    <xf numFmtId="3" fontId="21" fillId="0" borderId="10">
      <alignment horizontal="center"/>
    </xf>
    <xf numFmtId="0" fontId="28" fillId="0" borderId="0"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196" fontId="22" fillId="0" borderId="0">
      <alignment vertical="center"/>
    </xf>
    <xf numFmtId="196" fontId="22" fillId="0" borderId="0">
      <alignment vertical="center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8" fontId="10" fillId="0" borderId="0" applyFont="0" applyFill="0" applyBorder="0" applyProtection="0">
      <alignment horizontal="center" vertical="center"/>
    </xf>
    <xf numFmtId="199" fontId="10" fillId="0" borderId="0" applyFont="0" applyFill="0" applyBorder="0" applyProtection="0">
      <alignment horizontal="center" vertical="center"/>
    </xf>
    <xf numFmtId="9" fontId="3" fillId="2" borderId="0" applyFill="0" applyBorder="0" applyProtection="0">
      <alignment horizontal="right"/>
    </xf>
    <xf numFmtId="10" fontId="3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200" fontId="10" fillId="0" borderId="0" applyFont="0" applyFill="0" applyBorder="0" applyAlignment="0" applyProtection="0"/>
    <xf numFmtId="201" fontId="1" fillId="0" borderId="0" applyFont="0" applyFill="0" applyBorder="0" applyAlignment="0" applyProtection="0"/>
    <xf numFmtId="0" fontId="33" fillId="0" borderId="0"/>
    <xf numFmtId="0" fontId="34" fillId="0" borderId="0" applyNumberFormat="0" applyFont="0" applyFill="0" applyBorder="0" applyProtection="0">
      <alignment horizontal="centerContinuous" vertical="center"/>
    </xf>
    <xf numFmtId="0" fontId="34" fillId="0" borderId="0" applyNumberFormat="0" applyFont="0" applyFill="0" applyBorder="0" applyProtection="0">
      <alignment horizontal="centerContinuous" vertical="center"/>
    </xf>
    <xf numFmtId="202" fontId="34" fillId="0" borderId="0" applyNumberFormat="0" applyFont="0" applyFill="0" applyBorder="0" applyProtection="0">
      <alignment horizontal="centerContinuous"/>
    </xf>
    <xf numFmtId="0" fontId="34" fillId="0" borderId="0" applyNumberFormat="0" applyFont="0" applyFill="0" applyBorder="0" applyProtection="0">
      <alignment horizontal="centerContinuous" vertical="center"/>
    </xf>
    <xf numFmtId="0" fontId="1" fillId="0" borderId="0" applyNumberFormat="0" applyFont="0" applyFill="0" applyBorder="0" applyProtection="0">
      <alignment horizontal="centerContinuous" vertical="center"/>
    </xf>
    <xf numFmtId="202" fontId="34" fillId="0" borderId="0" applyNumberFormat="0" applyFont="0" applyFill="0" applyBorder="0" applyProtection="0">
      <alignment horizontal="centerContinuous" vertical="center"/>
    </xf>
    <xf numFmtId="202" fontId="7" fillId="0" borderId="11" applyFont="0" applyFill="0" applyBorder="0" applyAlignment="0" applyProtection="0">
      <alignment vertical="center"/>
    </xf>
    <xf numFmtId="178" fontId="7" fillId="0" borderId="11" applyFont="0" applyFill="0" applyBorder="0" applyAlignment="0" applyProtection="0">
      <alignment vertical="center"/>
    </xf>
    <xf numFmtId="0" fontId="8" fillId="0" borderId="0"/>
    <xf numFmtId="1" fontId="34" fillId="0" borderId="0" applyFont="0" applyFill="0" applyBorder="0" applyProtection="0">
      <alignment horizontal="centerContinuous" vertical="center"/>
    </xf>
    <xf numFmtId="0" fontId="35" fillId="0" borderId="0">
      <alignment vertical="center"/>
    </xf>
    <xf numFmtId="0" fontId="36" fillId="0" borderId="1" applyFont="0" applyFill="0" applyBorder="0" applyAlignment="0" applyProtection="0">
      <alignment horizontal="centerContinuous" vertical="center"/>
    </xf>
    <xf numFmtId="0" fontId="34" fillId="0" borderId="0" applyFont="0" applyFill="0" applyBorder="0" applyProtection="0">
      <alignment horizontal="centerContinuous" vertical="center"/>
    </xf>
    <xf numFmtId="177" fontId="34" fillId="0" borderId="0" applyFont="0" applyFill="0" applyBorder="0" applyProtection="0">
      <alignment horizontal="centerContinuous" vertical="center"/>
    </xf>
    <xf numFmtId="203" fontId="34" fillId="0" borderId="12" applyFont="0" applyFill="0" applyBorder="0" applyProtection="0">
      <alignment horizontal="right" vertical="center"/>
      <protection locked="0"/>
    </xf>
    <xf numFmtId="203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85" fontId="18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0" fontId="5" fillId="0" borderId="0"/>
    <xf numFmtId="0" fontId="20" fillId="0" borderId="0"/>
    <xf numFmtId="0" fontId="20" fillId="0" borderId="0"/>
    <xf numFmtId="0" fontId="20" fillId="0" borderId="0"/>
    <xf numFmtId="0" fontId="37" fillId="0" borderId="13"/>
    <xf numFmtId="0" fontId="22" fillId="0" borderId="14">
      <alignment vertical="center"/>
    </xf>
    <xf numFmtId="204" fontId="22" fillId="0" borderId="1" applyBorder="0">
      <alignment vertical="center"/>
    </xf>
    <xf numFmtId="205" fontId="22" fillId="0" borderId="1" applyBorder="0">
      <alignment horizontal="left" vertical="center"/>
    </xf>
    <xf numFmtId="206" fontId="9" fillId="0" borderId="0" applyFill="0" applyBorder="0">
      <alignment horizontal="centerContinuous"/>
    </xf>
    <xf numFmtId="207" fontId="9" fillId="0" borderId="0" applyFill="0" applyBorder="0">
      <alignment horizontal="centerContinuous"/>
    </xf>
    <xf numFmtId="208" fontId="8" fillId="0" borderId="0" applyFont="0" applyFill="0" applyBorder="0" applyAlignment="0" applyProtection="0"/>
    <xf numFmtId="209" fontId="8" fillId="0" borderId="0" applyFont="0" applyFill="0" applyBorder="0" applyAlignment="0" applyProtection="0"/>
    <xf numFmtId="210" fontId="38" fillId="0" borderId="0" applyFont="0" applyFill="0" applyBorder="0" applyAlignment="0" applyProtection="0"/>
    <xf numFmtId="0" fontId="39" fillId="0" borderId="0">
      <alignment vertical="center"/>
    </xf>
    <xf numFmtId="0" fontId="34" fillId="0" borderId="0" applyNumberFormat="0" applyFont="0" applyFill="0" applyBorder="0" applyProtection="0">
      <alignment vertical="center"/>
    </xf>
    <xf numFmtId="4" fontId="28" fillId="0" borderId="0">
      <protection locked="0"/>
    </xf>
    <xf numFmtId="0" fontId="10" fillId="0" borderId="0">
      <protection locked="0"/>
    </xf>
    <xf numFmtId="211" fontId="24" fillId="0" borderId="0" applyFill="0" applyBorder="0">
      <alignment horizontal="centerContinuous"/>
    </xf>
    <xf numFmtId="49" fontId="11" fillId="0" borderId="7">
      <alignment horizontal="center" vertical="center"/>
    </xf>
    <xf numFmtId="212" fontId="9" fillId="0" borderId="0" applyFill="0" applyBorder="0">
      <alignment horizontal="centerContinuous"/>
    </xf>
    <xf numFmtId="213" fontId="9" fillId="0" borderId="0" applyFill="0" applyBorder="0">
      <alignment horizontal="centerContinuous"/>
    </xf>
    <xf numFmtId="0" fontId="2" fillId="0" borderId="0"/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214" fontId="10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0" fontId="10" fillId="0" borderId="0">
      <protection locked="0"/>
    </xf>
    <xf numFmtId="179" fontId="2" fillId="0" borderId="15">
      <alignment horizontal="center" vertical="center"/>
    </xf>
    <xf numFmtId="0" fontId="2" fillId="0" borderId="0" applyFont="0" applyFill="0" applyBorder="0" applyAlignment="0" applyProtection="0"/>
    <xf numFmtId="179" fontId="13" fillId="0" borderId="16">
      <alignment vertical="center"/>
    </xf>
    <xf numFmtId="215" fontId="5" fillId="0" borderId="1"/>
    <xf numFmtId="216" fontId="2" fillId="2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17" fontId="13" fillId="0" borderId="0" applyFont="0" applyFill="0" applyBorder="0" applyAlignment="0" applyProtection="0"/>
    <xf numFmtId="218" fontId="13" fillId="0" borderId="0" applyFont="0" applyFill="0" applyBorder="0" applyAlignment="0" applyProtection="0"/>
    <xf numFmtId="182" fontId="40" fillId="0" borderId="1">
      <alignment vertical="center"/>
    </xf>
    <xf numFmtId="219" fontId="13" fillId="0" borderId="0" applyFont="0" applyFill="0" applyBorder="0" applyAlignment="0" applyProtection="0"/>
    <xf numFmtId="220" fontId="1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1" fillId="0" borderId="0">
      <alignment horizontal="centerContinuous" vertical="center"/>
    </xf>
    <xf numFmtId="2" fontId="42" fillId="0" borderId="12" applyNumberFormat="0" applyFont="0" applyFill="0" applyAlignment="0" applyProtection="0">
      <alignment vertical="center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42" fontId="1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" fillId="0" borderId="0">
      <protection locked="0"/>
    </xf>
    <xf numFmtId="0" fontId="10" fillId="0" borderId="0"/>
    <xf numFmtId="0" fontId="8" fillId="0" borderId="12">
      <alignment horizontal="center" vertical="center"/>
    </xf>
    <xf numFmtId="0" fontId="8" fillId="0" borderId="12">
      <alignment horizontal="left" vertical="center"/>
    </xf>
    <xf numFmtId="0" fontId="8" fillId="0" borderId="12">
      <alignment vertical="center" textRotation="255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97" fontId="32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43" fillId="4" borderId="17" applyNumberFormat="0" applyProtection="0">
      <alignment horizontal="right"/>
    </xf>
    <xf numFmtId="0" fontId="10" fillId="0" borderId="0"/>
    <xf numFmtId="0" fontId="72" fillId="0" borderId="0"/>
    <xf numFmtId="0" fontId="10" fillId="0" borderId="0"/>
    <xf numFmtId="0" fontId="19" fillId="0" borderId="0"/>
    <xf numFmtId="0" fontId="18" fillId="0" borderId="0"/>
    <xf numFmtId="0" fontId="13" fillId="0" borderId="0"/>
    <xf numFmtId="0" fontId="44" fillId="0" borderId="0">
      <alignment vertical="center"/>
    </xf>
    <xf numFmtId="0" fontId="76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10" fillId="0" borderId="0"/>
    <xf numFmtId="0" fontId="2" fillId="0" borderId="0"/>
    <xf numFmtId="0" fontId="10" fillId="0" borderId="0"/>
    <xf numFmtId="0" fontId="3" fillId="0" borderId="0"/>
    <xf numFmtId="0" fontId="28" fillId="0" borderId="18">
      <protection locked="0"/>
    </xf>
    <xf numFmtId="0" fontId="10" fillId="0" borderId="0">
      <protection locked="0"/>
    </xf>
    <xf numFmtId="0" fontId="10" fillId="0" borderId="0">
      <protection locked="0"/>
    </xf>
  </cellStyleXfs>
  <cellXfs count="491">
    <xf numFmtId="0" fontId="0" fillId="0" borderId="0" xfId="0"/>
    <xf numFmtId="177" fontId="7" fillId="0" borderId="0" xfId="1633" applyNumberFormat="1" applyFont="1" applyAlignment="1">
      <alignment horizontal="center" vertical="center"/>
    </xf>
    <xf numFmtId="177" fontId="7" fillId="0" borderId="19" xfId="1633" applyNumberFormat="1" applyFont="1" applyBorder="1" applyAlignment="1">
      <alignment horizontal="center" vertical="center"/>
    </xf>
    <xf numFmtId="177" fontId="7" fillId="0" borderId="20" xfId="1633" applyNumberFormat="1" applyFont="1" applyBorder="1" applyAlignment="1">
      <alignment horizontal="center" vertical="center"/>
    </xf>
    <xf numFmtId="177" fontId="7" fillId="0" borderId="21" xfId="1633" applyNumberFormat="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center" vertical="center"/>
    </xf>
    <xf numFmtId="177" fontId="7" fillId="0" borderId="23" xfId="1633" applyNumberFormat="1" applyFont="1" applyBorder="1" applyAlignment="1">
      <alignment horizontal="center" vertical="center"/>
    </xf>
    <xf numFmtId="0" fontId="7" fillId="0" borderId="0" xfId="1633" applyFont="1" applyAlignment="1">
      <alignment vertical="center"/>
    </xf>
    <xf numFmtId="177" fontId="7" fillId="0" borderId="0" xfId="1633" applyNumberFormat="1" applyFont="1" applyAlignment="1">
      <alignment horizontal="left" vertical="center"/>
    </xf>
    <xf numFmtId="177" fontId="7" fillId="0" borderId="23" xfId="1633" applyNumberFormat="1" applyFont="1" applyBorder="1" applyAlignment="1">
      <alignment horizontal="left" vertical="center"/>
    </xf>
    <xf numFmtId="177" fontId="7" fillId="0" borderId="0" xfId="1633" applyNumberFormat="1" applyFont="1" applyAlignment="1">
      <alignment horizontal="centerContinuous" vertical="center"/>
    </xf>
    <xf numFmtId="177" fontId="7" fillId="0" borderId="22" xfId="1633" applyNumberFormat="1" applyFont="1" applyBorder="1" applyAlignment="1">
      <alignment horizontal="left" vertical="center"/>
    </xf>
    <xf numFmtId="0" fontId="14" fillId="0" borderId="0" xfId="1631" applyFont="1" applyAlignment="1">
      <alignment horizontal="center" vertical="center"/>
    </xf>
    <xf numFmtId="178" fontId="14" fillId="0" borderId="0" xfId="1631" applyNumberFormat="1" applyFont="1" applyAlignment="1">
      <alignment horizontal="center" vertical="center"/>
    </xf>
    <xf numFmtId="0" fontId="7" fillId="0" borderId="0" xfId="1633" applyFont="1" applyAlignment="1">
      <alignment horizontal="right" vertical="center"/>
    </xf>
    <xf numFmtId="0" fontId="7" fillId="0" borderId="0" xfId="1631" applyFont="1" applyAlignment="1">
      <alignment horizontal="center" vertical="center"/>
    </xf>
    <xf numFmtId="0" fontId="7" fillId="0" borderId="0" xfId="1633" applyFont="1" applyAlignment="1">
      <alignment horizontal="center" vertical="center"/>
    </xf>
    <xf numFmtId="178" fontId="77" fillId="0" borderId="0" xfId="1631" applyNumberFormat="1" applyFont="1" applyAlignment="1">
      <alignment horizontal="center" vertical="center"/>
    </xf>
    <xf numFmtId="1" fontId="7" fillId="0" borderId="0" xfId="1633" applyNumberFormat="1" applyFont="1" applyAlignment="1">
      <alignment horizontal="right" vertical="center"/>
    </xf>
    <xf numFmtId="0" fontId="7" fillId="0" borderId="14" xfId="1633" applyFont="1" applyBorder="1" applyAlignment="1">
      <alignment horizontal="center" vertical="center"/>
    </xf>
    <xf numFmtId="0" fontId="7" fillId="0" borderId="14" xfId="1633" applyFont="1" applyBorder="1" applyAlignment="1">
      <alignment vertical="center"/>
    </xf>
    <xf numFmtId="177" fontId="7" fillId="0" borderId="14" xfId="1633" applyNumberFormat="1" applyFont="1" applyBorder="1" applyAlignment="1">
      <alignment horizontal="center" vertical="center"/>
    </xf>
    <xf numFmtId="0" fontId="7" fillId="0" borderId="24" xfId="1633" applyFont="1" applyBorder="1" applyAlignment="1">
      <alignment horizontal="center" vertical="center"/>
    </xf>
    <xf numFmtId="178" fontId="7" fillId="0" borderId="0" xfId="1631" applyNumberFormat="1" applyFont="1" applyAlignment="1">
      <alignment horizontal="center" vertical="center"/>
    </xf>
    <xf numFmtId="1" fontId="7" fillId="0" borderId="0" xfId="1633" applyNumberFormat="1" applyFont="1" applyAlignment="1">
      <alignment horizontal="center" vertical="center"/>
    </xf>
    <xf numFmtId="177" fontId="7" fillId="0" borderId="0" xfId="1633" applyNumberFormat="1" applyFont="1" applyAlignment="1">
      <alignment horizontal="right" vertical="center"/>
    </xf>
    <xf numFmtId="177" fontId="7" fillId="0" borderId="25" xfId="1633" applyNumberFormat="1" applyFont="1" applyBorder="1" applyAlignment="1">
      <alignment horizontal="center" vertical="center"/>
    </xf>
    <xf numFmtId="177" fontId="7" fillId="0" borderId="24" xfId="1633" applyNumberFormat="1" applyFont="1" applyBorder="1" applyAlignment="1">
      <alignment horizontal="center" vertical="center"/>
    </xf>
    <xf numFmtId="0" fontId="7" fillId="0" borderId="14" xfId="1633" quotePrefix="1" applyFont="1" applyBorder="1" applyAlignment="1">
      <alignment horizontal="left" vertical="center"/>
    </xf>
    <xf numFmtId="0" fontId="7" fillId="0" borderId="14" xfId="1633" applyFont="1" applyBorder="1" applyAlignment="1">
      <alignment horizontal="centerContinuous" vertical="center"/>
    </xf>
    <xf numFmtId="177" fontId="7" fillId="0" borderId="14" xfId="1633" applyNumberFormat="1" applyFont="1" applyBorder="1" applyAlignment="1">
      <alignment horizontal="centerContinuous" vertical="center"/>
    </xf>
    <xf numFmtId="177" fontId="7" fillId="0" borderId="14" xfId="1629" applyNumberFormat="1" applyFont="1" applyBorder="1" applyAlignment="1">
      <alignment horizontal="centerContinuous" vertical="center"/>
    </xf>
    <xf numFmtId="177" fontId="7" fillId="0" borderId="14" xfId="1629" applyNumberFormat="1" applyFont="1" applyBorder="1" applyAlignment="1">
      <alignment horizontal="center" vertical="center"/>
    </xf>
    <xf numFmtId="0" fontId="7" fillId="0" borderId="0" xfId="1633" applyFont="1" applyAlignment="1">
      <alignment horizontal="left" vertical="center"/>
    </xf>
    <xf numFmtId="178" fontId="7" fillId="0" borderId="0" xfId="1633" applyNumberFormat="1" applyFont="1" applyAlignment="1">
      <alignment horizontal="center" vertical="center"/>
    </xf>
    <xf numFmtId="0" fontId="7" fillId="0" borderId="0" xfId="1633" quotePrefix="1" applyFont="1" applyAlignment="1">
      <alignment horizontal="left" vertical="center"/>
    </xf>
    <xf numFmtId="0" fontId="78" fillId="0" borderId="0" xfId="1633" applyFont="1" applyAlignment="1">
      <alignment vertical="center"/>
    </xf>
    <xf numFmtId="0" fontId="7" fillId="0" borderId="0" xfId="1633" applyFont="1" applyAlignment="1">
      <alignment horizontal="centerContinuous" vertical="center"/>
    </xf>
    <xf numFmtId="177" fontId="7" fillId="0" borderId="0" xfId="1629" applyNumberFormat="1" applyFont="1" applyAlignment="1">
      <alignment horizontal="center" vertical="center"/>
    </xf>
    <xf numFmtId="177" fontId="7" fillId="0" borderId="23" xfId="1629" applyNumberFormat="1" applyFont="1" applyBorder="1" applyAlignment="1">
      <alignment horizontal="center" vertical="center"/>
    </xf>
    <xf numFmtId="177" fontId="7" fillId="0" borderId="0" xfId="1629" applyNumberFormat="1" applyFont="1" applyAlignment="1">
      <alignment horizontal="centerContinuous" vertical="center"/>
    </xf>
    <xf numFmtId="1" fontId="78" fillId="0" borderId="0" xfId="1629" applyNumberFormat="1" applyFont="1" applyAlignment="1">
      <alignment horizontal="center" vertical="center"/>
    </xf>
    <xf numFmtId="177" fontId="7" fillId="0" borderId="0" xfId="1629" applyNumberFormat="1" applyFont="1" applyAlignment="1">
      <alignment horizontal="left" vertical="center"/>
    </xf>
    <xf numFmtId="177" fontId="7" fillId="0" borderId="0" xfId="1629" quotePrefix="1" applyNumberFormat="1" applyFont="1" applyAlignment="1">
      <alignment horizontal="center" vertical="center"/>
    </xf>
    <xf numFmtId="1" fontId="7" fillId="0" borderId="0" xfId="1629" applyNumberFormat="1" applyFont="1" applyAlignment="1">
      <alignment horizontal="center" vertical="center"/>
    </xf>
    <xf numFmtId="242" fontId="78" fillId="0" borderId="0" xfId="1633" applyNumberFormat="1" applyFont="1" applyAlignment="1">
      <alignment horizontal="center" vertical="center"/>
    </xf>
    <xf numFmtId="0" fontId="7" fillId="0" borderId="23" xfId="1633" applyFont="1" applyBorder="1" applyAlignment="1">
      <alignment horizontal="center" vertical="center"/>
    </xf>
    <xf numFmtId="177" fontId="7" fillId="0" borderId="14" xfId="1633" applyNumberFormat="1" applyFont="1" applyBorder="1" applyAlignment="1">
      <alignment horizontal="left" vertical="center"/>
    </xf>
    <xf numFmtId="1" fontId="7" fillId="0" borderId="14" xfId="1633" applyNumberFormat="1" applyFont="1" applyBorder="1" applyAlignment="1">
      <alignment horizontal="center" vertical="center"/>
    </xf>
    <xf numFmtId="177" fontId="7" fillId="0" borderId="24" xfId="1629" applyNumberFormat="1" applyFont="1" applyBorder="1" applyAlignment="1">
      <alignment horizontal="center" vertical="center"/>
    </xf>
    <xf numFmtId="177" fontId="19" fillId="0" borderId="0" xfId="1629" applyNumberFormat="1" applyFont="1" applyAlignment="1">
      <alignment horizontal="center" vertical="center"/>
    </xf>
    <xf numFmtId="1" fontId="15" fillId="0" borderId="0" xfId="1629" quotePrefix="1" applyNumberFormat="1" applyFont="1" applyAlignment="1">
      <alignment horizontal="center" vertical="center"/>
    </xf>
    <xf numFmtId="177" fontId="15" fillId="0" borderId="0" xfId="1629" applyNumberFormat="1" applyFont="1" applyAlignment="1">
      <alignment horizontal="center" vertical="center"/>
    </xf>
    <xf numFmtId="177" fontId="7" fillId="0" borderId="23" xfId="1633" applyNumberFormat="1" applyFont="1" applyBorder="1" applyAlignment="1">
      <alignment horizontal="centerContinuous" vertical="center"/>
    </xf>
    <xf numFmtId="1" fontId="19" fillId="0" borderId="0" xfId="1629" quotePrefix="1" applyNumberFormat="1" applyFont="1" applyAlignment="1">
      <alignment horizontal="center" vertical="center"/>
    </xf>
    <xf numFmtId="177" fontId="7" fillId="0" borderId="0" xfId="1629" applyNumberFormat="1" applyFont="1" applyAlignment="1">
      <alignment horizontal="right" vertical="center"/>
    </xf>
    <xf numFmtId="177" fontId="7" fillId="0" borderId="23" xfId="1629" applyNumberFormat="1" applyFont="1" applyBorder="1" applyAlignment="1">
      <alignment horizontal="right" vertical="center"/>
    </xf>
    <xf numFmtId="177" fontId="19" fillId="0" borderId="14" xfId="1629" applyNumberFormat="1" applyFont="1" applyBorder="1" applyAlignment="1">
      <alignment horizontal="center" vertical="center"/>
    </xf>
    <xf numFmtId="1" fontId="15" fillId="0" borderId="14" xfId="1629" quotePrefix="1" applyNumberFormat="1" applyFont="1" applyBorder="1" applyAlignment="1">
      <alignment horizontal="center" vertical="center"/>
    </xf>
    <xf numFmtId="0" fontId="7" fillId="0" borderId="23" xfId="1633" applyFont="1" applyBorder="1" applyAlignment="1">
      <alignment horizontal="centerContinuous" vertical="center"/>
    </xf>
    <xf numFmtId="177" fontId="19" fillId="0" borderId="20" xfId="1629" applyNumberFormat="1" applyFont="1" applyBorder="1" applyAlignment="1">
      <alignment horizontal="center" vertical="center"/>
    </xf>
    <xf numFmtId="177" fontId="15" fillId="0" borderId="14" xfId="1629" applyNumberFormat="1" applyFont="1" applyBorder="1" applyAlignment="1">
      <alignment horizontal="center" vertical="center"/>
    </xf>
    <xf numFmtId="1" fontId="19" fillId="0" borderId="14" xfId="1629" quotePrefix="1" applyNumberFormat="1" applyFont="1" applyBorder="1" applyAlignment="1">
      <alignment horizontal="center" vertical="center"/>
    </xf>
    <xf numFmtId="177" fontId="7" fillId="0" borderId="14" xfId="1629" applyNumberFormat="1" applyFont="1" applyBorder="1" applyAlignment="1">
      <alignment horizontal="right" vertical="center"/>
    </xf>
    <xf numFmtId="177" fontId="7" fillId="0" borderId="14" xfId="1633" applyNumberFormat="1" applyFont="1" applyBorder="1" applyAlignment="1">
      <alignment horizontal="right" vertical="center"/>
    </xf>
    <xf numFmtId="177" fontId="7" fillId="0" borderId="20" xfId="1629" applyNumberFormat="1" applyFont="1" applyBorder="1" applyAlignment="1">
      <alignment horizontal="center" vertical="center"/>
    </xf>
    <xf numFmtId="177" fontId="7" fillId="0" borderId="22" xfId="1629" applyNumberFormat="1" applyFont="1" applyBorder="1" applyAlignment="1">
      <alignment horizontal="center" vertical="center"/>
    </xf>
    <xf numFmtId="176" fontId="15" fillId="0" borderId="0" xfId="1633" applyNumberFormat="1" applyFont="1" applyAlignment="1">
      <alignment horizontal="center" vertical="center"/>
    </xf>
    <xf numFmtId="1" fontId="15" fillId="0" borderId="0" xfId="1629" applyNumberFormat="1" applyFont="1" applyAlignment="1">
      <alignment horizontal="center" vertical="center"/>
    </xf>
    <xf numFmtId="244" fontId="15" fillId="0" borderId="0" xfId="1629" applyNumberFormat="1" applyFont="1" applyAlignment="1">
      <alignment horizontal="center" vertical="center"/>
    </xf>
    <xf numFmtId="177" fontId="7" fillId="0" borderId="21" xfId="1629" applyNumberFormat="1" applyFont="1" applyBorder="1" applyAlignment="1">
      <alignment horizontal="center" vertical="center"/>
    </xf>
    <xf numFmtId="177" fontId="7" fillId="0" borderId="1" xfId="1629" applyNumberFormat="1" applyFont="1" applyBorder="1" applyAlignment="1">
      <alignment horizontal="center" vertical="center"/>
    </xf>
    <xf numFmtId="244" fontId="7" fillId="0" borderId="26" xfId="1629" applyNumberFormat="1" applyFont="1" applyBorder="1" applyAlignment="1">
      <alignment horizontal="center" vertical="center"/>
    </xf>
    <xf numFmtId="244" fontId="7" fillId="0" borderId="1" xfId="1629" applyNumberFormat="1" applyFont="1" applyBorder="1" applyAlignment="1">
      <alignment horizontal="center" vertical="center"/>
    </xf>
    <xf numFmtId="244" fontId="7" fillId="0" borderId="20" xfId="1629" applyNumberFormat="1" applyFont="1" applyBorder="1" applyAlignment="1">
      <alignment horizontal="center" vertical="center"/>
    </xf>
    <xf numFmtId="177" fontId="7" fillId="0" borderId="25" xfId="1629" applyNumberFormat="1" applyFont="1" applyBorder="1" applyAlignment="1">
      <alignment horizontal="center" vertical="center"/>
    </xf>
    <xf numFmtId="177" fontId="7" fillId="0" borderId="7" xfId="1633" applyNumberFormat="1" applyFont="1" applyBorder="1" applyAlignment="1">
      <alignment horizontal="center" vertical="center"/>
    </xf>
    <xf numFmtId="177" fontId="7" fillId="0" borderId="3" xfId="1633" applyNumberFormat="1" applyFont="1" applyBorder="1" applyAlignment="1">
      <alignment horizontal="center" vertical="center"/>
    </xf>
    <xf numFmtId="177" fontId="19" fillId="0" borderId="19" xfId="1629" applyNumberFormat="1" applyFont="1" applyBorder="1" applyAlignment="1">
      <alignment horizontal="center" vertical="center"/>
    </xf>
    <xf numFmtId="177" fontId="19" fillId="0" borderId="22" xfId="1629" applyNumberFormat="1" applyFont="1" applyBorder="1" applyAlignment="1">
      <alignment horizontal="center" vertical="center"/>
    </xf>
    <xf numFmtId="244" fontId="7" fillId="0" borderId="0" xfId="1629" applyNumberFormat="1" applyFont="1" applyAlignment="1">
      <alignment horizontal="center" vertical="center"/>
    </xf>
    <xf numFmtId="177" fontId="7" fillId="0" borderId="26" xfId="1629" applyNumberFormat="1" applyFont="1" applyBorder="1" applyAlignment="1">
      <alignment horizontal="center" vertical="center"/>
    </xf>
    <xf numFmtId="177" fontId="7" fillId="0" borderId="7" xfId="1629" applyNumberFormat="1" applyFont="1" applyBorder="1" applyAlignment="1">
      <alignment horizontal="center" vertical="center"/>
    </xf>
    <xf numFmtId="1" fontId="15" fillId="0" borderId="0" xfId="1633" applyNumberFormat="1" applyFont="1" applyAlignment="1">
      <alignment horizontal="center" vertical="center"/>
    </xf>
    <xf numFmtId="0" fontId="7" fillId="0" borderId="22" xfId="1633" applyFont="1" applyBorder="1" applyAlignment="1">
      <alignment vertical="center"/>
    </xf>
    <xf numFmtId="178" fontId="78" fillId="0" borderId="0" xfId="1631" applyNumberFormat="1" applyFont="1" applyAlignment="1">
      <alignment horizontal="center" vertical="center"/>
    </xf>
    <xf numFmtId="178" fontId="78" fillId="0" borderId="0" xfId="1633" applyNumberFormat="1" applyFont="1" applyAlignment="1">
      <alignment horizontal="center" vertical="center"/>
    </xf>
    <xf numFmtId="177" fontId="19" fillId="0" borderId="23" xfId="1629" applyNumberFormat="1" applyFont="1" applyBorder="1" applyAlignment="1">
      <alignment horizontal="center" vertical="center"/>
    </xf>
    <xf numFmtId="177" fontId="7" fillId="0" borderId="3" xfId="1629" applyNumberFormat="1" applyFont="1" applyBorder="1" applyAlignment="1">
      <alignment horizontal="left" vertical="center"/>
    </xf>
    <xf numFmtId="176" fontId="7" fillId="0" borderId="0" xfId="1633" applyNumberFormat="1" applyFont="1" applyAlignment="1">
      <alignment horizontal="center" vertical="center"/>
    </xf>
    <xf numFmtId="177" fontId="14" fillId="0" borderId="0" xfId="1633" applyNumberFormat="1" applyFont="1" applyAlignment="1">
      <alignment horizontal="left" vertical="center"/>
    </xf>
    <xf numFmtId="0" fontId="14" fillId="0" borderId="0" xfId="1633" applyFont="1" applyAlignment="1">
      <alignment horizontal="center" vertical="center"/>
    </xf>
    <xf numFmtId="1" fontId="7" fillId="0" borderId="23" xfId="1629" applyNumberFormat="1" applyFont="1" applyBorder="1" applyAlignment="1">
      <alignment horizontal="center" vertical="center"/>
    </xf>
    <xf numFmtId="178" fontId="7" fillId="0" borderId="7" xfId="1633" applyNumberFormat="1" applyFont="1" applyBorder="1" applyAlignment="1">
      <alignment horizontal="right" vertical="center"/>
    </xf>
    <xf numFmtId="177" fontId="7" fillId="0" borderId="24" xfId="1629" applyNumberFormat="1" applyFont="1" applyBorder="1" applyAlignment="1">
      <alignment horizontal="right" vertical="center"/>
    </xf>
    <xf numFmtId="0" fontId="14" fillId="0" borderId="14" xfId="1633" applyFont="1" applyBorder="1" applyAlignment="1">
      <alignment horizontal="center" vertical="center"/>
    </xf>
    <xf numFmtId="176" fontId="15" fillId="0" borderId="14" xfId="1633" applyNumberFormat="1" applyFont="1" applyBorder="1" applyAlignment="1">
      <alignment horizontal="center" vertical="center"/>
    </xf>
    <xf numFmtId="1" fontId="78" fillId="0" borderId="0" xfId="1633" applyNumberFormat="1" applyFont="1" applyAlignment="1">
      <alignment horizontal="center" vertical="center"/>
    </xf>
    <xf numFmtId="1" fontId="77" fillId="0" borderId="0" xfId="1633" applyNumberFormat="1" applyFont="1" applyAlignment="1">
      <alignment horizontal="center" vertical="center"/>
    </xf>
    <xf numFmtId="176" fontId="77" fillId="0" borderId="0" xfId="1633" applyNumberFormat="1" applyFont="1" applyAlignment="1">
      <alignment horizontal="center" vertical="center"/>
    </xf>
    <xf numFmtId="177" fontId="7" fillId="0" borderId="22" xfId="1633" quotePrefix="1" applyNumberFormat="1" applyFont="1" applyBorder="1" applyAlignment="1">
      <alignment horizontal="center" vertical="center"/>
    </xf>
    <xf numFmtId="0" fontId="7" fillId="0" borderId="25" xfId="1633" applyFont="1" applyBorder="1" applyAlignment="1">
      <alignment vertical="center"/>
    </xf>
    <xf numFmtId="0" fontId="7" fillId="0" borderId="22" xfId="1633" applyFont="1" applyBorder="1" applyAlignment="1">
      <alignment horizontal="center" vertical="center"/>
    </xf>
    <xf numFmtId="0" fontId="7" fillId="0" borderId="22" xfId="1633" applyFont="1" applyBorder="1" applyAlignment="1">
      <alignment horizontal="right" vertical="center"/>
    </xf>
    <xf numFmtId="0" fontId="10" fillId="0" borderId="0" xfId="1623"/>
    <xf numFmtId="0" fontId="10" fillId="0" borderId="0" xfId="1621"/>
    <xf numFmtId="0" fontId="7" fillId="0" borderId="0" xfId="0" applyFont="1"/>
    <xf numFmtId="0" fontId="19" fillId="0" borderId="27" xfId="1621" applyFont="1" applyBorder="1" applyAlignment="1">
      <alignment horizontal="center" vertical="center"/>
    </xf>
    <xf numFmtId="0" fontId="19" fillId="0" borderId="28" xfId="1621" applyFont="1" applyBorder="1" applyAlignment="1">
      <alignment horizontal="center" vertical="center"/>
    </xf>
    <xf numFmtId="0" fontId="7" fillId="0" borderId="28" xfId="1635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9" fillId="0" borderId="30" xfId="1621" applyFont="1" applyBorder="1" applyAlignment="1">
      <alignment horizontal="center" vertical="center"/>
    </xf>
    <xf numFmtId="0" fontId="19" fillId="0" borderId="12" xfId="162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19" fillId="0" borderId="4" xfId="1621" applyFont="1" applyBorder="1" applyAlignment="1">
      <alignment horizontal="center" vertical="center"/>
    </xf>
    <xf numFmtId="0" fontId="19" fillId="0" borderId="31" xfId="1621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41" fontId="7" fillId="0" borderId="12" xfId="0" applyNumberFormat="1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19" fillId="0" borderId="12" xfId="1622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1" fontId="19" fillId="0" borderId="12" xfId="1621" applyNumberFormat="1" applyFont="1" applyBorder="1" applyAlignment="1">
      <alignment horizontal="right" vertical="center"/>
    </xf>
    <xf numFmtId="182" fontId="19" fillId="0" borderId="12" xfId="1621" applyNumberFormat="1" applyFont="1" applyBorder="1" applyAlignment="1">
      <alignment horizontal="right" vertical="center"/>
    </xf>
    <xf numFmtId="182" fontId="7" fillId="0" borderId="12" xfId="0" applyNumberFormat="1" applyFont="1" applyBorder="1" applyAlignment="1">
      <alignment vertical="center"/>
    </xf>
    <xf numFmtId="182" fontId="19" fillId="0" borderId="31" xfId="1621" applyNumberFormat="1" applyFont="1" applyBorder="1" applyAlignment="1">
      <alignment horizontal="right" vertical="center"/>
    </xf>
    <xf numFmtId="182" fontId="7" fillId="0" borderId="31" xfId="0" applyNumberFormat="1" applyFont="1" applyBorder="1" applyAlignment="1">
      <alignment vertical="center"/>
    </xf>
    <xf numFmtId="182" fontId="19" fillId="0" borderId="12" xfId="1622" applyNumberFormat="1" applyFont="1" applyBorder="1" applyAlignment="1">
      <alignment horizontal="right" vertical="center"/>
    </xf>
    <xf numFmtId="177" fontId="77" fillId="0" borderId="35" xfId="1631" applyNumberFormat="1" applyFont="1" applyBorder="1" applyAlignment="1">
      <alignment vertical="center"/>
    </xf>
    <xf numFmtId="0" fontId="79" fillId="0" borderId="0" xfId="1631" applyFont="1" applyAlignment="1">
      <alignment vertical="center"/>
    </xf>
    <xf numFmtId="0" fontId="77" fillId="0" borderId="28" xfId="1631" applyFont="1" applyBorder="1" applyAlignment="1">
      <alignment horizontal="center" vertical="center"/>
    </xf>
    <xf numFmtId="0" fontId="77" fillId="0" borderId="29" xfId="1631" applyFont="1" applyBorder="1" applyAlignment="1">
      <alignment horizontal="center" vertical="center"/>
    </xf>
    <xf numFmtId="0" fontId="77" fillId="0" borderId="0" xfId="1631" applyFont="1" applyAlignment="1">
      <alignment vertical="center"/>
    </xf>
    <xf numFmtId="177" fontId="77" fillId="0" borderId="36" xfId="1631" applyNumberFormat="1" applyFont="1" applyBorder="1" applyAlignment="1">
      <alignment vertical="center"/>
    </xf>
    <xf numFmtId="0" fontId="77" fillId="0" borderId="37" xfId="1631" applyFont="1" applyBorder="1" applyAlignment="1">
      <alignment horizontal="center" vertical="center"/>
    </xf>
    <xf numFmtId="177" fontId="77" fillId="0" borderId="10" xfId="1631" applyNumberFormat="1" applyFont="1" applyBorder="1" applyAlignment="1">
      <alignment vertical="center"/>
    </xf>
    <xf numFmtId="0" fontId="77" fillId="0" borderId="34" xfId="1631" applyFont="1" applyBorder="1" applyAlignment="1">
      <alignment horizontal="center" vertical="center"/>
    </xf>
    <xf numFmtId="177" fontId="77" fillId="0" borderId="12" xfId="1631" applyNumberFormat="1" applyFont="1" applyBorder="1" applyAlignment="1">
      <alignment vertical="center"/>
    </xf>
    <xf numFmtId="177" fontId="77" fillId="0" borderId="2" xfId="1631" applyNumberFormat="1" applyFont="1" applyBorder="1" applyAlignment="1">
      <alignment vertical="center"/>
    </xf>
    <xf numFmtId="0" fontId="77" fillId="0" borderId="16" xfId="1631" applyFont="1" applyBorder="1" applyAlignment="1">
      <alignment horizontal="center" vertical="center"/>
    </xf>
    <xf numFmtId="177" fontId="77" fillId="0" borderId="0" xfId="1631" applyNumberFormat="1" applyFont="1" applyAlignment="1">
      <alignment vertical="center"/>
    </xf>
    <xf numFmtId="178" fontId="77" fillId="0" borderId="0" xfId="1631" applyNumberFormat="1" applyFont="1" applyAlignment="1">
      <alignment vertical="center"/>
    </xf>
    <xf numFmtId="1" fontId="77" fillId="0" borderId="28" xfId="1631" applyNumberFormat="1" applyFont="1" applyBorder="1" applyAlignment="1">
      <alignment vertical="center"/>
    </xf>
    <xf numFmtId="177" fontId="77" fillId="0" borderId="28" xfId="1631" applyNumberFormat="1" applyFont="1" applyBorder="1" applyAlignment="1">
      <alignment vertical="center"/>
    </xf>
    <xf numFmtId="0" fontId="77" fillId="0" borderId="29" xfId="1631" applyFont="1" applyBorder="1" applyAlignment="1">
      <alignment vertical="center"/>
    </xf>
    <xf numFmtId="1" fontId="77" fillId="0" borderId="35" xfId="1631" applyNumberFormat="1" applyFont="1" applyBorder="1" applyAlignment="1">
      <alignment vertical="center"/>
    </xf>
    <xf numFmtId="0" fontId="77" fillId="0" borderId="38" xfId="1631" applyFont="1" applyBorder="1" applyAlignment="1">
      <alignment vertical="center"/>
    </xf>
    <xf numFmtId="0" fontId="80" fillId="0" borderId="0" xfId="1631" applyFont="1" applyAlignment="1">
      <alignment vertical="center"/>
    </xf>
    <xf numFmtId="0" fontId="7" fillId="0" borderId="0" xfId="0" applyFont="1" applyAlignment="1">
      <alignment horizontal="center" vertical="center"/>
    </xf>
    <xf numFmtId="0" fontId="77" fillId="0" borderId="39" xfId="1631" applyFont="1" applyBorder="1" applyAlignment="1">
      <alignment horizontal="center" vertical="center"/>
    </xf>
    <xf numFmtId="0" fontId="77" fillId="0" borderId="12" xfId="1631" applyFont="1" applyBorder="1" applyAlignment="1">
      <alignment horizontal="center" vertical="center"/>
    </xf>
    <xf numFmtId="0" fontId="77" fillId="0" borderId="10" xfId="1631" applyFont="1" applyBorder="1" applyAlignment="1">
      <alignment horizontal="center" vertical="center"/>
    </xf>
    <xf numFmtId="0" fontId="77" fillId="0" borderId="36" xfId="1631" applyFont="1" applyBorder="1" applyAlignment="1">
      <alignment horizontal="center" vertical="center"/>
    </xf>
    <xf numFmtId="0" fontId="77" fillId="0" borderId="35" xfId="163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19" fillId="0" borderId="36" xfId="1621" applyFont="1" applyBorder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41" fontId="7" fillId="0" borderId="0" xfId="0" applyNumberFormat="1" applyFont="1" applyAlignment="1">
      <alignment vertical="center"/>
    </xf>
    <xf numFmtId="41" fontId="77" fillId="0" borderId="12" xfId="1621" applyNumberFormat="1" applyFont="1" applyBorder="1" applyAlignment="1">
      <alignment horizontal="right" vertical="center"/>
    </xf>
    <xf numFmtId="177" fontId="78" fillId="0" borderId="36" xfId="1631" applyNumberFormat="1" applyFont="1" applyBorder="1" applyAlignment="1">
      <alignment vertical="center"/>
    </xf>
    <xf numFmtId="177" fontId="78" fillId="0" borderId="10" xfId="1631" applyNumberFormat="1" applyFont="1" applyBorder="1" applyAlignment="1">
      <alignment vertical="center"/>
    </xf>
    <xf numFmtId="177" fontId="77" fillId="0" borderId="49" xfId="1631" applyNumberFormat="1" applyFont="1" applyBorder="1" applyAlignment="1">
      <alignment vertical="center"/>
    </xf>
    <xf numFmtId="0" fontId="77" fillId="0" borderId="50" xfId="1631" applyFont="1" applyBorder="1" applyAlignment="1">
      <alignment horizontal="center" vertical="center"/>
    </xf>
    <xf numFmtId="0" fontId="77" fillId="0" borderId="53" xfId="1631" applyFont="1" applyBorder="1" applyAlignment="1">
      <alignment horizontal="center" vertical="center"/>
    </xf>
    <xf numFmtId="0" fontId="77" fillId="0" borderId="54" xfId="1631" applyFont="1" applyBorder="1" applyAlignment="1">
      <alignment horizontal="center" vertical="center"/>
    </xf>
    <xf numFmtId="178" fontId="77" fillId="0" borderId="55" xfId="1631" applyNumberFormat="1" applyFont="1" applyBorder="1" applyAlignment="1">
      <alignment horizontal="right" vertical="center"/>
    </xf>
    <xf numFmtId="178" fontId="77" fillId="0" borderId="56" xfId="1631" applyNumberFormat="1" applyFont="1" applyBorder="1" applyAlignment="1">
      <alignment horizontal="right" vertical="center"/>
    </xf>
    <xf numFmtId="177" fontId="77" fillId="0" borderId="57" xfId="1631" applyNumberFormat="1" applyFont="1" applyBorder="1" applyAlignment="1">
      <alignment horizontal="right" vertical="center"/>
    </xf>
    <xf numFmtId="178" fontId="77" fillId="0" borderId="1" xfId="1631" applyNumberFormat="1" applyFont="1" applyBorder="1" applyAlignment="1">
      <alignment horizontal="right" vertical="center"/>
    </xf>
    <xf numFmtId="178" fontId="77" fillId="0" borderId="58" xfId="1631" applyNumberFormat="1" applyFont="1" applyBorder="1" applyAlignment="1">
      <alignment horizontal="right" vertical="center"/>
    </xf>
    <xf numFmtId="177" fontId="77" fillId="0" borderId="15" xfId="1631" applyNumberFormat="1" applyFont="1" applyBorder="1" applyAlignment="1">
      <alignment horizontal="right" vertical="center"/>
    </xf>
    <xf numFmtId="177" fontId="77" fillId="0" borderId="0" xfId="1629" applyNumberFormat="1" applyFont="1" applyAlignment="1">
      <alignment horizontal="center" vertical="center"/>
    </xf>
    <xf numFmtId="177" fontId="78" fillId="0" borderId="0" xfId="1633" applyNumberFormat="1" applyFont="1" applyAlignment="1">
      <alignment horizontal="center" vertical="center"/>
    </xf>
    <xf numFmtId="176" fontId="19" fillId="0" borderId="0" xfId="1629" quotePrefix="1" applyNumberFormat="1" applyFont="1" applyAlignment="1">
      <alignment horizontal="center" vertical="center"/>
    </xf>
    <xf numFmtId="0" fontId="78" fillId="0" borderId="0" xfId="1633" applyFont="1" applyAlignment="1">
      <alignment horizontal="center" vertical="center"/>
    </xf>
    <xf numFmtId="0" fontId="78" fillId="0" borderId="0" xfId="1633" quotePrefix="1" applyFont="1" applyAlignment="1">
      <alignment horizontal="center" vertical="center"/>
    </xf>
    <xf numFmtId="0" fontId="7" fillId="0" borderId="19" xfId="1633" applyFont="1" applyBorder="1" applyAlignment="1">
      <alignment vertical="center"/>
    </xf>
    <xf numFmtId="0" fontId="7" fillId="0" borderId="20" xfId="1633" applyFont="1" applyBorder="1" applyAlignment="1">
      <alignment vertical="center"/>
    </xf>
    <xf numFmtId="177" fontId="7" fillId="0" borderId="20" xfId="1633" applyNumberFormat="1" applyFont="1" applyBorder="1" applyAlignment="1">
      <alignment horizontal="centerContinuous" vertical="center"/>
    </xf>
    <xf numFmtId="1" fontId="81" fillId="0" borderId="0" xfId="1633" applyNumberFormat="1" applyFont="1" applyAlignment="1">
      <alignment horizontal="center" vertical="center"/>
    </xf>
    <xf numFmtId="0" fontId="15" fillId="0" borderId="0" xfId="1633" applyFont="1" applyAlignment="1">
      <alignment vertical="center"/>
    </xf>
    <xf numFmtId="1" fontId="7" fillId="0" borderId="0" xfId="1629" applyNumberFormat="1" applyFont="1" applyAlignment="1">
      <alignment vertical="center"/>
    </xf>
    <xf numFmtId="177" fontId="7" fillId="0" borderId="0" xfId="1629" applyNumberFormat="1" applyFont="1" applyAlignment="1">
      <alignment vertical="center"/>
    </xf>
    <xf numFmtId="177" fontId="7" fillId="0" borderId="23" xfId="1629" applyNumberFormat="1" applyFont="1" applyBorder="1" applyAlignment="1">
      <alignment vertical="center"/>
    </xf>
    <xf numFmtId="1" fontId="19" fillId="0" borderId="22" xfId="1629" applyNumberFormat="1" applyFont="1" applyBorder="1" applyAlignment="1">
      <alignment vertical="center"/>
    </xf>
    <xf numFmtId="1" fontId="19" fillId="0" borderId="0" xfId="1629" applyNumberFormat="1" applyFont="1" applyAlignment="1">
      <alignment vertical="center"/>
    </xf>
    <xf numFmtId="41" fontId="19" fillId="0" borderId="12" xfId="1621" applyNumberFormat="1" applyFont="1" applyBorder="1" applyAlignment="1">
      <alignment horizontal="left" vertical="center" indent="1"/>
    </xf>
    <xf numFmtId="41" fontId="7" fillId="0" borderId="12" xfId="0" applyNumberFormat="1" applyFont="1" applyBorder="1" applyAlignment="1">
      <alignment horizontal="left" vertical="center" indent="1"/>
    </xf>
    <xf numFmtId="177" fontId="7" fillId="0" borderId="23" xfId="1629" applyNumberFormat="1" applyFont="1" applyBorder="1" applyAlignment="1">
      <alignment horizontal="center" vertical="center"/>
    </xf>
    <xf numFmtId="177" fontId="7" fillId="0" borderId="0" xfId="1633" applyNumberFormat="1" applyFont="1" applyAlignment="1">
      <alignment horizontal="center" vertical="center"/>
    </xf>
    <xf numFmtId="177" fontId="7" fillId="0" borderId="23" xfId="1633" applyNumberFormat="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left" vertical="center"/>
    </xf>
    <xf numFmtId="177" fontId="7" fillId="0" borderId="0" xfId="1633" applyNumberFormat="1" applyFont="1" applyAlignment="1">
      <alignment horizontal="left" vertical="center"/>
    </xf>
    <xf numFmtId="1" fontId="7" fillId="0" borderId="0" xfId="1633" applyNumberFormat="1" applyFont="1" applyAlignment="1">
      <alignment horizontal="right" vertical="center"/>
    </xf>
    <xf numFmtId="1" fontId="7" fillId="0" borderId="0" xfId="1629" applyNumberFormat="1" applyFont="1" applyAlignment="1">
      <alignment horizontal="center" vertical="center"/>
    </xf>
    <xf numFmtId="1" fontId="7" fillId="0" borderId="23" xfId="1629" applyNumberFormat="1" applyFont="1" applyBorder="1" applyAlignment="1">
      <alignment horizontal="center" vertical="center"/>
    </xf>
    <xf numFmtId="1" fontId="7" fillId="0" borderId="0" xfId="1633" applyNumberFormat="1" applyFont="1" applyAlignment="1">
      <alignment horizontal="right" vertical="center"/>
    </xf>
    <xf numFmtId="177" fontId="7" fillId="0" borderId="0" xfId="1633" applyNumberFormat="1" applyFont="1" applyAlignment="1">
      <alignment horizontal="center" vertical="center"/>
    </xf>
    <xf numFmtId="177" fontId="7" fillId="0" borderId="1" xfId="1629" applyNumberFormat="1" applyFont="1" applyBorder="1" applyAlignment="1">
      <alignment horizontal="center" vertical="center"/>
    </xf>
    <xf numFmtId="244" fontId="7" fillId="0" borderId="26" xfId="1629" applyNumberFormat="1" applyFont="1" applyBorder="1" applyAlignment="1">
      <alignment horizontal="center" vertical="center"/>
    </xf>
    <xf numFmtId="177" fontId="7" fillId="0" borderId="7" xfId="1633" applyNumberFormat="1" applyFont="1" applyBorder="1" applyAlignment="1">
      <alignment horizontal="center" vertical="center"/>
    </xf>
    <xf numFmtId="177" fontId="7" fillId="0" borderId="3" xfId="1633" applyNumberFormat="1" applyFont="1" applyBorder="1" applyAlignment="1">
      <alignment horizontal="center" vertical="center"/>
    </xf>
    <xf numFmtId="177" fontId="19" fillId="0" borderId="19" xfId="1629" applyNumberFormat="1" applyFont="1" applyBorder="1" applyAlignment="1">
      <alignment horizontal="center" vertical="center"/>
    </xf>
    <xf numFmtId="177" fontId="19" fillId="0" borderId="20" xfId="1629" applyNumberFormat="1" applyFont="1" applyBorder="1" applyAlignment="1">
      <alignment horizontal="center" vertical="center"/>
    </xf>
    <xf numFmtId="177" fontId="19" fillId="0" borderId="14" xfId="1629" applyNumberFormat="1" applyFont="1" applyBorder="1" applyAlignment="1">
      <alignment horizontal="center" vertical="center"/>
    </xf>
    <xf numFmtId="244" fontId="7" fillId="0" borderId="0" xfId="1629" applyNumberFormat="1" applyFont="1" applyAlignment="1">
      <alignment horizontal="center" vertical="center"/>
    </xf>
    <xf numFmtId="177" fontId="7" fillId="0" borderId="26" xfId="1629" applyNumberFormat="1" applyFont="1" applyBorder="1" applyAlignment="1">
      <alignment horizontal="center" vertical="center"/>
    </xf>
    <xf numFmtId="177" fontId="7" fillId="0" borderId="7" xfId="1629" applyNumberFormat="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left" vertical="center"/>
    </xf>
    <xf numFmtId="177" fontId="7" fillId="0" borderId="0" xfId="1633" applyNumberFormat="1" applyFont="1" applyAlignment="1">
      <alignment horizontal="left" vertical="center"/>
    </xf>
    <xf numFmtId="177" fontId="7" fillId="0" borderId="23" xfId="1633" applyNumberFormat="1" applyFont="1" applyBorder="1" applyAlignment="1">
      <alignment horizontal="left" vertical="center"/>
    </xf>
    <xf numFmtId="0" fontId="7" fillId="0" borderId="14" xfId="1633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center" vertical="center"/>
    </xf>
    <xf numFmtId="177" fontId="7" fillId="0" borderId="23" xfId="1633" applyNumberFormat="1" applyFont="1" applyBorder="1" applyAlignment="1">
      <alignment horizontal="center" vertical="center"/>
    </xf>
    <xf numFmtId="177" fontId="15" fillId="0" borderId="0" xfId="1629" applyNumberFormat="1" applyFont="1" applyAlignment="1">
      <alignment horizontal="center" vertical="center"/>
    </xf>
    <xf numFmtId="244" fontId="15" fillId="0" borderId="0" xfId="1629" applyNumberFormat="1" applyFont="1" applyAlignment="1">
      <alignment horizontal="center" vertical="center"/>
    </xf>
    <xf numFmtId="177" fontId="7" fillId="0" borderId="0" xfId="1633" applyNumberFormat="1" applyFont="1" applyAlignment="1">
      <alignment horizontal="right" vertical="center"/>
    </xf>
    <xf numFmtId="177" fontId="7" fillId="0" borderId="0" xfId="1629" applyNumberFormat="1" applyFont="1" applyAlignment="1">
      <alignment horizontal="center" vertical="center"/>
    </xf>
    <xf numFmtId="177" fontId="7" fillId="0" borderId="23" xfId="1629" applyNumberFormat="1" applyFont="1" applyBorder="1" applyAlignment="1">
      <alignment horizontal="center" vertical="center"/>
    </xf>
    <xf numFmtId="178" fontId="7" fillId="0" borderId="0" xfId="1633" applyNumberFormat="1" applyFont="1" applyAlignment="1">
      <alignment horizontal="center" vertical="center"/>
    </xf>
    <xf numFmtId="0" fontId="7" fillId="0" borderId="0" xfId="1633" applyFont="1" applyAlignment="1">
      <alignment horizontal="center" vertical="center"/>
    </xf>
    <xf numFmtId="0" fontId="7" fillId="0" borderId="0" xfId="1633" applyFont="1" applyAlignment="1">
      <alignment horizontal="left" vertical="center"/>
    </xf>
    <xf numFmtId="0" fontId="78" fillId="0" borderId="0" xfId="1633" applyFont="1" applyAlignment="1">
      <alignment horizontal="center" vertical="center"/>
    </xf>
    <xf numFmtId="178" fontId="78" fillId="0" borderId="0" xfId="1633" applyNumberFormat="1" applyFont="1" applyAlignment="1">
      <alignment horizontal="center" vertical="center"/>
    </xf>
    <xf numFmtId="177" fontId="7" fillId="0" borderId="14" xfId="1629" applyNumberFormat="1" applyFont="1" applyBorder="1" applyAlignment="1">
      <alignment horizontal="center" vertical="center"/>
    </xf>
    <xf numFmtId="177" fontId="7" fillId="0" borderId="24" xfId="1629" applyNumberFormat="1" applyFont="1" applyBorder="1" applyAlignment="1">
      <alignment horizontal="center" vertical="center"/>
    </xf>
    <xf numFmtId="0" fontId="7" fillId="0" borderId="0" xfId="1633" applyFont="1" applyAlignment="1">
      <alignment horizontal="right" vertical="center"/>
    </xf>
    <xf numFmtId="177" fontId="7" fillId="0" borderId="20" xfId="1629" applyNumberFormat="1" applyFont="1" applyBorder="1" applyAlignment="1">
      <alignment horizontal="center" vertical="center"/>
    </xf>
    <xf numFmtId="177" fontId="7" fillId="0" borderId="21" xfId="1629" applyNumberFormat="1" applyFont="1" applyBorder="1" applyAlignment="1">
      <alignment horizontal="center" vertical="center"/>
    </xf>
    <xf numFmtId="177" fontId="7" fillId="0" borderId="25" xfId="1629" applyNumberFormat="1" applyFont="1" applyBorder="1" applyAlignment="1">
      <alignment horizontal="center" vertical="center"/>
    </xf>
    <xf numFmtId="178" fontId="78" fillId="0" borderId="0" xfId="1631" applyNumberFormat="1" applyFont="1" applyAlignment="1">
      <alignment horizontal="center" vertical="center"/>
    </xf>
    <xf numFmtId="178" fontId="77" fillId="0" borderId="0" xfId="1631" applyNumberFormat="1" applyFont="1" applyAlignment="1">
      <alignment horizontal="center" vertical="center"/>
    </xf>
    <xf numFmtId="1" fontId="7" fillId="0" borderId="0" xfId="1633" applyNumberFormat="1" applyFont="1" applyAlignment="1">
      <alignment horizontal="center" vertical="center"/>
    </xf>
    <xf numFmtId="178" fontId="7" fillId="0" borderId="0" xfId="1631" applyNumberFormat="1" applyFont="1" applyAlignment="1">
      <alignment horizontal="center" vertical="center"/>
    </xf>
    <xf numFmtId="0" fontId="7" fillId="0" borderId="0" xfId="1631" applyFont="1" applyAlignment="1">
      <alignment horizontal="center" vertical="center"/>
    </xf>
    <xf numFmtId="177" fontId="7" fillId="0" borderId="0" xfId="1629" applyNumberFormat="1" applyFont="1" applyAlignment="1">
      <alignment horizontal="left" vertical="center"/>
    </xf>
    <xf numFmtId="0" fontId="7" fillId="0" borderId="23" xfId="1633" applyFont="1" applyBorder="1" applyAlignment="1">
      <alignment horizontal="center" vertical="center"/>
    </xf>
    <xf numFmtId="1" fontId="19" fillId="0" borderId="0" xfId="1629" quotePrefix="1" applyNumberFormat="1" applyFont="1" applyAlignment="1">
      <alignment horizontal="center" vertical="center"/>
    </xf>
    <xf numFmtId="177" fontId="7" fillId="0" borderId="0" xfId="1629" applyNumberFormat="1" applyFont="1" applyAlignment="1">
      <alignment horizontal="right" vertical="center"/>
    </xf>
    <xf numFmtId="177" fontId="7" fillId="0" borderId="23" xfId="1629" applyNumberFormat="1" applyFont="1" applyBorder="1" applyAlignment="1">
      <alignment horizontal="right" vertical="center"/>
    </xf>
    <xf numFmtId="177" fontId="78" fillId="0" borderId="0" xfId="1633" applyNumberFormat="1" applyFont="1" applyAlignment="1">
      <alignment horizontal="center" vertical="center"/>
    </xf>
    <xf numFmtId="176" fontId="19" fillId="0" borderId="0" xfId="1629" quotePrefix="1" applyNumberFormat="1" applyFont="1" applyAlignment="1">
      <alignment horizontal="center" vertical="center"/>
    </xf>
    <xf numFmtId="177" fontId="77" fillId="0" borderId="0" xfId="1629" applyNumberFormat="1" applyFont="1" applyAlignment="1">
      <alignment horizontal="center" vertical="center"/>
    </xf>
    <xf numFmtId="177" fontId="19" fillId="0" borderId="0" xfId="1629" applyNumberFormat="1" applyFont="1" applyAlignment="1">
      <alignment horizontal="center" vertical="center"/>
    </xf>
    <xf numFmtId="1" fontId="15" fillId="0" borderId="0" xfId="1629" applyNumberFormat="1" applyFont="1" applyAlignment="1">
      <alignment horizontal="center" vertical="center"/>
    </xf>
    <xf numFmtId="244" fontId="7" fillId="0" borderId="20" xfId="1629" applyNumberFormat="1" applyFont="1" applyBorder="1" applyAlignment="1">
      <alignment horizontal="center" vertical="center"/>
    </xf>
    <xf numFmtId="1" fontId="78" fillId="0" borderId="0" xfId="1633" applyNumberFormat="1" applyFont="1" applyAlignment="1">
      <alignment horizontal="center" vertical="center"/>
    </xf>
    <xf numFmtId="244" fontId="7" fillId="0" borderId="1" xfId="1629" applyNumberFormat="1" applyFont="1" applyBorder="1" applyAlignment="1">
      <alignment horizontal="center" vertical="center"/>
    </xf>
    <xf numFmtId="177" fontId="7" fillId="0" borderId="22" xfId="1629" applyNumberFormat="1" applyFont="1" applyBorder="1" applyAlignment="1">
      <alignment horizontal="center" vertical="center"/>
    </xf>
    <xf numFmtId="177" fontId="7" fillId="0" borderId="19" xfId="1633" applyNumberFormat="1" applyFont="1" applyBorder="1" applyAlignment="1">
      <alignment horizontal="center" vertical="center"/>
    </xf>
    <xf numFmtId="177" fontId="7" fillId="0" borderId="20" xfId="1633" applyNumberFormat="1" applyFont="1" applyBorder="1" applyAlignment="1">
      <alignment horizontal="center" vertical="center"/>
    </xf>
    <xf numFmtId="177" fontId="7" fillId="0" borderId="21" xfId="1633" applyNumberFormat="1" applyFont="1" applyBorder="1" applyAlignment="1">
      <alignment horizontal="center" vertical="center"/>
    </xf>
    <xf numFmtId="177" fontId="7" fillId="0" borderId="25" xfId="1633" applyNumberFormat="1" applyFont="1" applyBorder="1" applyAlignment="1">
      <alignment horizontal="center" vertical="center"/>
    </xf>
    <xf numFmtId="177" fontId="7" fillId="0" borderId="14" xfId="1633" applyNumberFormat="1" applyFont="1" applyBorder="1" applyAlignment="1">
      <alignment horizontal="center" vertical="center"/>
    </xf>
    <xf numFmtId="177" fontId="7" fillId="0" borderId="24" xfId="1633" applyNumberFormat="1" applyFont="1" applyBorder="1" applyAlignment="1">
      <alignment horizontal="center" vertical="center"/>
    </xf>
    <xf numFmtId="1" fontId="15" fillId="0" borderId="0" xfId="1633" applyNumberFormat="1" applyFont="1" applyAlignment="1">
      <alignment horizontal="center" vertical="center"/>
    </xf>
    <xf numFmtId="177" fontId="7" fillId="0" borderId="0" xfId="1633" applyNumberFormat="1" applyFont="1" applyBorder="1" applyAlignment="1">
      <alignment horizontal="left" vertical="center"/>
    </xf>
    <xf numFmtId="177" fontId="7" fillId="0" borderId="64" xfId="1633" applyNumberFormat="1" applyFont="1" applyBorder="1" applyAlignment="1">
      <alignment horizontal="center" vertical="center"/>
    </xf>
    <xf numFmtId="0" fontId="19" fillId="0" borderId="30" xfId="1621" applyFont="1" applyBorder="1" applyAlignment="1">
      <alignment horizontal="center" vertical="center"/>
    </xf>
    <xf numFmtId="0" fontId="19" fillId="0" borderId="4" xfId="1621" applyFont="1" applyBorder="1" applyAlignment="1">
      <alignment horizontal="left" vertical="center"/>
    </xf>
    <xf numFmtId="0" fontId="19" fillId="0" borderId="4" xfId="162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center" vertical="center"/>
    </xf>
    <xf numFmtId="177" fontId="7" fillId="0" borderId="23" xfId="1633" applyNumberFormat="1" applyFont="1" applyBorder="1" applyAlignment="1">
      <alignment horizontal="center" vertical="center"/>
    </xf>
    <xf numFmtId="177" fontId="7" fillId="0" borderId="23" xfId="1629" applyNumberFormat="1" applyFont="1" applyBorder="1" applyAlignment="1">
      <alignment horizontal="center" vertical="center"/>
    </xf>
    <xf numFmtId="177" fontId="7" fillId="0" borderId="14" xfId="1629" applyNumberFormat="1" applyFont="1" applyBorder="1" applyAlignment="1">
      <alignment horizontal="center" vertical="center"/>
    </xf>
    <xf numFmtId="177" fontId="7" fillId="0" borderId="24" xfId="1629" applyNumberFormat="1" applyFont="1" applyBorder="1" applyAlignment="1">
      <alignment horizontal="center" vertical="center"/>
    </xf>
    <xf numFmtId="177" fontId="7" fillId="0" borderId="19" xfId="1629" applyNumberFormat="1" applyFont="1" applyBorder="1" applyAlignment="1">
      <alignment horizontal="center" vertical="center"/>
    </xf>
    <xf numFmtId="177" fontId="7" fillId="0" borderId="20" xfId="1629" applyNumberFormat="1" applyFont="1" applyBorder="1" applyAlignment="1">
      <alignment horizontal="center" vertical="center"/>
    </xf>
    <xf numFmtId="177" fontId="7" fillId="0" borderId="21" xfId="1629" applyNumberFormat="1" applyFont="1" applyBorder="1" applyAlignment="1">
      <alignment horizontal="center" vertical="center"/>
    </xf>
    <xf numFmtId="177" fontId="7" fillId="0" borderId="25" xfId="1629" applyNumberFormat="1" applyFont="1" applyBorder="1" applyAlignment="1">
      <alignment horizontal="center" vertical="center"/>
    </xf>
    <xf numFmtId="177" fontId="7" fillId="0" borderId="22" xfId="1629" applyNumberFormat="1" applyFont="1" applyBorder="1" applyAlignment="1">
      <alignment horizontal="center" vertical="center"/>
    </xf>
    <xf numFmtId="0" fontId="19" fillId="0" borderId="4" xfId="1621" applyFont="1" applyFill="1" applyBorder="1" applyAlignment="1">
      <alignment horizontal="left" vertical="center"/>
    </xf>
    <xf numFmtId="177" fontId="7" fillId="0" borderId="22" xfId="1633" applyNumberFormat="1" applyFont="1" applyBorder="1" applyAlignment="1">
      <alignment vertical="center"/>
    </xf>
    <xf numFmtId="177" fontId="7" fillId="0" borderId="23" xfId="1633" applyNumberFormat="1" applyFont="1" applyBorder="1" applyAlignment="1">
      <alignment vertical="center"/>
    </xf>
    <xf numFmtId="177" fontId="7" fillId="0" borderId="0" xfId="1633" applyNumberFormat="1" applyFont="1" applyBorder="1" applyAlignment="1">
      <alignment vertical="center"/>
    </xf>
    <xf numFmtId="177" fontId="7" fillId="0" borderId="0" xfId="1629" applyNumberFormat="1" applyFont="1" applyBorder="1" applyAlignment="1">
      <alignment horizontal="center" vertical="center"/>
    </xf>
    <xf numFmtId="177" fontId="7" fillId="0" borderId="0" xfId="1633" applyNumberFormat="1" applyFont="1" applyBorder="1" applyAlignment="1">
      <alignment horizontal="center" vertical="center"/>
    </xf>
    <xf numFmtId="177" fontId="7" fillId="0" borderId="0" xfId="1633" applyNumberFormat="1" applyFont="1" applyBorder="1" applyAlignment="1">
      <alignment horizontal="centerContinuous" vertical="center"/>
    </xf>
    <xf numFmtId="177" fontId="7" fillId="0" borderId="0" xfId="1629" applyNumberFormat="1" applyFont="1" applyBorder="1" applyAlignment="1">
      <alignment horizontal="left" vertical="center"/>
    </xf>
    <xf numFmtId="182" fontId="19" fillId="0" borderId="36" xfId="1621" applyNumberFormat="1" applyFont="1" applyBorder="1" applyAlignment="1">
      <alignment horizontal="right" vertical="center"/>
    </xf>
    <xf numFmtId="182" fontId="7" fillId="0" borderId="36" xfId="0" applyNumberFormat="1" applyFont="1" applyBorder="1" applyAlignment="1">
      <alignment vertical="center"/>
    </xf>
    <xf numFmtId="182" fontId="7" fillId="0" borderId="36" xfId="0" applyNumberFormat="1" applyFont="1" applyFill="1" applyBorder="1" applyAlignment="1">
      <alignment vertical="center"/>
    </xf>
    <xf numFmtId="182" fontId="7" fillId="0" borderId="12" xfId="0" applyNumberFormat="1" applyFont="1" applyFill="1" applyBorder="1" applyAlignment="1">
      <alignment vertical="center"/>
    </xf>
    <xf numFmtId="41" fontId="7" fillId="0" borderId="12" xfId="0" applyNumberFormat="1" applyFont="1" applyFill="1" applyBorder="1" applyAlignment="1">
      <alignment horizontal="left" vertical="center" indent="1"/>
    </xf>
    <xf numFmtId="41" fontId="7" fillId="0" borderId="12" xfId="0" applyNumberFormat="1" applyFont="1" applyFill="1" applyBorder="1" applyAlignment="1">
      <alignment vertical="center"/>
    </xf>
    <xf numFmtId="0" fontId="75" fillId="0" borderId="0" xfId="1634" applyFont="1" applyAlignment="1">
      <alignment horizontal="center" wrapText="1"/>
    </xf>
    <xf numFmtId="0" fontId="75" fillId="0" borderId="0" xfId="1634" applyFont="1" applyAlignment="1">
      <alignment horizontal="center"/>
    </xf>
    <xf numFmtId="0" fontId="19" fillId="0" borderId="4" xfId="1621" applyFont="1" applyBorder="1" applyAlignment="1">
      <alignment horizontal="center" vertical="center"/>
    </xf>
    <xf numFmtId="0" fontId="83" fillId="0" borderId="0" xfId="1635" applyFont="1" applyAlignment="1">
      <alignment horizontal="center" vertical="center"/>
    </xf>
    <xf numFmtId="0" fontId="19" fillId="0" borderId="4" xfId="1621" applyFont="1" applyFill="1" applyBorder="1" applyAlignment="1">
      <alignment horizontal="left" vertical="center"/>
    </xf>
    <xf numFmtId="0" fontId="19" fillId="0" borderId="4" xfId="1622" applyFont="1" applyBorder="1" applyAlignment="1">
      <alignment horizontal="center" vertical="center"/>
    </xf>
    <xf numFmtId="0" fontId="19" fillId="0" borderId="30" xfId="1621" applyFont="1" applyBorder="1" applyAlignment="1">
      <alignment horizontal="center" vertical="center"/>
    </xf>
    <xf numFmtId="0" fontId="19" fillId="0" borderId="41" xfId="1621" applyFont="1" applyBorder="1" applyAlignment="1">
      <alignment horizontal="center" vertical="center"/>
    </xf>
    <xf numFmtId="0" fontId="19" fillId="0" borderId="40" xfId="1621" applyFont="1" applyFill="1" applyBorder="1" applyAlignment="1">
      <alignment horizontal="left" vertical="center"/>
    </xf>
    <xf numFmtId="0" fontId="77" fillId="0" borderId="40" xfId="1631" applyFont="1" applyBorder="1" applyAlignment="1">
      <alignment horizontal="center" vertical="center"/>
    </xf>
    <xf numFmtId="0" fontId="77" fillId="0" borderId="36" xfId="1631" applyFont="1" applyBorder="1" applyAlignment="1">
      <alignment horizontal="center" vertical="center"/>
    </xf>
    <xf numFmtId="0" fontId="77" fillId="0" borderId="33" xfId="1631" applyFont="1" applyBorder="1" applyAlignment="1">
      <alignment horizontal="center" vertical="center"/>
    </xf>
    <xf numFmtId="0" fontId="77" fillId="0" borderId="10" xfId="1631" applyFont="1" applyBorder="1" applyAlignment="1">
      <alignment horizontal="center" vertical="center"/>
    </xf>
    <xf numFmtId="0" fontId="77" fillId="0" borderId="59" xfId="1631" applyFont="1" applyBorder="1" applyAlignment="1">
      <alignment horizontal="center" vertical="center"/>
    </xf>
    <xf numFmtId="0" fontId="77" fillId="0" borderId="20" xfId="1631" applyFont="1" applyBorder="1" applyAlignment="1">
      <alignment horizontal="center" vertical="center"/>
    </xf>
    <xf numFmtId="0" fontId="77" fillId="0" borderId="60" xfId="1631" applyFont="1" applyBorder="1" applyAlignment="1">
      <alignment horizontal="center" vertical="center"/>
    </xf>
    <xf numFmtId="0" fontId="77" fillId="0" borderId="61" xfId="1631" applyFont="1" applyBorder="1" applyAlignment="1">
      <alignment horizontal="center" vertical="center"/>
    </xf>
    <xf numFmtId="0" fontId="77" fillId="0" borderId="0" xfId="1631" applyFont="1" applyAlignment="1">
      <alignment horizontal="center" vertical="center"/>
    </xf>
    <xf numFmtId="0" fontId="77" fillId="0" borderId="62" xfId="1631" applyFont="1" applyBorder="1" applyAlignment="1">
      <alignment horizontal="center" vertical="center"/>
    </xf>
    <xf numFmtId="0" fontId="77" fillId="0" borderId="63" xfId="1631" applyFont="1" applyBorder="1" applyAlignment="1">
      <alignment horizontal="center" vertical="center"/>
    </xf>
    <xf numFmtId="0" fontId="77" fillId="0" borderId="13" xfId="1631" applyFont="1" applyBorder="1" applyAlignment="1">
      <alignment horizontal="center" vertical="center"/>
    </xf>
    <xf numFmtId="0" fontId="77" fillId="0" borderId="5" xfId="1631" applyFont="1" applyBorder="1" applyAlignment="1">
      <alignment horizontal="center" vertical="center"/>
    </xf>
    <xf numFmtId="0" fontId="82" fillId="0" borderId="14" xfId="1631" applyFont="1" applyBorder="1" applyAlignment="1">
      <alignment horizontal="center" vertical="center"/>
    </xf>
    <xf numFmtId="0" fontId="77" fillId="0" borderId="4" xfId="1631" applyFont="1" applyBorder="1" applyAlignment="1">
      <alignment horizontal="center" vertical="center"/>
    </xf>
    <xf numFmtId="0" fontId="77" fillId="0" borderId="12" xfId="1631" applyFont="1" applyBorder="1" applyAlignment="1">
      <alignment horizontal="center" vertical="center"/>
    </xf>
    <xf numFmtId="0" fontId="77" fillId="0" borderId="27" xfId="1631" applyFont="1" applyBorder="1" applyAlignment="1">
      <alignment horizontal="center" vertical="center"/>
    </xf>
    <xf numFmtId="0" fontId="77" fillId="0" borderId="28" xfId="1631" applyFont="1" applyBorder="1" applyAlignment="1">
      <alignment horizontal="center" vertical="center"/>
    </xf>
    <xf numFmtId="0" fontId="77" fillId="0" borderId="26" xfId="1631" applyFont="1" applyBorder="1" applyAlignment="1">
      <alignment horizontal="center" vertical="center"/>
    </xf>
    <xf numFmtId="0" fontId="77" fillId="0" borderId="43" xfId="1631" applyFont="1" applyBorder="1" applyAlignment="1">
      <alignment horizontal="center" vertical="center"/>
    </xf>
    <xf numFmtId="0" fontId="77" fillId="0" borderId="48" xfId="1631" applyFont="1" applyBorder="1" applyAlignment="1">
      <alignment horizontal="center" vertical="center"/>
    </xf>
    <xf numFmtId="0" fontId="77" fillId="0" borderId="7" xfId="1631" applyFont="1" applyBorder="1" applyAlignment="1">
      <alignment horizontal="center" vertical="center"/>
    </xf>
    <xf numFmtId="0" fontId="77" fillId="0" borderId="3" xfId="1631" applyFont="1" applyBorder="1" applyAlignment="1">
      <alignment horizontal="center" vertical="center"/>
    </xf>
    <xf numFmtId="0" fontId="77" fillId="0" borderId="15" xfId="1631" applyFont="1" applyBorder="1" applyAlignment="1">
      <alignment horizontal="center" vertical="center"/>
    </xf>
    <xf numFmtId="0" fontId="77" fillId="0" borderId="45" xfId="1631" applyFont="1" applyBorder="1" applyAlignment="1">
      <alignment horizontal="center" vertical="center"/>
    </xf>
    <xf numFmtId="0" fontId="77" fillId="0" borderId="46" xfId="1631" applyFont="1" applyBorder="1" applyAlignment="1">
      <alignment horizontal="center" vertical="center"/>
    </xf>
    <xf numFmtId="0" fontId="77" fillId="0" borderId="42" xfId="1631" applyFont="1" applyBorder="1" applyAlignment="1">
      <alignment horizontal="center" vertical="center"/>
    </xf>
    <xf numFmtId="0" fontId="77" fillId="0" borderId="35" xfId="1631" applyFont="1" applyBorder="1" applyAlignment="1">
      <alignment horizontal="center" vertical="center"/>
    </xf>
    <xf numFmtId="0" fontId="77" fillId="0" borderId="47" xfId="1631" applyFont="1" applyBorder="1" applyAlignment="1">
      <alignment horizontal="center" vertical="center"/>
    </xf>
    <xf numFmtId="0" fontId="77" fillId="0" borderId="51" xfId="1631" applyFont="1" applyBorder="1" applyAlignment="1">
      <alignment horizontal="center" vertical="center"/>
    </xf>
    <xf numFmtId="0" fontId="77" fillId="0" borderId="52" xfId="1631" applyFont="1" applyBorder="1" applyAlignment="1">
      <alignment horizontal="center" vertical="center"/>
    </xf>
    <xf numFmtId="0" fontId="77" fillId="0" borderId="1" xfId="1631" applyFont="1" applyBorder="1" applyAlignment="1">
      <alignment horizontal="center" vertical="center"/>
    </xf>
    <xf numFmtId="0" fontId="77" fillId="0" borderId="44" xfId="163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left" vertical="center"/>
    </xf>
    <xf numFmtId="177" fontId="7" fillId="0" borderId="0" xfId="1633" applyNumberFormat="1" applyFont="1" applyBorder="1" applyAlignment="1">
      <alignment horizontal="left" vertical="center"/>
    </xf>
    <xf numFmtId="177" fontId="7" fillId="0" borderId="23" xfId="1633" applyNumberFormat="1" applyFont="1" applyBorder="1" applyAlignment="1">
      <alignment horizontal="left" vertical="center"/>
    </xf>
    <xf numFmtId="177" fontId="7" fillId="0" borderId="0" xfId="1633" applyNumberFormat="1" applyFont="1" applyBorder="1" applyAlignment="1">
      <alignment horizontal="center" vertical="center"/>
    </xf>
    <xf numFmtId="177" fontId="7" fillId="0" borderId="23" xfId="1633" applyNumberFormat="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right" vertical="center"/>
    </xf>
    <xf numFmtId="177" fontId="7" fillId="0" borderId="0" xfId="1633" applyNumberFormat="1" applyFont="1" applyBorder="1" applyAlignment="1">
      <alignment horizontal="right" vertical="center"/>
    </xf>
    <xf numFmtId="1" fontId="7" fillId="0" borderId="0" xfId="1629" applyNumberFormat="1" applyFont="1" applyAlignment="1">
      <alignment horizontal="center" vertical="center"/>
    </xf>
    <xf numFmtId="1" fontId="7" fillId="0" borderId="23" xfId="1629" applyNumberFormat="1" applyFont="1" applyBorder="1" applyAlignment="1">
      <alignment horizontal="center" vertical="center"/>
    </xf>
    <xf numFmtId="1" fontId="7" fillId="0" borderId="0" xfId="1633" applyNumberFormat="1" applyFont="1" applyAlignment="1">
      <alignment horizontal="right" vertical="center"/>
    </xf>
    <xf numFmtId="177" fontId="7" fillId="0" borderId="1" xfId="1633" applyNumberFormat="1" applyFont="1" applyBorder="1" applyAlignment="1">
      <alignment horizontal="center" vertical="center"/>
    </xf>
    <xf numFmtId="177" fontId="7" fillId="0" borderId="1" xfId="1629" applyNumberFormat="1" applyFont="1" applyBorder="1" applyAlignment="1">
      <alignment horizontal="center" vertical="center"/>
    </xf>
    <xf numFmtId="244" fontId="7" fillId="0" borderId="26" xfId="1629" applyNumberFormat="1" applyFont="1" applyBorder="1" applyAlignment="1">
      <alignment horizontal="center" vertical="center"/>
    </xf>
    <xf numFmtId="244" fontId="7" fillId="0" borderId="7" xfId="1629" applyNumberFormat="1" applyFont="1" applyBorder="1" applyAlignment="1">
      <alignment horizontal="center" vertical="center"/>
    </xf>
    <xf numFmtId="244" fontId="7" fillId="0" borderId="3" xfId="1629" applyNumberFormat="1" applyFont="1" applyBorder="1" applyAlignment="1">
      <alignment horizontal="center" vertical="center"/>
    </xf>
    <xf numFmtId="177" fontId="7" fillId="0" borderId="26" xfId="1629" applyNumberFormat="1" applyFont="1" applyBorder="1" applyAlignment="1">
      <alignment horizontal="center" vertical="center"/>
    </xf>
    <xf numFmtId="177" fontId="7" fillId="0" borderId="7" xfId="1629" applyNumberFormat="1" applyFont="1" applyBorder="1" applyAlignment="1">
      <alignment horizontal="center" vertical="center"/>
    </xf>
    <xf numFmtId="177" fontId="7" fillId="0" borderId="3" xfId="1629" applyNumberFormat="1" applyFont="1" applyBorder="1" applyAlignment="1">
      <alignment horizontal="center" vertical="center"/>
    </xf>
    <xf numFmtId="1" fontId="7" fillId="0" borderId="1" xfId="1633" applyNumberFormat="1" applyFont="1" applyBorder="1" applyAlignment="1">
      <alignment horizontal="center" vertical="center"/>
    </xf>
    <xf numFmtId="177" fontId="7" fillId="0" borderId="0" xfId="1633" applyNumberFormat="1" applyFont="1" applyAlignment="1">
      <alignment horizontal="left" vertical="center"/>
    </xf>
    <xf numFmtId="0" fontId="7" fillId="0" borderId="14" xfId="1633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center" vertical="center"/>
    </xf>
    <xf numFmtId="177" fontId="7" fillId="0" borderId="0" xfId="1633" applyNumberFormat="1" applyFont="1" applyAlignment="1">
      <alignment horizontal="center" vertical="center"/>
    </xf>
    <xf numFmtId="0" fontId="15" fillId="0" borderId="0" xfId="1633" applyFont="1" applyAlignment="1">
      <alignment horizontal="center" vertical="center"/>
    </xf>
    <xf numFmtId="244" fontId="19" fillId="0" borderId="0" xfId="1629" applyNumberFormat="1" applyFont="1" applyAlignment="1">
      <alignment horizontal="center" vertical="center"/>
    </xf>
    <xf numFmtId="1" fontId="7" fillId="0" borderId="26" xfId="1633" applyNumberFormat="1" applyFont="1" applyBorder="1" applyAlignment="1">
      <alignment horizontal="center" vertical="center"/>
    </xf>
    <xf numFmtId="1" fontId="7" fillId="0" borderId="7" xfId="1633" applyNumberFormat="1" applyFont="1" applyBorder="1" applyAlignment="1">
      <alignment horizontal="center" vertical="center"/>
    </xf>
    <xf numFmtId="1" fontId="7" fillId="0" borderId="3" xfId="1633" applyNumberFormat="1" applyFont="1" applyBorder="1" applyAlignment="1">
      <alignment horizontal="center" vertical="center"/>
    </xf>
    <xf numFmtId="177" fontId="7" fillId="0" borderId="26" xfId="1633" applyNumberFormat="1" applyFont="1" applyBorder="1" applyAlignment="1">
      <alignment horizontal="center" vertical="center"/>
    </xf>
    <xf numFmtId="177" fontId="7" fillId="0" borderId="7" xfId="1633" applyNumberFormat="1" applyFont="1" applyBorder="1" applyAlignment="1">
      <alignment horizontal="center" vertical="center"/>
    </xf>
    <xf numFmtId="177" fontId="7" fillId="0" borderId="3" xfId="1633" applyNumberFormat="1" applyFont="1" applyBorder="1" applyAlignment="1">
      <alignment horizontal="center" vertical="center"/>
    </xf>
    <xf numFmtId="177" fontId="19" fillId="0" borderId="19" xfId="1629" applyNumberFormat="1" applyFont="1" applyBorder="1" applyAlignment="1">
      <alignment horizontal="center" vertical="center"/>
    </xf>
    <xf numFmtId="177" fontId="19" fillId="0" borderId="20" xfId="1629" applyNumberFormat="1" applyFont="1" applyBorder="1" applyAlignment="1">
      <alignment horizontal="center" vertical="center"/>
    </xf>
    <xf numFmtId="177" fontId="19" fillId="0" borderId="21" xfId="1629" applyNumberFormat="1" applyFont="1" applyBorder="1" applyAlignment="1">
      <alignment horizontal="center" vertical="center"/>
    </xf>
    <xf numFmtId="177" fontId="19" fillId="0" borderId="25" xfId="1629" applyNumberFormat="1" applyFont="1" applyBorder="1" applyAlignment="1">
      <alignment horizontal="center" vertical="center"/>
    </xf>
    <xf numFmtId="177" fontId="19" fillId="0" borderId="14" xfId="1629" applyNumberFormat="1" applyFont="1" applyBorder="1" applyAlignment="1">
      <alignment horizontal="center" vertical="center"/>
    </xf>
    <xf numFmtId="177" fontId="19" fillId="0" borderId="24" xfId="1629" applyNumberFormat="1" applyFont="1" applyBorder="1" applyAlignment="1">
      <alignment horizontal="center" vertical="center"/>
    </xf>
    <xf numFmtId="244" fontId="7" fillId="0" borderId="0" xfId="1629" applyNumberFormat="1" applyFont="1" applyAlignment="1">
      <alignment horizontal="center" vertical="center"/>
    </xf>
    <xf numFmtId="1" fontId="7" fillId="0" borderId="22" xfId="1633" applyNumberFormat="1" applyFont="1" applyBorder="1" applyAlignment="1">
      <alignment horizontal="right" vertical="center"/>
    </xf>
    <xf numFmtId="177" fontId="7" fillId="0" borderId="22" xfId="1633" applyNumberFormat="1" applyFont="1" applyBorder="1" applyAlignment="1">
      <alignment horizontal="center" vertical="center" wrapText="1"/>
    </xf>
    <xf numFmtId="177" fontId="7" fillId="0" borderId="0" xfId="1633" applyNumberFormat="1" applyFont="1" applyAlignment="1">
      <alignment horizontal="center" vertical="center" wrapText="1"/>
    </xf>
    <xf numFmtId="177" fontId="7" fillId="0" borderId="23" xfId="1633" applyNumberFormat="1" applyFont="1" applyBorder="1" applyAlignment="1">
      <alignment horizontal="center" vertical="center" wrapText="1"/>
    </xf>
    <xf numFmtId="177" fontId="15" fillId="0" borderId="0" xfId="1629" applyNumberFormat="1" applyFont="1" applyAlignment="1">
      <alignment horizontal="center" vertical="center"/>
    </xf>
    <xf numFmtId="244" fontId="15" fillId="0" borderId="0" xfId="1629" applyNumberFormat="1" applyFont="1" applyAlignment="1">
      <alignment horizontal="center" vertical="center"/>
    </xf>
    <xf numFmtId="1" fontId="81" fillId="0" borderId="0" xfId="1629" applyNumberFormat="1" applyFont="1" applyAlignment="1">
      <alignment horizontal="center" vertical="center"/>
    </xf>
    <xf numFmtId="177" fontId="7" fillId="0" borderId="0" xfId="1633" applyNumberFormat="1" applyFont="1" applyAlignment="1">
      <alignment horizontal="right" vertical="center"/>
    </xf>
    <xf numFmtId="177" fontId="7" fillId="0" borderId="0" xfId="1629" applyNumberFormat="1" applyFont="1" applyAlignment="1">
      <alignment horizontal="center" vertical="center"/>
    </xf>
    <xf numFmtId="177" fontId="7" fillId="0" borderId="23" xfId="1629" applyNumberFormat="1" applyFont="1" applyBorder="1" applyAlignment="1">
      <alignment horizontal="center" vertical="center"/>
    </xf>
    <xf numFmtId="178" fontId="7" fillId="0" borderId="0" xfId="1633" applyNumberFormat="1" applyFont="1" applyAlignment="1">
      <alignment horizontal="center" vertical="center"/>
    </xf>
    <xf numFmtId="0" fontId="7" fillId="0" borderId="0" xfId="1633" applyFont="1" applyAlignment="1">
      <alignment horizontal="center" vertical="center"/>
    </xf>
    <xf numFmtId="0" fontId="7" fillId="0" borderId="0" xfId="1633" applyFont="1" applyAlignment="1">
      <alignment horizontal="left" vertical="center"/>
    </xf>
    <xf numFmtId="0" fontId="78" fillId="0" borderId="0" xfId="1633" applyFont="1" applyAlignment="1">
      <alignment horizontal="center" vertical="center"/>
    </xf>
    <xf numFmtId="245" fontId="7" fillId="0" borderId="1" xfId="1633" applyNumberFormat="1" applyFont="1" applyBorder="1" applyAlignment="1">
      <alignment horizontal="center" vertical="center"/>
    </xf>
    <xf numFmtId="177" fontId="7" fillId="0" borderId="22" xfId="1633" applyNumberFormat="1" applyFont="1" applyBorder="1" applyAlignment="1">
      <alignment horizontal="left" vertical="center" wrapText="1"/>
    </xf>
    <xf numFmtId="178" fontId="78" fillId="0" borderId="0" xfId="1633" applyNumberFormat="1" applyFont="1" applyAlignment="1">
      <alignment horizontal="center" vertical="center"/>
    </xf>
    <xf numFmtId="177" fontId="7" fillId="0" borderId="0" xfId="1633" applyNumberFormat="1" applyFont="1" applyAlignment="1">
      <alignment horizontal="left" vertical="center" wrapText="1"/>
    </xf>
    <xf numFmtId="177" fontId="7" fillId="0" borderId="14" xfId="1629" applyNumberFormat="1" applyFont="1" applyBorder="1" applyAlignment="1">
      <alignment horizontal="center" vertical="center"/>
    </xf>
    <xf numFmtId="177" fontId="7" fillId="0" borderId="24" xfId="1629" applyNumberFormat="1" applyFont="1" applyBorder="1" applyAlignment="1">
      <alignment horizontal="center" vertical="center"/>
    </xf>
    <xf numFmtId="0" fontId="7" fillId="0" borderId="0" xfId="1633" applyFont="1" applyAlignment="1">
      <alignment horizontal="right" vertical="center"/>
    </xf>
    <xf numFmtId="0" fontId="7" fillId="0" borderId="23" xfId="1633" applyFont="1" applyBorder="1" applyAlignment="1">
      <alignment horizontal="right" vertical="center"/>
    </xf>
    <xf numFmtId="177" fontId="7" fillId="0" borderId="19" xfId="1629" applyNumberFormat="1" applyFont="1" applyBorder="1" applyAlignment="1">
      <alignment horizontal="center" vertical="center"/>
    </xf>
    <xf numFmtId="177" fontId="7" fillId="0" borderId="20" xfId="1629" applyNumberFormat="1" applyFont="1" applyBorder="1" applyAlignment="1">
      <alignment horizontal="center" vertical="center"/>
    </xf>
    <xf numFmtId="177" fontId="7" fillId="0" borderId="21" xfId="1629" applyNumberFormat="1" applyFont="1" applyBorder="1" applyAlignment="1">
      <alignment horizontal="center" vertical="center"/>
    </xf>
    <xf numFmtId="177" fontId="7" fillId="0" borderId="25" xfId="1629" applyNumberFormat="1" applyFont="1" applyBorder="1" applyAlignment="1">
      <alignment horizontal="center" vertical="center"/>
    </xf>
    <xf numFmtId="177" fontId="7" fillId="0" borderId="14" xfId="1629" applyNumberFormat="1" applyFont="1" applyBorder="1" applyAlignment="1">
      <alignment horizontal="left" vertical="center"/>
    </xf>
    <xf numFmtId="177" fontId="74" fillId="0" borderId="20" xfId="1633" applyNumberFormat="1" applyFont="1" applyBorder="1" applyAlignment="1">
      <alignment horizontal="center" vertical="center"/>
    </xf>
    <xf numFmtId="177" fontId="74" fillId="0" borderId="0" xfId="1633" applyNumberFormat="1" applyFont="1" applyBorder="1" applyAlignment="1">
      <alignment horizontal="center" vertical="center"/>
    </xf>
    <xf numFmtId="0" fontId="7" fillId="0" borderId="25" xfId="1631" applyFont="1" applyBorder="1" applyAlignment="1">
      <alignment horizontal="center" vertical="center"/>
    </xf>
    <xf numFmtId="0" fontId="7" fillId="0" borderId="14" xfId="1631" applyFont="1" applyBorder="1" applyAlignment="1">
      <alignment horizontal="center" vertical="center"/>
    </xf>
    <xf numFmtId="178" fontId="78" fillId="0" borderId="14" xfId="1631" applyNumberFormat="1" applyFont="1" applyBorder="1" applyAlignment="1">
      <alignment horizontal="center" vertical="center"/>
    </xf>
    <xf numFmtId="0" fontId="7" fillId="0" borderId="0" xfId="1631" applyFont="1" applyAlignment="1">
      <alignment horizontal="left" vertical="center"/>
    </xf>
    <xf numFmtId="178" fontId="78" fillId="0" borderId="0" xfId="1631" applyNumberFormat="1" applyFont="1" applyAlignment="1">
      <alignment horizontal="center" vertical="center"/>
    </xf>
    <xf numFmtId="178" fontId="77" fillId="0" borderId="0" xfId="1631" applyNumberFormat="1" applyFont="1" applyAlignment="1">
      <alignment horizontal="center" vertical="center"/>
    </xf>
    <xf numFmtId="1" fontId="7" fillId="0" borderId="14" xfId="1633" applyNumberFormat="1" applyFont="1" applyBorder="1" applyAlignment="1">
      <alignment horizontal="right" vertical="center"/>
    </xf>
    <xf numFmtId="1" fontId="7" fillId="0" borderId="0" xfId="1633" applyNumberFormat="1" applyFont="1" applyAlignment="1">
      <alignment horizontal="center" vertical="center"/>
    </xf>
    <xf numFmtId="1" fontId="7" fillId="0" borderId="23" xfId="1633" applyNumberFormat="1" applyFont="1" applyBorder="1" applyAlignment="1">
      <alignment horizontal="center" vertical="center"/>
    </xf>
    <xf numFmtId="1" fontId="7" fillId="0" borderId="23" xfId="1633" applyNumberFormat="1" applyFont="1" applyBorder="1" applyAlignment="1">
      <alignment horizontal="right" vertical="center"/>
    </xf>
    <xf numFmtId="178" fontId="7" fillId="0" borderId="0" xfId="1631" applyNumberFormat="1" applyFont="1" applyAlignment="1">
      <alignment horizontal="center" vertical="center"/>
    </xf>
    <xf numFmtId="0" fontId="7" fillId="0" borderId="0" xfId="1631" applyFont="1" applyAlignment="1">
      <alignment horizontal="center" vertical="center"/>
    </xf>
    <xf numFmtId="1" fontId="7" fillId="0" borderId="0" xfId="1631" applyNumberFormat="1" applyFont="1" applyAlignment="1">
      <alignment horizontal="center" vertical="center"/>
    </xf>
    <xf numFmtId="177" fontId="7" fillId="0" borderId="23" xfId="1633" applyNumberFormat="1" applyFont="1" applyBorder="1" applyAlignment="1">
      <alignment horizontal="right" vertical="center"/>
    </xf>
    <xf numFmtId="177" fontId="7" fillId="0" borderId="0" xfId="1629" applyNumberFormat="1" applyFont="1" applyAlignment="1">
      <alignment horizontal="left" vertical="center"/>
    </xf>
    <xf numFmtId="0" fontId="7" fillId="0" borderId="0" xfId="1630" applyFont="1" applyAlignment="1">
      <alignment horizontal="left" vertical="center"/>
    </xf>
    <xf numFmtId="0" fontId="7" fillId="0" borderId="23" xfId="1633" applyFont="1" applyBorder="1" applyAlignment="1">
      <alignment horizontal="center" vertical="center"/>
    </xf>
    <xf numFmtId="243" fontId="78" fillId="0" borderId="0" xfId="1633" applyNumberFormat="1" applyFont="1" applyAlignment="1">
      <alignment horizontal="center" vertical="center"/>
    </xf>
    <xf numFmtId="177" fontId="7" fillId="0" borderId="22" xfId="1633" applyNumberFormat="1" applyFont="1" applyBorder="1" applyAlignment="1">
      <alignment horizontal="center" vertical="top" wrapText="1"/>
    </xf>
    <xf numFmtId="177" fontId="7" fillId="0" borderId="0" xfId="1633" applyNumberFormat="1" applyFont="1" applyAlignment="1">
      <alignment horizontal="center" vertical="top" wrapText="1"/>
    </xf>
    <xf numFmtId="177" fontId="7" fillId="0" borderId="23" xfId="1633" applyNumberFormat="1" applyFont="1" applyBorder="1" applyAlignment="1">
      <alignment horizontal="center" vertical="top" wrapText="1"/>
    </xf>
    <xf numFmtId="177" fontId="7" fillId="0" borderId="22" xfId="1633" applyNumberFormat="1" applyFont="1" applyBorder="1" applyAlignment="1">
      <alignment horizontal="left" vertical="top" wrapText="1"/>
    </xf>
    <xf numFmtId="177" fontId="7" fillId="0" borderId="0" xfId="1633" applyNumberFormat="1" applyFont="1" applyAlignment="1">
      <alignment horizontal="left" vertical="top"/>
    </xf>
    <xf numFmtId="177" fontId="7" fillId="0" borderId="22" xfId="1633" applyNumberFormat="1" applyFont="1" applyBorder="1" applyAlignment="1">
      <alignment horizontal="left" vertical="top"/>
    </xf>
    <xf numFmtId="0" fontId="7" fillId="0" borderId="0" xfId="1633" quotePrefix="1" applyFont="1" applyAlignment="1">
      <alignment horizontal="center" vertical="center"/>
    </xf>
    <xf numFmtId="0" fontId="7" fillId="0" borderId="14" xfId="1633" quotePrefix="1" applyFont="1" applyBorder="1" applyAlignment="1">
      <alignment horizontal="center" vertical="center"/>
    </xf>
    <xf numFmtId="0" fontId="7" fillId="0" borderId="1" xfId="1633" applyFont="1" applyBorder="1" applyAlignment="1">
      <alignment horizontal="center" vertical="center"/>
    </xf>
    <xf numFmtId="0" fontId="7" fillId="0" borderId="26" xfId="1633" applyFont="1" applyBorder="1" applyAlignment="1">
      <alignment horizontal="center" vertical="center"/>
    </xf>
    <xf numFmtId="0" fontId="7" fillId="0" borderId="7" xfId="1633" applyFont="1" applyBorder="1" applyAlignment="1">
      <alignment horizontal="center" vertical="center"/>
    </xf>
    <xf numFmtId="0" fontId="7" fillId="0" borderId="3" xfId="1633" applyFont="1" applyBorder="1" applyAlignment="1">
      <alignment horizontal="center" vertical="center"/>
    </xf>
    <xf numFmtId="178" fontId="7" fillId="0" borderId="26" xfId="1633" applyNumberFormat="1" applyFont="1" applyBorder="1" applyAlignment="1">
      <alignment horizontal="center" vertical="center"/>
    </xf>
    <xf numFmtId="178" fontId="7" fillId="0" borderId="7" xfId="1633" applyNumberFormat="1" applyFont="1" applyBorder="1" applyAlignment="1">
      <alignment horizontal="center" vertical="center"/>
    </xf>
    <xf numFmtId="1" fontId="81" fillId="0" borderId="26" xfId="1629" applyNumberFormat="1" applyFont="1" applyBorder="1" applyAlignment="1">
      <alignment horizontal="center" vertical="center"/>
    </xf>
    <xf numFmtId="1" fontId="81" fillId="0" borderId="7" xfId="1629" applyNumberFormat="1" applyFont="1" applyBorder="1" applyAlignment="1">
      <alignment horizontal="center" vertical="center"/>
    </xf>
    <xf numFmtId="178" fontId="7" fillId="0" borderId="1" xfId="1633" applyNumberFormat="1" applyFont="1" applyBorder="1" applyAlignment="1">
      <alignment horizontal="right" vertical="center"/>
    </xf>
    <xf numFmtId="178" fontId="7" fillId="0" borderId="26" xfId="1633" applyNumberFormat="1" applyFont="1" applyBorder="1" applyAlignment="1">
      <alignment horizontal="right" vertical="center"/>
    </xf>
    <xf numFmtId="0" fontId="73" fillId="0" borderId="0" xfId="1631" applyFont="1" applyAlignment="1">
      <alignment horizontal="left" vertical="center"/>
    </xf>
    <xf numFmtId="1" fontId="19" fillId="0" borderId="0" xfId="1629" quotePrefix="1" applyNumberFormat="1" applyFont="1" applyAlignment="1">
      <alignment horizontal="center" vertical="center"/>
    </xf>
    <xf numFmtId="177" fontId="7" fillId="0" borderId="0" xfId="1629" applyNumberFormat="1" applyFont="1" applyAlignment="1">
      <alignment horizontal="right" vertical="center"/>
    </xf>
    <xf numFmtId="177" fontId="7" fillId="0" borderId="23" xfId="1629" applyNumberFormat="1" applyFont="1" applyBorder="1" applyAlignment="1">
      <alignment horizontal="right" vertical="center"/>
    </xf>
    <xf numFmtId="177" fontId="78" fillId="0" borderId="0" xfId="1629" applyNumberFormat="1" applyFont="1" applyAlignment="1">
      <alignment horizontal="center" vertical="center"/>
    </xf>
    <xf numFmtId="177" fontId="78" fillId="0" borderId="0" xfId="1633" applyNumberFormat="1" applyFont="1" applyAlignment="1">
      <alignment horizontal="center" vertical="center"/>
    </xf>
    <xf numFmtId="176" fontId="19" fillId="0" borderId="0" xfId="1629" quotePrefix="1" applyNumberFormat="1" applyFont="1" applyAlignment="1">
      <alignment horizontal="center" vertical="center"/>
    </xf>
    <xf numFmtId="177" fontId="77" fillId="0" borderId="0" xfId="1629" applyNumberFormat="1" applyFont="1" applyAlignment="1">
      <alignment horizontal="center" vertical="center"/>
    </xf>
    <xf numFmtId="0" fontId="7" fillId="0" borderId="14" xfId="1633" applyFont="1" applyBorder="1" applyAlignment="1">
      <alignment horizontal="left" vertical="center"/>
    </xf>
    <xf numFmtId="177" fontId="77" fillId="0" borderId="0" xfId="1633" applyNumberFormat="1" applyFont="1" applyAlignment="1">
      <alignment horizontal="center" vertical="center"/>
    </xf>
    <xf numFmtId="0" fontId="77" fillId="0" borderId="0" xfId="1633" applyFont="1" applyAlignment="1">
      <alignment horizontal="center" vertical="center"/>
    </xf>
    <xf numFmtId="177" fontId="19" fillId="0" borderId="0" xfId="1629" applyNumberFormat="1" applyFont="1" applyAlignment="1">
      <alignment horizontal="center" vertical="center"/>
    </xf>
    <xf numFmtId="1" fontId="15" fillId="0" borderId="0" xfId="1629" applyNumberFormat="1" applyFont="1" applyAlignment="1">
      <alignment horizontal="center" vertical="center"/>
    </xf>
    <xf numFmtId="1" fontId="19" fillId="0" borderId="0" xfId="1629" applyNumberFormat="1" applyFont="1" applyAlignment="1">
      <alignment horizontal="center" vertical="center"/>
    </xf>
    <xf numFmtId="177" fontId="19" fillId="0" borderId="1" xfId="1629" applyNumberFormat="1" applyFont="1" applyBorder="1" applyAlignment="1">
      <alignment horizontal="center" vertical="center"/>
    </xf>
    <xf numFmtId="244" fontId="7" fillId="0" borderId="19" xfId="1629" applyNumberFormat="1" applyFont="1" applyBorder="1" applyAlignment="1">
      <alignment horizontal="center" vertical="center"/>
    </xf>
    <xf numFmtId="244" fontId="7" fillId="0" borderId="20" xfId="1629" applyNumberFormat="1" applyFont="1" applyBorder="1" applyAlignment="1">
      <alignment horizontal="center" vertical="center"/>
    </xf>
    <xf numFmtId="244" fontId="7" fillId="0" borderId="21" xfId="1629" applyNumberFormat="1" applyFont="1" applyBorder="1" applyAlignment="1">
      <alignment horizontal="center" vertical="center"/>
    </xf>
    <xf numFmtId="244" fontId="7" fillId="0" borderId="25" xfId="1629" applyNumberFormat="1" applyFont="1" applyBorder="1" applyAlignment="1">
      <alignment horizontal="center" vertical="center"/>
    </xf>
    <xf numFmtId="244" fontId="7" fillId="0" borderId="14" xfId="1629" applyNumberFormat="1" applyFont="1" applyBorder="1" applyAlignment="1">
      <alignment horizontal="center" vertical="center"/>
    </xf>
    <xf numFmtId="244" fontId="7" fillId="0" borderId="24" xfId="1629" applyNumberFormat="1" applyFont="1" applyBorder="1" applyAlignment="1">
      <alignment horizontal="center" vertical="center"/>
    </xf>
    <xf numFmtId="1" fontId="78" fillId="0" borderId="0" xfId="1633" applyNumberFormat="1" applyFont="1" applyAlignment="1">
      <alignment horizontal="center" vertical="center"/>
    </xf>
    <xf numFmtId="177" fontId="78" fillId="0" borderId="22" xfId="1633" applyNumberFormat="1" applyFont="1" applyBorder="1" applyAlignment="1">
      <alignment horizontal="center" vertical="center"/>
    </xf>
    <xf numFmtId="177" fontId="7" fillId="0" borderId="0" xfId="1633" applyNumberFormat="1" applyFont="1" applyAlignment="1">
      <alignment horizontal="left" vertical="top" wrapText="1"/>
    </xf>
    <xf numFmtId="177" fontId="7" fillId="0" borderId="23" xfId="1633" applyNumberFormat="1" applyFont="1" applyBorder="1" applyAlignment="1">
      <alignment horizontal="left" vertical="top" wrapText="1"/>
    </xf>
    <xf numFmtId="244" fontId="7" fillId="0" borderId="1" xfId="1629" applyNumberFormat="1" applyFont="1" applyBorder="1" applyAlignment="1">
      <alignment horizontal="center" vertical="center"/>
    </xf>
    <xf numFmtId="177" fontId="7" fillId="0" borderId="19" xfId="1629" applyNumberFormat="1" applyFont="1" applyBorder="1" applyAlignment="1">
      <alignment horizontal="center" vertical="center" wrapText="1"/>
    </xf>
    <xf numFmtId="177" fontId="7" fillId="0" borderId="22" xfId="1629" applyNumberFormat="1" applyFont="1" applyBorder="1" applyAlignment="1">
      <alignment horizontal="center" vertical="center"/>
    </xf>
    <xf numFmtId="177" fontId="78" fillId="0" borderId="1" xfId="1629" applyNumberFormat="1" applyFont="1" applyBorder="1" applyAlignment="1">
      <alignment horizontal="center" vertical="center"/>
    </xf>
    <xf numFmtId="177" fontId="7" fillId="0" borderId="19" xfId="1633" applyNumberFormat="1" applyFont="1" applyBorder="1" applyAlignment="1">
      <alignment horizontal="center" vertical="center"/>
    </xf>
    <xf numFmtId="177" fontId="7" fillId="0" borderId="20" xfId="1633" applyNumberFormat="1" applyFont="1" applyBorder="1" applyAlignment="1">
      <alignment horizontal="center" vertical="center"/>
    </xf>
    <xf numFmtId="177" fontId="7" fillId="0" borderId="21" xfId="1633" applyNumberFormat="1" applyFont="1" applyBorder="1" applyAlignment="1">
      <alignment horizontal="center" vertical="center"/>
    </xf>
    <xf numFmtId="177" fontId="7" fillId="0" borderId="25" xfId="1633" applyNumberFormat="1" applyFont="1" applyBorder="1" applyAlignment="1">
      <alignment horizontal="center" vertical="center"/>
    </xf>
    <xf numFmtId="177" fontId="7" fillId="0" borderId="14" xfId="1633" applyNumberFormat="1" applyFont="1" applyBorder="1" applyAlignment="1">
      <alignment horizontal="center" vertical="center"/>
    </xf>
    <xf numFmtId="177" fontId="7" fillId="0" borderId="24" xfId="1633" applyNumberFormat="1" applyFont="1" applyBorder="1" applyAlignment="1">
      <alignment horizontal="center" vertical="center"/>
    </xf>
    <xf numFmtId="177" fontId="7" fillId="0" borderId="20" xfId="1629" applyNumberFormat="1" applyFont="1" applyBorder="1" applyAlignment="1">
      <alignment horizontal="center" vertical="center" wrapText="1"/>
    </xf>
    <xf numFmtId="177" fontId="7" fillId="0" borderId="21" xfId="1629" applyNumberFormat="1" applyFont="1" applyBorder="1" applyAlignment="1">
      <alignment horizontal="center" vertical="center" wrapText="1"/>
    </xf>
    <xf numFmtId="177" fontId="7" fillId="0" borderId="22" xfId="1629" applyNumberFormat="1" applyFont="1" applyBorder="1" applyAlignment="1">
      <alignment horizontal="center" vertical="center" wrapText="1"/>
    </xf>
    <xf numFmtId="177" fontId="7" fillId="0" borderId="0" xfId="1629" applyNumberFormat="1" applyFont="1" applyAlignment="1">
      <alignment horizontal="center" vertical="center" wrapText="1"/>
    </xf>
    <xf numFmtId="177" fontId="7" fillId="0" borderId="23" xfId="1629" applyNumberFormat="1" applyFont="1" applyBorder="1" applyAlignment="1">
      <alignment horizontal="center" vertical="center" wrapText="1"/>
    </xf>
    <xf numFmtId="177" fontId="7" fillId="0" borderId="25" xfId="1629" applyNumberFormat="1" applyFont="1" applyBorder="1" applyAlignment="1">
      <alignment horizontal="center" vertical="center" wrapText="1"/>
    </xf>
    <xf numFmtId="177" fontId="7" fillId="0" borderId="14" xfId="1629" applyNumberFormat="1" applyFont="1" applyBorder="1" applyAlignment="1">
      <alignment horizontal="center" vertical="center" wrapText="1"/>
    </xf>
    <xf numFmtId="177" fontId="7" fillId="0" borderId="24" xfId="1629" applyNumberFormat="1" applyFont="1" applyBorder="1" applyAlignment="1">
      <alignment horizontal="center" vertical="center" wrapText="1"/>
    </xf>
    <xf numFmtId="202" fontId="7" fillId="0" borderId="22" xfId="1621" applyNumberFormat="1" applyFont="1" applyBorder="1" applyAlignment="1">
      <alignment horizontal="left" vertical="top" wrapText="1"/>
    </xf>
    <xf numFmtId="202" fontId="7" fillId="0" borderId="0" xfId="1621" applyNumberFormat="1" applyFont="1" applyAlignment="1">
      <alignment horizontal="left" vertical="top" wrapText="1"/>
    </xf>
    <xf numFmtId="1" fontId="15" fillId="0" borderId="0" xfId="1633" applyNumberFormat="1" applyFont="1" applyAlignment="1">
      <alignment horizontal="center" vertical="center"/>
    </xf>
    <xf numFmtId="1" fontId="15" fillId="0" borderId="23" xfId="1633" applyNumberFormat="1" applyFont="1" applyBorder="1" applyAlignment="1">
      <alignment horizontal="center" vertical="center"/>
    </xf>
    <xf numFmtId="0" fontId="19" fillId="0" borderId="22" xfId="1631" applyFont="1" applyBorder="1" applyAlignment="1">
      <alignment horizontal="center" vertical="center"/>
    </xf>
    <xf numFmtId="0" fontId="19" fillId="0" borderId="0" xfId="1631" applyFont="1" applyAlignment="1">
      <alignment horizontal="center" vertical="center"/>
    </xf>
    <xf numFmtId="1" fontId="19" fillId="0" borderId="0" xfId="1629" applyNumberFormat="1" applyFont="1" applyAlignment="1">
      <alignment horizontal="right" vertical="center"/>
    </xf>
    <xf numFmtId="177" fontId="7" fillId="0" borderId="0" xfId="1633" applyNumberFormat="1" applyFont="1" applyAlignment="1">
      <alignment horizontal="center" vertical="center" shrinkToFit="1"/>
    </xf>
    <xf numFmtId="0" fontId="19" fillId="0" borderId="42" xfId="1621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182" fontId="7" fillId="0" borderId="35" xfId="0" applyNumberFormat="1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19" fillId="0" borderId="42" xfId="1621" applyFont="1" applyBorder="1" applyAlignment="1">
      <alignment horizontal="center" vertical="center"/>
    </xf>
    <xf numFmtId="182" fontId="7" fillId="0" borderId="10" xfId="0" applyNumberFormat="1" applyFont="1" applyFill="1" applyBorder="1" applyAlignment="1">
      <alignment vertical="center"/>
    </xf>
  </cellXfs>
  <cellStyles count="1639">
    <cellStyle name=" " xfId="1" xr:uid="{00000000-0005-0000-0000-000000000000}"/>
    <cellStyle name="$" xfId="2" xr:uid="{00000000-0005-0000-0000-000001000000}"/>
    <cellStyle name="$_db진흥" xfId="3" xr:uid="{00000000-0005-0000-0000-000002000000}"/>
    <cellStyle name="$_SE40" xfId="4" xr:uid="{00000000-0005-0000-0000-000003000000}"/>
    <cellStyle name="$_견적2" xfId="5" xr:uid="{00000000-0005-0000-0000-000004000000}"/>
    <cellStyle name="$_기아" xfId="6" xr:uid="{00000000-0005-0000-0000-000005000000}"/>
    <cellStyle name="&amp;A" xfId="7" xr:uid="{00000000-0005-0000-0000-000006000000}"/>
    <cellStyle name="(##.00)" xfId="8" xr:uid="{00000000-0005-0000-0000-000007000000}"/>
    <cellStyle name=")" xfId="9" xr:uid="{00000000-0005-0000-0000-000008000000}"/>
    <cellStyle name=";;;" xfId="10" xr:uid="{00000000-0005-0000-0000-000009000000}"/>
    <cellStyle name="??&amp;O?&amp;H?_x0008__x000f__x0007_?_x0007__x0001__x0001_" xfId="11" xr:uid="{00000000-0005-0000-0000-00000A000000}"/>
    <cellStyle name="??&amp;O?&amp;H?_x0008_??_x0007__x0001__x0001_" xfId="12" xr:uid="{00000000-0005-0000-0000-00000B000000}"/>
    <cellStyle name="??&amp;쏗?뷐9_x0008__x0011__x0007_?_x0007__x0001__x0001_" xfId="13" xr:uid="{00000000-0005-0000-0000-00000C000000}"/>
    <cellStyle name="?W?_laroux" xfId="14" xr:uid="{00000000-0005-0000-0000-00000D000000}"/>
    <cellStyle name="_01.깨기수량(1구간)" xfId="15" xr:uid="{00000000-0005-0000-0000-00000E000000}"/>
    <cellStyle name="_01U" xfId="16" xr:uid="{00000000-0005-0000-0000-00000F000000}"/>
    <cellStyle name="_01U_U-12" xfId="17" xr:uid="{00000000-0005-0000-0000-000010000000}"/>
    <cellStyle name="_01U_U-13" xfId="18" xr:uid="{00000000-0005-0000-0000-000011000000}"/>
    <cellStyle name="_01U_U-14" xfId="19" xr:uid="{00000000-0005-0000-0000-000012000000}"/>
    <cellStyle name="_01U_U-14-1" xfId="20" xr:uid="{00000000-0005-0000-0000-000013000000}"/>
    <cellStyle name="_01U-TypeL" xfId="21" xr:uid="{00000000-0005-0000-0000-000014000000}"/>
    <cellStyle name="_01U-TypeL_05U(5823)" xfId="22" xr:uid="{00000000-0005-0000-0000-000015000000}"/>
    <cellStyle name="_01U-TypeL_U-12" xfId="23" xr:uid="{00000000-0005-0000-0000-000016000000}"/>
    <cellStyle name="_01U-TypeL_U-13" xfId="24" xr:uid="{00000000-0005-0000-0000-000017000000}"/>
    <cellStyle name="_01U-TypeL_U-14" xfId="25" xr:uid="{00000000-0005-0000-0000-000018000000}"/>
    <cellStyle name="_01U-TypeL_U-14-1" xfId="26" xr:uid="{00000000-0005-0000-0000-000019000000}"/>
    <cellStyle name="_02 농암교수량" xfId="27" xr:uid="{00000000-0005-0000-0000-00001A000000}"/>
    <cellStyle name="_02 농암교수량_조포교수량(0531)" xfId="28" xr:uid="{00000000-0005-0000-0000-00001B000000}"/>
    <cellStyle name="_02 농암교수량_조포교수량(0531)_덕곡교수량" xfId="29" xr:uid="{00000000-0005-0000-0000-00001C000000}"/>
    <cellStyle name="_02U(5407)" xfId="30" xr:uid="{00000000-0005-0000-0000-00001D000000}"/>
    <cellStyle name="_02U(5407)_U-12" xfId="31" xr:uid="{00000000-0005-0000-0000-00001E000000}"/>
    <cellStyle name="_02U(5407)_U-13" xfId="32" xr:uid="{00000000-0005-0000-0000-00001F000000}"/>
    <cellStyle name="_02U(5407)_U-14" xfId="33" xr:uid="{00000000-0005-0000-0000-000020000000}"/>
    <cellStyle name="_02U(5407)_U-14-1" xfId="34" xr:uid="{00000000-0005-0000-0000-000021000000}"/>
    <cellStyle name="_04U(7994)" xfId="35" xr:uid="{00000000-0005-0000-0000-000022000000}"/>
    <cellStyle name="_04U(7994)_U-12" xfId="36" xr:uid="{00000000-0005-0000-0000-000023000000}"/>
    <cellStyle name="_04U(7994)_U-13" xfId="37" xr:uid="{00000000-0005-0000-0000-000024000000}"/>
    <cellStyle name="_04U(7994)_U-14" xfId="38" xr:uid="{00000000-0005-0000-0000-000025000000}"/>
    <cellStyle name="_04U(7994)_U-14-1" xfId="39" xr:uid="{00000000-0005-0000-0000-000026000000}"/>
    <cellStyle name="_05U(5823)" xfId="40" xr:uid="{00000000-0005-0000-0000-000027000000}"/>
    <cellStyle name="_1) 교대토공수량" xfId="41" xr:uid="{00000000-0005-0000-0000-000028000000}"/>
    <cellStyle name="_1) 교대토공수량_1) 교대토공수량" xfId="42" xr:uid="{00000000-0005-0000-0000-000029000000}"/>
    <cellStyle name="_1) 교대토공수량_1) 교대토공수량_1.여주JCT6교" xfId="43" xr:uid="{00000000-0005-0000-0000-00002A000000}"/>
    <cellStyle name="_1) 교대토공수량_1) 교대토공수량_2.여주jc7교" xfId="44" xr:uid="{00000000-0005-0000-0000-00002B000000}"/>
    <cellStyle name="_1) 교대토공수량_1) 대토공수량" xfId="45" xr:uid="{00000000-0005-0000-0000-00002C000000}"/>
    <cellStyle name="_1) 교대토공수량_1) 대토공수량_1.여주JCT6교" xfId="46" xr:uid="{00000000-0005-0000-0000-00002D000000}"/>
    <cellStyle name="_1) 교대토공수량_1) 대토공수량_2.여주jc7교" xfId="47" xr:uid="{00000000-0005-0000-0000-00002E000000}"/>
    <cellStyle name="_1) 교대토공수량_1.여주JCT6교" xfId="48" xr:uid="{00000000-0005-0000-0000-00002F000000}"/>
    <cellStyle name="_1) 교대토공수량_2.여주jc7교" xfId="49" xr:uid="{00000000-0005-0000-0000-000030000000}"/>
    <cellStyle name="_1.소탄교-주요자재집계표" xfId="50" xr:uid="{00000000-0005-0000-0000-000031000000}"/>
    <cellStyle name="_1.여주JCT6교" xfId="51" xr:uid="{00000000-0005-0000-0000-000032000000}"/>
    <cellStyle name="_1공구깨기수량" xfId="52" xr:uid="{00000000-0005-0000-0000-000033000000}"/>
    <cellStyle name="_2) 교대일반수량2" xfId="53" xr:uid="{00000000-0005-0000-0000-000034000000}"/>
    <cellStyle name="_2) 교대일반수량2_1) 교대토공수량" xfId="54" xr:uid="{00000000-0005-0000-0000-000035000000}"/>
    <cellStyle name="_2) 교대일반수량2_1) 교대토공수량_1.여주JCT6교" xfId="55" xr:uid="{00000000-0005-0000-0000-000036000000}"/>
    <cellStyle name="_2) 교대일반수량2_1) 교대토공수량_2.여주jc7교" xfId="56" xr:uid="{00000000-0005-0000-0000-000037000000}"/>
    <cellStyle name="_2) 교대일반수량2_1) 대토공수량" xfId="57" xr:uid="{00000000-0005-0000-0000-000038000000}"/>
    <cellStyle name="_2) 교대일반수량2_1) 대토공수량_1.여주JCT6교" xfId="58" xr:uid="{00000000-0005-0000-0000-000039000000}"/>
    <cellStyle name="_2) 교대일반수량2_1) 대토공수량_2.여주jc7교" xfId="59" xr:uid="{00000000-0005-0000-0000-00003A000000}"/>
    <cellStyle name="_2) 교대일반수량2_1.여주JCT6교" xfId="60" xr:uid="{00000000-0005-0000-0000-00003B000000}"/>
    <cellStyle name="_2) 교대일반수량2_2.여주jc7교" xfId="61" xr:uid="{00000000-0005-0000-0000-00003C000000}"/>
    <cellStyle name="_2) 교대토공수량" xfId="62" xr:uid="{00000000-0005-0000-0000-00003D000000}"/>
    <cellStyle name="_2) 교대토공수량_1) 교대토공수량" xfId="63" xr:uid="{00000000-0005-0000-0000-00003E000000}"/>
    <cellStyle name="_2) 교대토공수량_1) 교대토공수량_1.여주JCT6교" xfId="64" xr:uid="{00000000-0005-0000-0000-00003F000000}"/>
    <cellStyle name="_2) 교대토공수량_1) 교대토공수량_2.여주jc7교" xfId="65" xr:uid="{00000000-0005-0000-0000-000040000000}"/>
    <cellStyle name="_2) 교대토공수량_1) 대토공수량" xfId="66" xr:uid="{00000000-0005-0000-0000-000041000000}"/>
    <cellStyle name="_2) 교대토공수량_1) 대토공수량_1.여주JCT6교" xfId="67" xr:uid="{00000000-0005-0000-0000-000042000000}"/>
    <cellStyle name="_2) 교대토공수량_1) 대토공수량_2.여주jc7교" xfId="68" xr:uid="{00000000-0005-0000-0000-000043000000}"/>
    <cellStyle name="_2) 교대토공수량_1.여주JCT6교" xfId="69" xr:uid="{00000000-0005-0000-0000-000044000000}"/>
    <cellStyle name="_2) 교대토공수량_2.여주jc7교" xfId="70" xr:uid="{00000000-0005-0000-0000-000045000000}"/>
    <cellStyle name="_2.여주jc7교" xfId="71" xr:uid="{00000000-0005-0000-0000-000046000000}"/>
    <cellStyle name="_2.연평교-수량" xfId="72" xr:uid="{00000000-0005-0000-0000-000047000000}"/>
    <cellStyle name="_2.재궁교-수량" xfId="73" xr:uid="{00000000-0005-0000-0000-000048000000}"/>
    <cellStyle name="_2-4.상반기실적부문별요약" xfId="74" xr:uid="{00000000-0005-0000-0000-000049000000}"/>
    <cellStyle name="_2-4.상반기실적부문별요약(표지및목차포함)" xfId="75" xr:uid="{00000000-0005-0000-0000-00004A000000}"/>
    <cellStyle name="_2-4.상반기실적부문별요약(표지및목차포함)_1" xfId="76" xr:uid="{00000000-0005-0000-0000-00004B000000}"/>
    <cellStyle name="_2-4.상반기실적부문별요약_1" xfId="77" xr:uid="{00000000-0005-0000-0000-00004C000000}"/>
    <cellStyle name="_3.1.1 TYPE-A1" xfId="78" xr:uid="{00000000-0005-0000-0000-00004D000000}"/>
    <cellStyle name="_3.1.1 TYPE-A1_1.1.2TYPE-B" xfId="79" xr:uid="{00000000-0005-0000-0000-00004E000000}"/>
    <cellStyle name="_3.1.1 TYPE-A1_1.1.8U1-Type" xfId="80" xr:uid="{00000000-0005-0000-0000-00004F000000}"/>
    <cellStyle name="_3.1.1 TYPE-A1_1.1.9U2-type" xfId="81" xr:uid="{00000000-0005-0000-0000-000050000000}"/>
    <cellStyle name="_3.1.1 TYPE-A1_1.1.9U2-type-1" xfId="82" xr:uid="{00000000-0005-0000-0000-000051000000}"/>
    <cellStyle name="_3.1.1 TYPE-A1_TYPE-A(계획지반고)" xfId="83" xr:uid="{00000000-0005-0000-0000-000052000000}"/>
    <cellStyle name="_3.1.1 TYPE-A1_U-Type1" xfId="84" xr:uid="{00000000-0005-0000-0000-000053000000}"/>
    <cellStyle name="_3.1.1 TYPE-A1_U-Type1_U-Type3" xfId="85" xr:uid="{00000000-0005-0000-0000-000054000000}"/>
    <cellStyle name="_3.1.1 TYPE-A1_U-Type1_U-Type3_1.1.13 U9-Type" xfId="86" xr:uid="{00000000-0005-0000-0000-000055000000}"/>
    <cellStyle name="_3.1.1 TYPE-A1_U-Type1_U-Type3_U10-BOX Type" xfId="87" xr:uid="{00000000-0005-0000-0000-000056000000}"/>
    <cellStyle name="_3.1.1 TYPE-A1_U-Type1_U-Type3_U8-BOX Type" xfId="88" xr:uid="{00000000-0005-0000-0000-000057000000}"/>
    <cellStyle name="_3.1.1 TYPE-A1_U-Type1_U-Type7" xfId="89" xr:uid="{00000000-0005-0000-0000-000058000000}"/>
    <cellStyle name="_3.1.1 TYPE-A1_U-Type1_U-Type7_U8-BOX Type" xfId="90" xr:uid="{00000000-0005-0000-0000-000059000000}"/>
    <cellStyle name="_3.1.1 TYPE-A1_U-Type1_U-Type9" xfId="91" xr:uid="{00000000-0005-0000-0000-00005A000000}"/>
    <cellStyle name="_3.1.1 TYPE-A1_U-Type1_U-Type9_1.1.13 U9-Type" xfId="92" xr:uid="{00000000-0005-0000-0000-00005B000000}"/>
    <cellStyle name="_3.1.1 TYPE-A1_U-Type1_U-Type9_U10-BOX Type" xfId="93" xr:uid="{00000000-0005-0000-0000-00005C000000}"/>
    <cellStyle name="_3.1.1 TYPE-A1_U-Type1_U-Type9_U8-BOX Type" xfId="94" xr:uid="{00000000-0005-0000-0000-00005D000000}"/>
    <cellStyle name="_3.1.1 TYPE-A1_U-Type1-new" xfId="95" xr:uid="{00000000-0005-0000-0000-00005E000000}"/>
    <cellStyle name="_3.1.1 TYPE-A1_U-Type1-new_U-Type3" xfId="96" xr:uid="{00000000-0005-0000-0000-00005F000000}"/>
    <cellStyle name="_3.1.1 TYPE-A1_U-Type1-new_U-Type3_1.1.13 U9-Type" xfId="97" xr:uid="{00000000-0005-0000-0000-000060000000}"/>
    <cellStyle name="_3.1.1 TYPE-A1_U-Type1-new_U-Type3_U10-BOX Type" xfId="98" xr:uid="{00000000-0005-0000-0000-000061000000}"/>
    <cellStyle name="_3.1.1 TYPE-A1_U-Type1-new_U-Type3_U8-BOX Type" xfId="99" xr:uid="{00000000-0005-0000-0000-000062000000}"/>
    <cellStyle name="_3.1.1 TYPE-A1_U-Type1-new_U-Type7" xfId="100" xr:uid="{00000000-0005-0000-0000-000063000000}"/>
    <cellStyle name="_3.1.1 TYPE-A1_U-Type1-new_U-Type7_U8-BOX Type" xfId="101" xr:uid="{00000000-0005-0000-0000-000064000000}"/>
    <cellStyle name="_3.1.1 TYPE-A1_U-Type1-new_U-Type9" xfId="102" xr:uid="{00000000-0005-0000-0000-000065000000}"/>
    <cellStyle name="_3.1.1 TYPE-A1_U-Type1-new_U-Type9_1.1.13 U9-Type" xfId="103" xr:uid="{00000000-0005-0000-0000-000066000000}"/>
    <cellStyle name="_3.1.1 TYPE-A1_U-Type1-new_U-Type9_U10-BOX Type" xfId="104" xr:uid="{00000000-0005-0000-0000-000067000000}"/>
    <cellStyle name="_3.1.1 TYPE-A1_U-Type1-new_U-Type9_U8-BOX Type" xfId="105" xr:uid="{00000000-0005-0000-0000-000068000000}"/>
    <cellStyle name="_3.1.1 TYPE-A1_U-Type2" xfId="106" xr:uid="{00000000-0005-0000-0000-000069000000}"/>
    <cellStyle name="_3.1.1 TYPE-A1_U-Type2_U-Type3" xfId="107" xr:uid="{00000000-0005-0000-0000-00006A000000}"/>
    <cellStyle name="_3.1.1 TYPE-A1_U-Type2_U-Type3_1.1.13 U9-Type" xfId="108" xr:uid="{00000000-0005-0000-0000-00006B000000}"/>
    <cellStyle name="_3.1.1 TYPE-A1_U-Type2_U-Type3_U10-BOX Type" xfId="109" xr:uid="{00000000-0005-0000-0000-00006C000000}"/>
    <cellStyle name="_3.1.1 TYPE-A1_U-Type2_U-Type3_U8-BOX Type" xfId="110" xr:uid="{00000000-0005-0000-0000-00006D000000}"/>
    <cellStyle name="_3.1.1 TYPE-A1_U-Type2_U-Type7" xfId="111" xr:uid="{00000000-0005-0000-0000-00006E000000}"/>
    <cellStyle name="_3.1.1 TYPE-A1_U-Type2_U-Type7_U8-BOX Type" xfId="112" xr:uid="{00000000-0005-0000-0000-00006F000000}"/>
    <cellStyle name="_3.1.1 TYPE-A1_U-Type2_U-Type9" xfId="113" xr:uid="{00000000-0005-0000-0000-000070000000}"/>
    <cellStyle name="_3.1.1 TYPE-A1_U-Type2_U-Type9_1.1.13 U9-Type" xfId="114" xr:uid="{00000000-0005-0000-0000-000071000000}"/>
    <cellStyle name="_3.1.1 TYPE-A1_U-Type2_U-Type9_U10-BOX Type" xfId="115" xr:uid="{00000000-0005-0000-0000-000072000000}"/>
    <cellStyle name="_3.1.1 TYPE-A1_U-Type2_U-Type9_U8-BOX Type" xfId="116" xr:uid="{00000000-0005-0000-0000-000073000000}"/>
    <cellStyle name="_3.1.1 TYPE-A1_U-Type3" xfId="117" xr:uid="{00000000-0005-0000-0000-000074000000}"/>
    <cellStyle name="_3.1.1 TYPE-A1_U-Type3_1" xfId="118" xr:uid="{00000000-0005-0000-0000-000075000000}"/>
    <cellStyle name="_3.1.1 TYPE-A1_U-Type3_1_1.1.13 U9-Type" xfId="119" xr:uid="{00000000-0005-0000-0000-000076000000}"/>
    <cellStyle name="_3.1.1 TYPE-A1_U-Type3_1_U10-BOX Type" xfId="120" xr:uid="{00000000-0005-0000-0000-000077000000}"/>
    <cellStyle name="_3.1.1 TYPE-A1_U-Type3_1_U8-BOX Type" xfId="121" xr:uid="{00000000-0005-0000-0000-000078000000}"/>
    <cellStyle name="_3.1.1 TYPE-A1_U-Type3_U-Type7" xfId="122" xr:uid="{00000000-0005-0000-0000-000079000000}"/>
    <cellStyle name="_3.1.1 TYPE-A1_U-Type3_U-Type7_U8-BOX Type" xfId="123" xr:uid="{00000000-0005-0000-0000-00007A000000}"/>
    <cellStyle name="_3.1.1 TYPE-A1_U-Type3_U-Type9" xfId="124" xr:uid="{00000000-0005-0000-0000-00007B000000}"/>
    <cellStyle name="_3.1.1 TYPE-A1_U-Type3_U-Type9_1.1.13 U9-Type" xfId="125" xr:uid="{00000000-0005-0000-0000-00007C000000}"/>
    <cellStyle name="_3.1.1 TYPE-A1_U-Type3_U-Type9_U10-BOX Type" xfId="126" xr:uid="{00000000-0005-0000-0000-00007D000000}"/>
    <cellStyle name="_3.1.1 TYPE-A1_U-Type3_U-Type9_U8-BOX Type" xfId="127" xr:uid="{00000000-0005-0000-0000-00007E000000}"/>
    <cellStyle name="_3.1.1 TYPE-A1_U-Type7" xfId="128" xr:uid="{00000000-0005-0000-0000-00007F000000}"/>
    <cellStyle name="_3.1.1 TYPE-A1_U-Type7_U8-BOX Type" xfId="129" xr:uid="{00000000-0005-0000-0000-000080000000}"/>
    <cellStyle name="_3.1.1 TYPE-A1_U-Type9" xfId="130" xr:uid="{00000000-0005-0000-0000-000081000000}"/>
    <cellStyle name="_3.1.1 TYPE-A1_U-Type9_1.1.13 U9-Type" xfId="131" xr:uid="{00000000-0005-0000-0000-000082000000}"/>
    <cellStyle name="_3.1.1 TYPE-A1_U-Type9_U10-BOX Type" xfId="132" xr:uid="{00000000-0005-0000-0000-000083000000}"/>
    <cellStyle name="_3.1.1 TYPE-A1_U-Type9_U8-BOX Type" xfId="133" xr:uid="{00000000-0005-0000-0000-000084000000}"/>
    <cellStyle name="_3.1.1 TYPE-A1_지지력검토" xfId="134" xr:uid="{00000000-0005-0000-0000-000085000000}"/>
    <cellStyle name="_3.1.2 TYPE-A2" xfId="135" xr:uid="{00000000-0005-0000-0000-000086000000}"/>
    <cellStyle name="_3.1.2 TYPE-A2_1.1.2TYPE-B" xfId="136" xr:uid="{00000000-0005-0000-0000-000087000000}"/>
    <cellStyle name="_3.1.2 TYPE-A2_1.1.8U1-Type" xfId="137" xr:uid="{00000000-0005-0000-0000-000088000000}"/>
    <cellStyle name="_3.1.2 TYPE-A2_1.1.9U2-type" xfId="138" xr:uid="{00000000-0005-0000-0000-000089000000}"/>
    <cellStyle name="_3.1.2 TYPE-A2_1.1.9U2-type-1" xfId="139" xr:uid="{00000000-0005-0000-0000-00008A000000}"/>
    <cellStyle name="_3.1.2 TYPE-A2_TYPE-A(계획지반고)" xfId="140" xr:uid="{00000000-0005-0000-0000-00008B000000}"/>
    <cellStyle name="_3.1.2 TYPE-A2_U-Type1" xfId="141" xr:uid="{00000000-0005-0000-0000-00008C000000}"/>
    <cellStyle name="_3.1.2 TYPE-A2_U-Type1_U-Type3" xfId="142" xr:uid="{00000000-0005-0000-0000-00008D000000}"/>
    <cellStyle name="_3.1.2 TYPE-A2_U-Type1_U-Type3_1.1.13 U9-Type" xfId="143" xr:uid="{00000000-0005-0000-0000-00008E000000}"/>
    <cellStyle name="_3.1.2 TYPE-A2_U-Type1_U-Type3_U10-BOX Type" xfId="144" xr:uid="{00000000-0005-0000-0000-00008F000000}"/>
    <cellStyle name="_3.1.2 TYPE-A2_U-Type1_U-Type3_U8-BOX Type" xfId="145" xr:uid="{00000000-0005-0000-0000-000090000000}"/>
    <cellStyle name="_3.1.2 TYPE-A2_U-Type1_U-Type7" xfId="146" xr:uid="{00000000-0005-0000-0000-000091000000}"/>
    <cellStyle name="_3.1.2 TYPE-A2_U-Type1_U-Type7_U8-BOX Type" xfId="147" xr:uid="{00000000-0005-0000-0000-000092000000}"/>
    <cellStyle name="_3.1.2 TYPE-A2_U-Type1_U-Type9" xfId="148" xr:uid="{00000000-0005-0000-0000-000093000000}"/>
    <cellStyle name="_3.1.2 TYPE-A2_U-Type1_U-Type9_1.1.13 U9-Type" xfId="149" xr:uid="{00000000-0005-0000-0000-000094000000}"/>
    <cellStyle name="_3.1.2 TYPE-A2_U-Type1_U-Type9_U10-BOX Type" xfId="150" xr:uid="{00000000-0005-0000-0000-000095000000}"/>
    <cellStyle name="_3.1.2 TYPE-A2_U-Type1_U-Type9_U8-BOX Type" xfId="151" xr:uid="{00000000-0005-0000-0000-000096000000}"/>
    <cellStyle name="_3.1.2 TYPE-A2_U-Type1-new" xfId="152" xr:uid="{00000000-0005-0000-0000-000097000000}"/>
    <cellStyle name="_3.1.2 TYPE-A2_U-Type1-new_U-Type3" xfId="153" xr:uid="{00000000-0005-0000-0000-000098000000}"/>
    <cellStyle name="_3.1.2 TYPE-A2_U-Type1-new_U-Type3_1.1.13 U9-Type" xfId="154" xr:uid="{00000000-0005-0000-0000-000099000000}"/>
    <cellStyle name="_3.1.2 TYPE-A2_U-Type1-new_U-Type3_U10-BOX Type" xfId="155" xr:uid="{00000000-0005-0000-0000-00009A000000}"/>
    <cellStyle name="_3.1.2 TYPE-A2_U-Type1-new_U-Type3_U8-BOX Type" xfId="156" xr:uid="{00000000-0005-0000-0000-00009B000000}"/>
    <cellStyle name="_3.1.2 TYPE-A2_U-Type1-new_U-Type7" xfId="157" xr:uid="{00000000-0005-0000-0000-00009C000000}"/>
    <cellStyle name="_3.1.2 TYPE-A2_U-Type1-new_U-Type7_U8-BOX Type" xfId="158" xr:uid="{00000000-0005-0000-0000-00009D000000}"/>
    <cellStyle name="_3.1.2 TYPE-A2_U-Type1-new_U-Type9" xfId="159" xr:uid="{00000000-0005-0000-0000-00009E000000}"/>
    <cellStyle name="_3.1.2 TYPE-A2_U-Type1-new_U-Type9_1.1.13 U9-Type" xfId="160" xr:uid="{00000000-0005-0000-0000-00009F000000}"/>
    <cellStyle name="_3.1.2 TYPE-A2_U-Type1-new_U-Type9_U10-BOX Type" xfId="161" xr:uid="{00000000-0005-0000-0000-0000A0000000}"/>
    <cellStyle name="_3.1.2 TYPE-A2_U-Type1-new_U-Type9_U8-BOX Type" xfId="162" xr:uid="{00000000-0005-0000-0000-0000A1000000}"/>
    <cellStyle name="_3.1.2 TYPE-A2_U-Type2" xfId="163" xr:uid="{00000000-0005-0000-0000-0000A2000000}"/>
    <cellStyle name="_3.1.2 TYPE-A2_U-Type2_U-Type3" xfId="164" xr:uid="{00000000-0005-0000-0000-0000A3000000}"/>
    <cellStyle name="_3.1.2 TYPE-A2_U-Type2_U-Type3_1.1.13 U9-Type" xfId="165" xr:uid="{00000000-0005-0000-0000-0000A4000000}"/>
    <cellStyle name="_3.1.2 TYPE-A2_U-Type2_U-Type3_U10-BOX Type" xfId="166" xr:uid="{00000000-0005-0000-0000-0000A5000000}"/>
    <cellStyle name="_3.1.2 TYPE-A2_U-Type2_U-Type3_U8-BOX Type" xfId="167" xr:uid="{00000000-0005-0000-0000-0000A6000000}"/>
    <cellStyle name="_3.1.2 TYPE-A2_U-Type2_U-Type7" xfId="168" xr:uid="{00000000-0005-0000-0000-0000A7000000}"/>
    <cellStyle name="_3.1.2 TYPE-A2_U-Type2_U-Type7_U8-BOX Type" xfId="169" xr:uid="{00000000-0005-0000-0000-0000A8000000}"/>
    <cellStyle name="_3.1.2 TYPE-A2_U-Type2_U-Type9" xfId="170" xr:uid="{00000000-0005-0000-0000-0000A9000000}"/>
    <cellStyle name="_3.1.2 TYPE-A2_U-Type2_U-Type9_1.1.13 U9-Type" xfId="171" xr:uid="{00000000-0005-0000-0000-0000AA000000}"/>
    <cellStyle name="_3.1.2 TYPE-A2_U-Type2_U-Type9_U10-BOX Type" xfId="172" xr:uid="{00000000-0005-0000-0000-0000AB000000}"/>
    <cellStyle name="_3.1.2 TYPE-A2_U-Type2_U-Type9_U8-BOX Type" xfId="173" xr:uid="{00000000-0005-0000-0000-0000AC000000}"/>
    <cellStyle name="_3.1.2 TYPE-A2_U-Type3" xfId="174" xr:uid="{00000000-0005-0000-0000-0000AD000000}"/>
    <cellStyle name="_3.1.2 TYPE-A2_U-Type3_1" xfId="175" xr:uid="{00000000-0005-0000-0000-0000AE000000}"/>
    <cellStyle name="_3.1.2 TYPE-A2_U-Type3_1_1.1.13 U9-Type" xfId="176" xr:uid="{00000000-0005-0000-0000-0000AF000000}"/>
    <cellStyle name="_3.1.2 TYPE-A2_U-Type3_1_U10-BOX Type" xfId="177" xr:uid="{00000000-0005-0000-0000-0000B0000000}"/>
    <cellStyle name="_3.1.2 TYPE-A2_U-Type3_1_U8-BOX Type" xfId="178" xr:uid="{00000000-0005-0000-0000-0000B1000000}"/>
    <cellStyle name="_3.1.2 TYPE-A2_U-Type3_U-Type7" xfId="179" xr:uid="{00000000-0005-0000-0000-0000B2000000}"/>
    <cellStyle name="_3.1.2 TYPE-A2_U-Type3_U-Type7_U8-BOX Type" xfId="180" xr:uid="{00000000-0005-0000-0000-0000B3000000}"/>
    <cellStyle name="_3.1.2 TYPE-A2_U-Type3_U-Type9" xfId="181" xr:uid="{00000000-0005-0000-0000-0000B4000000}"/>
    <cellStyle name="_3.1.2 TYPE-A2_U-Type3_U-Type9_1.1.13 U9-Type" xfId="182" xr:uid="{00000000-0005-0000-0000-0000B5000000}"/>
    <cellStyle name="_3.1.2 TYPE-A2_U-Type3_U-Type9_U10-BOX Type" xfId="183" xr:uid="{00000000-0005-0000-0000-0000B6000000}"/>
    <cellStyle name="_3.1.2 TYPE-A2_U-Type3_U-Type9_U8-BOX Type" xfId="184" xr:uid="{00000000-0005-0000-0000-0000B7000000}"/>
    <cellStyle name="_3.1.2 TYPE-A2_U-Type7" xfId="185" xr:uid="{00000000-0005-0000-0000-0000B8000000}"/>
    <cellStyle name="_3.1.2 TYPE-A2_U-Type7_U8-BOX Type" xfId="186" xr:uid="{00000000-0005-0000-0000-0000B9000000}"/>
    <cellStyle name="_3.1.2 TYPE-A2_U-Type9" xfId="187" xr:uid="{00000000-0005-0000-0000-0000BA000000}"/>
    <cellStyle name="_3.1.2 TYPE-A2_U-Type9_1.1.13 U9-Type" xfId="188" xr:uid="{00000000-0005-0000-0000-0000BB000000}"/>
    <cellStyle name="_3.1.2 TYPE-A2_U-Type9_U10-BOX Type" xfId="189" xr:uid="{00000000-0005-0000-0000-0000BC000000}"/>
    <cellStyle name="_3.1.2 TYPE-A2_U-Type9_U8-BOX Type" xfId="190" xr:uid="{00000000-0005-0000-0000-0000BD000000}"/>
    <cellStyle name="_3.1.2 TYPE-A2_지지력검토" xfId="191" xr:uid="{00000000-0005-0000-0000-0000BE000000}"/>
    <cellStyle name="_4.소탄교-상부(PSC)수량" xfId="192" xr:uid="{00000000-0005-0000-0000-0000BF000000}"/>
    <cellStyle name="_4.소탄교-상부(PSC)수량_01-광석교-총괄수량집계표" xfId="193" xr:uid="{00000000-0005-0000-0000-0000C0000000}"/>
    <cellStyle name="_4.소탄교-상부(PSC)수량_01-정선제3교-총괄수량집계표" xfId="194" xr:uid="{00000000-0005-0000-0000-0000C1000000}"/>
    <cellStyle name="_'99상반기경영개선활동결과(게시용)" xfId="195" xr:uid="{00000000-0005-0000-0000-0000C2000000}"/>
    <cellStyle name="_beam재료표" xfId="196" xr:uid="{00000000-0005-0000-0000-0000C3000000}"/>
    <cellStyle name="_Book1" xfId="197" xr:uid="{00000000-0005-0000-0000-0000C4000000}"/>
    <cellStyle name="_BOX수량" xfId="198" xr:uid="{00000000-0005-0000-0000-0000C5000000}"/>
    <cellStyle name="_F교_교대1 수량" xfId="199" xr:uid="{00000000-0005-0000-0000-0000C6000000}"/>
    <cellStyle name="_F교_교대1 수량_88공통-A.XLS(05-1004가도분리-터널수정)" xfId="200" xr:uid="{00000000-0005-0000-0000-0000C7000000}"/>
    <cellStyle name="_F교_교대1 수량_88공통-A.XLS(05-1004가도분리-터널수정)_88공통-C-060424" xfId="201" xr:uid="{00000000-0005-0000-0000-0000C8000000}"/>
    <cellStyle name="_F교_교대1 수량_88공통-A.XLS(05-1004가도분리-터널수정)_88공통-C-060605" xfId="202" xr:uid="{00000000-0005-0000-0000-0000C9000000}"/>
    <cellStyle name="_F교_교대1 수량_88공통-A.XLS(05-1004가도분리-터널수정)_PE드럼설치현황" xfId="203" xr:uid="{00000000-0005-0000-0000-0000CA000000}"/>
    <cellStyle name="_F교_교대1 수량_88공통-B최종-터널급수추가" xfId="204" xr:uid="{00000000-0005-0000-0000-0000CB000000}"/>
    <cellStyle name="_F교_교대1 수량_88공통-B최종-터널급수추가_88공통-C-060424" xfId="205" xr:uid="{00000000-0005-0000-0000-0000CC000000}"/>
    <cellStyle name="_F교_교대1 수량_88공통-B최종-터널급수추가_88공통-C-060605" xfId="206" xr:uid="{00000000-0005-0000-0000-0000CD000000}"/>
    <cellStyle name="_F교_교대1 수량_88공통-B최종-터널급수추가_PE드럼설치현황" xfId="207" xr:uid="{00000000-0005-0000-0000-0000CE000000}"/>
    <cellStyle name="_F교_교대1 수량_B-품질관리비" xfId="208" xr:uid="{00000000-0005-0000-0000-0000CF000000}"/>
    <cellStyle name="_F교_교대1 수량_기존도로유지보수" xfId="209" xr:uid="{00000000-0005-0000-0000-0000D0000000}"/>
    <cellStyle name="_F교_교대1 수량_기존도로유지보수_침사지(8공구)" xfId="210" xr:uid="{00000000-0005-0000-0000-0000D1000000}"/>
    <cellStyle name="_F교_교대1 수량_진입도로 8공구" xfId="211" xr:uid="{00000000-0005-0000-0000-0000D2000000}"/>
    <cellStyle name="_F교_교대1 수량_춘천양양공통-A-경동" xfId="212" xr:uid="{00000000-0005-0000-0000-0000D3000000}"/>
    <cellStyle name="_g-i. 낙하물방지공" xfId="213" xr:uid="{00000000-0005-0000-0000-0000D4000000}"/>
    <cellStyle name="_sample" xfId="214" xr:uid="{00000000-0005-0000-0000-0000D5000000}"/>
    <cellStyle name="_sample_1111" xfId="215" xr:uid="{00000000-0005-0000-0000-0000D6000000}"/>
    <cellStyle name="_sample_상부수량(범물육교)" xfId="216" xr:uid="{00000000-0005-0000-0000-0000D7000000}"/>
    <cellStyle name="_sample_슬래브수량(RAMP-E)" xfId="217" xr:uid="{00000000-0005-0000-0000-0000D8000000}"/>
    <cellStyle name="_sample_슬래브수량(범물br1)" xfId="218" xr:uid="{00000000-0005-0000-0000-0000D9000000}"/>
    <cellStyle name="_sample_슬래브수량(범물방향)추가" xfId="219" xr:uid="{00000000-0005-0000-0000-0000DA000000}"/>
    <cellStyle name="_sample_슬래브수량(범물방향-br123)" xfId="220" xr:uid="{00000000-0005-0000-0000-0000DB000000}"/>
    <cellStyle name="_sample_슬래브수량(상인방향)" xfId="221" xr:uid="{00000000-0005-0000-0000-0000DC000000}"/>
    <cellStyle name="_강남(구조물공)" xfId="222" xr:uid="{00000000-0005-0000-0000-0000DD000000}"/>
    <cellStyle name="_강남(구조물공)_04-선릉(구조물공)" xfId="223" xr:uid="{00000000-0005-0000-0000-0000DE000000}"/>
    <cellStyle name="_강남(구조물공)_온직교(구조물공)-1" xfId="224" xr:uid="{00000000-0005-0000-0000-0000DF000000}"/>
    <cellStyle name="_강남(구조물공)_외부ES#8 " xfId="225" xr:uid="{00000000-0005-0000-0000-0000E0000000}"/>
    <cellStyle name="_강남(구조물공)_용두교(구조물공)" xfId="226" xr:uid="{00000000-0005-0000-0000-0000E1000000}"/>
    <cellStyle name="_게다블럭" xfId="227" xr:uid="{00000000-0005-0000-0000-0000E2000000}"/>
    <cellStyle name="_경영개선활동상반기실적(990708)" xfId="228" xr:uid="{00000000-0005-0000-0000-0000E3000000}"/>
    <cellStyle name="_경영개선활동상반기실적(990708)_1" xfId="229" xr:uid="{00000000-0005-0000-0000-0000E4000000}"/>
    <cellStyle name="_경영개선활동상반기실적(990708)_2" xfId="230" xr:uid="{00000000-0005-0000-0000-0000E5000000}"/>
    <cellStyle name="_경영개선활성화방안(990802)" xfId="231" xr:uid="{00000000-0005-0000-0000-0000E6000000}"/>
    <cellStyle name="_경영개선활성화방안(990802)_1" xfId="232" xr:uid="{00000000-0005-0000-0000-0000E7000000}"/>
    <cellStyle name="_공통공사이기수량" xfId="233" xr:uid="{00000000-0005-0000-0000-0000E8000000}"/>
    <cellStyle name="_교대토공" xfId="234" xr:uid="{00000000-0005-0000-0000-0000E9000000}"/>
    <cellStyle name="_교대토공_1.여주JCT6교" xfId="235" xr:uid="{00000000-0005-0000-0000-0000EA000000}"/>
    <cellStyle name="_교대토공_2.여주jc7교" xfId="236" xr:uid="{00000000-0005-0000-0000-0000EB000000}"/>
    <cellStyle name="_교대토공수량" xfId="237" xr:uid="{00000000-0005-0000-0000-0000EC000000}"/>
    <cellStyle name="_교대토공수량_1.여주JCT6교" xfId="238" xr:uid="{00000000-0005-0000-0000-0000ED000000}"/>
    <cellStyle name="_교대토공수량_2.여주jc7교" xfId="239" xr:uid="{00000000-0005-0000-0000-0000EE000000}"/>
    <cellStyle name="_교량별공통공사집계표최종" xfId="240" xr:uid="{00000000-0005-0000-0000-0000EF000000}"/>
    <cellStyle name="_교량별총괄집계(신리5교)" xfId="241" xr:uid="{00000000-0005-0000-0000-0000F0000000}"/>
    <cellStyle name="_교량별총괄집계(신리5교)_01-광석교-총괄수량집계표" xfId="242" xr:uid="{00000000-0005-0000-0000-0000F1000000}"/>
    <cellStyle name="_교량별총괄집계(신리5교)_01-정선제3교-총괄수량집계표" xfId="243" xr:uid="{00000000-0005-0000-0000-0000F2000000}"/>
    <cellStyle name="_교량총괄집계표" xfId="244" xr:uid="{00000000-0005-0000-0000-0000F3000000}"/>
    <cellStyle name="_구조물구조변수16공구" xfId="245" xr:uid="{00000000-0005-0000-0000-0000F4000000}"/>
    <cellStyle name="_구조물깨기(1)" xfId="246" xr:uid="{00000000-0005-0000-0000-0000F5000000}"/>
    <cellStyle name="_국수교수량" xfId="247" xr:uid="{00000000-0005-0000-0000-0000F6000000}"/>
    <cellStyle name="_국수교수량_05-우수맨홀" xfId="248" xr:uid="{00000000-0005-0000-0000-0000F7000000}"/>
    <cellStyle name="_국수교수량_06-우수받이" xfId="249" xr:uid="{00000000-0005-0000-0000-0000F8000000}"/>
    <cellStyle name="_국수교수량_1111" xfId="250" xr:uid="{00000000-0005-0000-0000-0000F9000000}"/>
    <cellStyle name="_국수교수량_내역서(10.5MX92M)" xfId="251" xr:uid="{00000000-0005-0000-0000-0000FA000000}"/>
    <cellStyle name="_국수교수량_내역서(10.5MX92M)-T4천공" xfId="252" xr:uid="{00000000-0005-0000-0000-0000FB000000}"/>
    <cellStyle name="_국수교수량_내역서(6MX21M)" xfId="253" xr:uid="{00000000-0005-0000-0000-0000FC000000}"/>
    <cellStyle name="_국수교수량_내역서(최종)" xfId="254" xr:uid="{00000000-0005-0000-0000-0000FD000000}"/>
    <cellStyle name="_국수교수량_내역서(최종)-수정중" xfId="255" xr:uid="{00000000-0005-0000-0000-0000FE000000}"/>
    <cellStyle name="_국수교수량_상부수량(범물육교)" xfId="256" xr:uid="{00000000-0005-0000-0000-0000FF000000}"/>
    <cellStyle name="_국수교수량_성덕2교수량" xfId="257" xr:uid="{00000000-0005-0000-0000-000000010000}"/>
    <cellStyle name="_국수교수량_성덕2교수량_조포교수량(0531)" xfId="258" xr:uid="{00000000-0005-0000-0000-000001010000}"/>
    <cellStyle name="_국수교수량_성덕2교수량_조포교수량(0531)_덕곡교수량" xfId="259" xr:uid="{00000000-0005-0000-0000-000002010000}"/>
    <cellStyle name="_국수교수량_슬래브수량(RAMP-E)" xfId="260" xr:uid="{00000000-0005-0000-0000-000003010000}"/>
    <cellStyle name="_국수교수량_슬래브수량(범물br1)" xfId="261" xr:uid="{00000000-0005-0000-0000-000004010000}"/>
    <cellStyle name="_국수교수량_슬래브수량(범물방향)추가" xfId="262" xr:uid="{00000000-0005-0000-0000-000005010000}"/>
    <cellStyle name="_국수교수량_슬래브수량(범물방향-br123)" xfId="263" xr:uid="{00000000-0005-0000-0000-000006010000}"/>
    <cellStyle name="_국수교수량_슬래브수량(상인방향)" xfId="264" xr:uid="{00000000-0005-0000-0000-000007010000}"/>
    <cellStyle name="_국수교수량_암거" xfId="265" xr:uid="{00000000-0005-0000-0000-000008010000}"/>
    <cellStyle name="_국수교수량_암거_내역서(10.5MX92M)" xfId="266" xr:uid="{00000000-0005-0000-0000-000009010000}"/>
    <cellStyle name="_국수교수량_암거_내역서(10.5MX92M)-T4천공" xfId="267" xr:uid="{00000000-0005-0000-0000-00000A010000}"/>
    <cellStyle name="_국수교수량_암거_내역서(6MX21M)" xfId="268" xr:uid="{00000000-0005-0000-0000-00000B010000}"/>
    <cellStyle name="_국수교수량_암거_내역서(최종)" xfId="269" xr:uid="{00000000-0005-0000-0000-00000C010000}"/>
    <cellStyle name="_국수교수량_암거_내역서(최종)-수정중" xfId="270" xr:uid="{00000000-0005-0000-0000-00000D010000}"/>
    <cellStyle name="_국수교수량_암거01" xfId="271" xr:uid="{00000000-0005-0000-0000-00000E010000}"/>
    <cellStyle name="_국수교수량_암거01_내역서(10.5MX92M)" xfId="272" xr:uid="{00000000-0005-0000-0000-00000F010000}"/>
    <cellStyle name="_국수교수량_암거01_내역서(10.5MX92M)-T4천공" xfId="273" xr:uid="{00000000-0005-0000-0000-000010010000}"/>
    <cellStyle name="_국수교수량_암거01_내역서(6MX21M)" xfId="274" xr:uid="{00000000-0005-0000-0000-000011010000}"/>
    <cellStyle name="_국수교수량_암거01_내역서(최종)" xfId="275" xr:uid="{00000000-0005-0000-0000-000012010000}"/>
    <cellStyle name="_국수교수량_암거01_내역서(최종)-수정중" xfId="276" xr:uid="{00000000-0005-0000-0000-000013010000}"/>
    <cellStyle name="_국수교수량_조포교수량(0531)" xfId="277" xr:uid="{00000000-0005-0000-0000-000014010000}"/>
    <cellStyle name="_국수교수량_조포교수량(0531)_덕곡교수량" xfId="278" xr:uid="{00000000-0005-0000-0000-000015010000}"/>
    <cellStyle name="_국수교수량_평촌교수량" xfId="279" xr:uid="{00000000-0005-0000-0000-000016010000}"/>
    <cellStyle name="_국수교수량_평촌교수량_내역서(10.5MX92M)" xfId="280" xr:uid="{00000000-0005-0000-0000-000017010000}"/>
    <cellStyle name="_국수교수량_평촌교수량_내역서(10.5MX92M)-T4천공" xfId="281" xr:uid="{00000000-0005-0000-0000-000018010000}"/>
    <cellStyle name="_국수교수량_평촌교수량_내역서(6MX21M)" xfId="282" xr:uid="{00000000-0005-0000-0000-000019010000}"/>
    <cellStyle name="_국수교수량_평촌교수량_내역서(최종)" xfId="283" xr:uid="{00000000-0005-0000-0000-00001A010000}"/>
    <cellStyle name="_국수교수량_평촌교수량_내역서(최종)-수정중" xfId="284" xr:uid="{00000000-0005-0000-0000-00001B010000}"/>
    <cellStyle name="_국수교수량_평촌교수량_암거" xfId="285" xr:uid="{00000000-0005-0000-0000-00001C010000}"/>
    <cellStyle name="_국수교수량_평촌교수량_암거_내역서(10.5MX92M)" xfId="286" xr:uid="{00000000-0005-0000-0000-00001D010000}"/>
    <cellStyle name="_국수교수량_평촌교수량_암거_내역서(10.5MX92M)-T4천공" xfId="287" xr:uid="{00000000-0005-0000-0000-00001E010000}"/>
    <cellStyle name="_국수교수량_평촌교수량_암거_내역서(6MX21M)" xfId="288" xr:uid="{00000000-0005-0000-0000-00001F010000}"/>
    <cellStyle name="_국수교수량_평촌교수량_암거_내역서(최종)" xfId="289" xr:uid="{00000000-0005-0000-0000-000020010000}"/>
    <cellStyle name="_국수교수량_평촌교수량_암거_내역서(최종)-수정중" xfId="290" xr:uid="{00000000-0005-0000-0000-000021010000}"/>
    <cellStyle name="_국수교수량_평촌교수량_암거01" xfId="291" xr:uid="{00000000-0005-0000-0000-000022010000}"/>
    <cellStyle name="_국수교수량_평촌교수량_암거01_내역서(10.5MX92M)" xfId="292" xr:uid="{00000000-0005-0000-0000-000023010000}"/>
    <cellStyle name="_국수교수량_평촌교수량_암거01_내역서(10.5MX92M)-T4천공" xfId="293" xr:uid="{00000000-0005-0000-0000-000024010000}"/>
    <cellStyle name="_국수교수량_평촌교수량_암거01_내역서(6MX21M)" xfId="294" xr:uid="{00000000-0005-0000-0000-000025010000}"/>
    <cellStyle name="_국수교수량_평촌교수량_암거01_내역서(최종)" xfId="295" xr:uid="{00000000-0005-0000-0000-000026010000}"/>
    <cellStyle name="_국수교수량_평촌교수량_암거01_내역서(최종)-수정중" xfId="296" xr:uid="{00000000-0005-0000-0000-000027010000}"/>
    <cellStyle name="_기존초당2교" xfId="297" xr:uid="{00000000-0005-0000-0000-000028010000}"/>
    <cellStyle name="_남악2교" xfId="298" xr:uid="{00000000-0005-0000-0000-000029010000}"/>
    <cellStyle name="_남악2교_88공통-A.XLS(05-1004가도분리-터널수정)" xfId="299" xr:uid="{00000000-0005-0000-0000-00002A010000}"/>
    <cellStyle name="_남악2교_88공통-A.XLS(05-1004가도분리-터널수정)_88공통-C-060424" xfId="300" xr:uid="{00000000-0005-0000-0000-00002B010000}"/>
    <cellStyle name="_남악2교_88공통-A.XLS(05-1004가도분리-터널수정)_88공통-C-060605" xfId="301" xr:uid="{00000000-0005-0000-0000-00002C010000}"/>
    <cellStyle name="_남악2교_88공통-A.XLS(05-1004가도분리-터널수정)_PE드럼설치현황" xfId="302" xr:uid="{00000000-0005-0000-0000-00002D010000}"/>
    <cellStyle name="_남악2교_88공통-B최종-터널급수추가" xfId="303" xr:uid="{00000000-0005-0000-0000-00002E010000}"/>
    <cellStyle name="_남악2교_88공통-B최종-터널급수추가_88공통-C-060424" xfId="304" xr:uid="{00000000-0005-0000-0000-00002F010000}"/>
    <cellStyle name="_남악2교_88공통-B최종-터널급수추가_88공통-C-060605" xfId="305" xr:uid="{00000000-0005-0000-0000-000030010000}"/>
    <cellStyle name="_남악2교_88공통-B최종-터널급수추가_PE드럼설치현황" xfId="306" xr:uid="{00000000-0005-0000-0000-000031010000}"/>
    <cellStyle name="_남악2교_B-품질관리비" xfId="307" xr:uid="{00000000-0005-0000-0000-000032010000}"/>
    <cellStyle name="_남악2교_기존도로유지보수" xfId="308" xr:uid="{00000000-0005-0000-0000-000033010000}"/>
    <cellStyle name="_남악2교_기존도로유지보수_침사지(8공구)" xfId="309" xr:uid="{00000000-0005-0000-0000-000034010000}"/>
    <cellStyle name="_남악2교_진입도로 8공구" xfId="310" xr:uid="{00000000-0005-0000-0000-000035010000}"/>
    <cellStyle name="_남악2교_춘천양양공통-A-경동" xfId="311" xr:uid="{00000000-0005-0000-0000-000036010000}"/>
    <cellStyle name="_대국교일반수량" xfId="312" xr:uid="{00000000-0005-0000-0000-000037010000}"/>
    <cellStyle name="_덕거4(일반수량)" xfId="313" xr:uid="{00000000-0005-0000-0000-000038010000}"/>
    <cellStyle name="_덕례교교량공총괄" xfId="314" xr:uid="{00000000-0005-0000-0000-000039010000}"/>
    <cellStyle name="_라멘" xfId="315" xr:uid="{00000000-0005-0000-0000-00003A010000}"/>
    <cellStyle name="_램프a상부" xfId="316" xr:uid="{00000000-0005-0000-0000-00003B010000}"/>
    <cellStyle name="_램프a상부_번암육교-상부수량" xfId="317" xr:uid="{00000000-0005-0000-0000-00003C010000}"/>
    <cellStyle name="_램프a상부_영암IC1교상부" xfId="318" xr:uid="{00000000-0005-0000-0000-00003D010000}"/>
    <cellStyle name="_미곡육교_상부" xfId="319" xr:uid="{00000000-0005-0000-0000-00003E010000}"/>
    <cellStyle name="_미곡육교_상부_88공통-A.XLS(05-1004가도분리-터널수정)" xfId="320" xr:uid="{00000000-0005-0000-0000-00003F010000}"/>
    <cellStyle name="_미곡육교_상부_88공통-A.XLS(05-1004가도분리-터널수정)_88공통-C-060424" xfId="321" xr:uid="{00000000-0005-0000-0000-000040010000}"/>
    <cellStyle name="_미곡육교_상부_88공통-A.XLS(05-1004가도분리-터널수정)_88공통-C-060605" xfId="322" xr:uid="{00000000-0005-0000-0000-000041010000}"/>
    <cellStyle name="_미곡육교_상부_88공통-A.XLS(05-1004가도분리-터널수정)_PE드럼설치현황" xfId="323" xr:uid="{00000000-0005-0000-0000-000042010000}"/>
    <cellStyle name="_미곡육교_상부_88공통-B최종-터널급수추가" xfId="324" xr:uid="{00000000-0005-0000-0000-000043010000}"/>
    <cellStyle name="_미곡육교_상부_88공통-B최종-터널급수추가_88공통-C-060424" xfId="325" xr:uid="{00000000-0005-0000-0000-000044010000}"/>
    <cellStyle name="_미곡육교_상부_88공통-B최종-터널급수추가_88공통-C-060605" xfId="326" xr:uid="{00000000-0005-0000-0000-000045010000}"/>
    <cellStyle name="_미곡육교_상부_88공통-B최종-터널급수추가_PE드럼설치현황" xfId="327" xr:uid="{00000000-0005-0000-0000-000046010000}"/>
    <cellStyle name="_미곡육교_상부_B-품질관리비" xfId="328" xr:uid="{00000000-0005-0000-0000-000047010000}"/>
    <cellStyle name="_미곡육교_상부_기존도로유지보수" xfId="329" xr:uid="{00000000-0005-0000-0000-000048010000}"/>
    <cellStyle name="_미곡육교_상부_기존도로유지보수_침사지(8공구)" xfId="330" xr:uid="{00000000-0005-0000-0000-000049010000}"/>
    <cellStyle name="_미곡육교_상부_진입도로 8공구" xfId="331" xr:uid="{00000000-0005-0000-0000-00004A010000}"/>
    <cellStyle name="_미곡육교_상부_춘천양양공통-A-경동" xfId="332" xr:uid="{00000000-0005-0000-0000-00004B010000}"/>
    <cellStyle name="_방호벽" xfId="333" xr:uid="{00000000-0005-0000-0000-00004C010000}"/>
    <cellStyle name="_배수BOX일반" xfId="334" xr:uid="{00000000-0005-0000-0000-00004D010000}"/>
    <cellStyle name="_별첨(계획서및실적서양식)" xfId="335" xr:uid="{00000000-0005-0000-0000-00004E010000}"/>
    <cellStyle name="_별첨(계획서및실적서양식)_1" xfId="336" xr:uid="{00000000-0005-0000-0000-00004F010000}"/>
    <cellStyle name="_복성교교량공총괄" xfId="337" xr:uid="{00000000-0005-0000-0000-000050010000}"/>
    <cellStyle name="_복죽1교옹벽토공" xfId="338" xr:uid="{00000000-0005-0000-0000-000051010000}"/>
    <cellStyle name="_복죽1교토공" xfId="339" xr:uid="{00000000-0005-0000-0000-000052010000}"/>
    <cellStyle name="_봉강1교" xfId="340" xr:uid="{00000000-0005-0000-0000-000053010000}"/>
    <cellStyle name="_산출근거(광양)" xfId="341" xr:uid="{00000000-0005-0000-0000-000054010000}"/>
    <cellStyle name="_산출근거(광양)_01-광석교-총괄수량집계표" xfId="342" xr:uid="{00000000-0005-0000-0000-000055010000}"/>
    <cellStyle name="_산출근거(광양)_01-정선제3교-총괄수량집계표" xfId="343" xr:uid="{00000000-0005-0000-0000-000056010000}"/>
    <cellStyle name="_산출근거(광양)_1.광하1교-주요자재집계표" xfId="344" xr:uid="{00000000-0005-0000-0000-000057010000}"/>
    <cellStyle name="_산출근거(광양)_1.광하1교-주요자재집계표_01-광석교-총괄수량집계표" xfId="345" xr:uid="{00000000-0005-0000-0000-000058010000}"/>
    <cellStyle name="_산출근거(광양)_1.광하1교-주요자재집계표_01-정선제3교-총괄수량집계표" xfId="346" xr:uid="{00000000-0005-0000-0000-000059010000}"/>
    <cellStyle name="_산출근거(광양)_4.광석교-상부수량집계" xfId="347" xr:uid="{00000000-0005-0000-0000-00005A010000}"/>
    <cellStyle name="_산출근거(광양)_4.광석교-상부수량집계_01-광석교-총괄수량집계표" xfId="348" xr:uid="{00000000-0005-0000-0000-00005B010000}"/>
    <cellStyle name="_산출근거(광양)_4.광석교-상부수량집계_01-정선제3교-총괄수량집계표" xfId="349" xr:uid="{00000000-0005-0000-0000-00005C010000}"/>
    <cellStyle name="_산출근거(광양)_x주요자재집계표" xfId="350" xr:uid="{00000000-0005-0000-0000-00005D010000}"/>
    <cellStyle name="_산출근거(광양)_x주요자재집계표_01-광석교-총괄수량집계표" xfId="351" xr:uid="{00000000-0005-0000-0000-00005E010000}"/>
    <cellStyle name="_산출근거(광양)_x주요자재집계표_01-정선제3교-총괄수량집계표" xfId="352" xr:uid="{00000000-0005-0000-0000-00005F010000}"/>
    <cellStyle name="_산출근거(광양)_교량별총괄집계(신리5교)" xfId="353" xr:uid="{00000000-0005-0000-0000-000060010000}"/>
    <cellStyle name="_산출근거(광양)_교량별총괄집계(신리5교)_01-광석교-총괄수량집계표" xfId="354" xr:uid="{00000000-0005-0000-0000-000061010000}"/>
    <cellStyle name="_산출근거(광양)_교량별총괄집계(신리5교)_01-정선제3교-총괄수량집계표" xfId="355" xr:uid="{00000000-0005-0000-0000-000062010000}"/>
    <cellStyle name="_산출근거(광양)_구조물주요자재(3공구)" xfId="356" xr:uid="{00000000-0005-0000-0000-000063010000}"/>
    <cellStyle name="_산출근거(광양)_구조물주요자재(3공구)_01-광석교-총괄수량집계표" xfId="357" xr:uid="{00000000-0005-0000-0000-000064010000}"/>
    <cellStyle name="_산출근거(광양)_구조물주요자재(3공구)_01-정선제3교-총괄수량집계표" xfId="358" xr:uid="{00000000-0005-0000-0000-000065010000}"/>
    <cellStyle name="_산출근거(광양)_구조물주요자재(3공구)_1.광하1교-주요자재집계표" xfId="359" xr:uid="{00000000-0005-0000-0000-000066010000}"/>
    <cellStyle name="_산출근거(광양)_구조물주요자재(3공구)_1.광하1교-주요자재집계표_01-광석교-총괄수량집계표" xfId="360" xr:uid="{00000000-0005-0000-0000-000067010000}"/>
    <cellStyle name="_산출근거(광양)_구조물주요자재(3공구)_1.광하1교-주요자재집계표_01-정선제3교-총괄수량집계표" xfId="361" xr:uid="{00000000-0005-0000-0000-000068010000}"/>
    <cellStyle name="_산출근거(광양)_구조물주요자재(3공구)_4.광석교-상부수량집계" xfId="362" xr:uid="{00000000-0005-0000-0000-000069010000}"/>
    <cellStyle name="_산출근거(광양)_구조물주요자재(3공구)_4.광석교-상부수량집계_01-광석교-총괄수량집계표" xfId="363" xr:uid="{00000000-0005-0000-0000-00006A010000}"/>
    <cellStyle name="_산출근거(광양)_구조물주요자재(3공구)_4.광석교-상부수량집계_01-정선제3교-총괄수량집계표" xfId="364" xr:uid="{00000000-0005-0000-0000-00006B010000}"/>
    <cellStyle name="_산출근거(광양)_구조물주요자재(3공구)_x주요자재집계표" xfId="365" xr:uid="{00000000-0005-0000-0000-00006C010000}"/>
    <cellStyle name="_산출근거(광양)_구조물주요자재(3공구)_x주요자재집계표_01-광석교-총괄수량집계표" xfId="366" xr:uid="{00000000-0005-0000-0000-00006D010000}"/>
    <cellStyle name="_산출근거(광양)_구조물주요자재(3공구)_x주요자재집계표_01-정선제3교-총괄수량집계표" xfId="367" xr:uid="{00000000-0005-0000-0000-00006E010000}"/>
    <cellStyle name="_산출근거(광양)_구조물주요자재(3공구)_주요자재집계표" xfId="368" xr:uid="{00000000-0005-0000-0000-00006F010000}"/>
    <cellStyle name="_산출근거(광양)_구조물주요자재(3공구)_주요자재집계표_01-광석교-총괄수량집계표" xfId="369" xr:uid="{00000000-0005-0000-0000-000070010000}"/>
    <cellStyle name="_산출근거(광양)_구조물주요자재(3공구)_주요자재집계표_01-정선제3교-총괄수량집계표" xfId="370" xr:uid="{00000000-0005-0000-0000-000071010000}"/>
    <cellStyle name="_산출근거(광양)_신리5교 상부" xfId="371" xr:uid="{00000000-0005-0000-0000-000072010000}"/>
    <cellStyle name="_산출근거(광양)_신리5교 상부_01-광석교-총괄수량집계표" xfId="372" xr:uid="{00000000-0005-0000-0000-000073010000}"/>
    <cellStyle name="_산출근거(광양)_신리5교 상부_01-정선제3교-총괄수량집계표" xfId="373" xr:uid="{00000000-0005-0000-0000-000074010000}"/>
    <cellStyle name="_산출근거(광양)_신리6교 상부" xfId="374" xr:uid="{00000000-0005-0000-0000-000075010000}"/>
    <cellStyle name="_산출근거(광양)_신리6교 상부_01-광석교-총괄수량집계표" xfId="375" xr:uid="{00000000-0005-0000-0000-000076010000}"/>
    <cellStyle name="_산출근거(광양)_신리6교 상부_01-정선제3교-총괄수량집계표" xfId="376" xr:uid="{00000000-0005-0000-0000-000077010000}"/>
    <cellStyle name="_산출근거(광양)_주요자재집계표" xfId="377" xr:uid="{00000000-0005-0000-0000-000078010000}"/>
    <cellStyle name="_산출근거(광양)_주요자재집계표_01-광석교-총괄수량집계표" xfId="378" xr:uid="{00000000-0005-0000-0000-000079010000}"/>
    <cellStyle name="_산출근거(광양)_주요자재집계표_01-정선제3교-총괄수량집계표" xfId="379" xr:uid="{00000000-0005-0000-0000-00007A010000}"/>
    <cellStyle name="_산출근거(광양)_죽림1교-상부" xfId="380" xr:uid="{00000000-0005-0000-0000-00007B010000}"/>
    <cellStyle name="_산출근거(광양)_죽림1교-상부_01-광석교-총괄수량집계표" xfId="381" xr:uid="{00000000-0005-0000-0000-00007C010000}"/>
    <cellStyle name="_산출근거(광양)_죽림1교-상부_01-정선제3교-총괄수량집계표" xfId="382" xr:uid="{00000000-0005-0000-0000-00007D010000}"/>
    <cellStyle name="_산출근거(광양)_죽림1교-상부_1.광하1교-주요자재집계표" xfId="383" xr:uid="{00000000-0005-0000-0000-00007E010000}"/>
    <cellStyle name="_산출근거(광양)_죽림1교-상부_1.광하1교-주요자재집계표_01-광석교-총괄수량집계표" xfId="384" xr:uid="{00000000-0005-0000-0000-00007F010000}"/>
    <cellStyle name="_산출근거(광양)_죽림1교-상부_1.광하1교-주요자재집계표_01-정선제3교-총괄수량집계표" xfId="385" xr:uid="{00000000-0005-0000-0000-000080010000}"/>
    <cellStyle name="_산출근거(광양)_죽림1교-상부_4.광석교-상부수량집계" xfId="386" xr:uid="{00000000-0005-0000-0000-000081010000}"/>
    <cellStyle name="_산출근거(광양)_죽림1교-상부_4.광석교-상부수량집계_01-광석교-총괄수량집계표" xfId="387" xr:uid="{00000000-0005-0000-0000-000082010000}"/>
    <cellStyle name="_산출근거(광양)_죽림1교-상부_4.광석교-상부수량집계_01-정선제3교-총괄수량집계표" xfId="388" xr:uid="{00000000-0005-0000-0000-000083010000}"/>
    <cellStyle name="_산출근거(광양)_죽림1교-상부_x주요자재집계표" xfId="389" xr:uid="{00000000-0005-0000-0000-000084010000}"/>
    <cellStyle name="_산출근거(광양)_죽림1교-상부_x주요자재집계표_01-광석교-총괄수량집계표" xfId="390" xr:uid="{00000000-0005-0000-0000-000085010000}"/>
    <cellStyle name="_산출근거(광양)_죽림1교-상부_x주요자재집계표_01-정선제3교-총괄수량집계표" xfId="391" xr:uid="{00000000-0005-0000-0000-000086010000}"/>
    <cellStyle name="_산출근거(광양)_죽림1교-상부_구조물주요자재(3공구)" xfId="392" xr:uid="{00000000-0005-0000-0000-000087010000}"/>
    <cellStyle name="_산출근거(광양)_죽림1교-상부_구조물주요자재(3공구)_01-광석교-총괄수량집계표" xfId="393" xr:uid="{00000000-0005-0000-0000-000088010000}"/>
    <cellStyle name="_산출근거(광양)_죽림1교-상부_구조물주요자재(3공구)_01-정선제3교-총괄수량집계표" xfId="394" xr:uid="{00000000-0005-0000-0000-000089010000}"/>
    <cellStyle name="_산출근거(광양)_죽림1교-상부_구조물주요자재(3공구)_1.광하1교-주요자재집계표" xfId="395" xr:uid="{00000000-0005-0000-0000-00008A010000}"/>
    <cellStyle name="_산출근거(광양)_죽림1교-상부_구조물주요자재(3공구)_1.광하1교-주요자재집계표_01-광석교-총괄수량집계표" xfId="396" xr:uid="{00000000-0005-0000-0000-00008B010000}"/>
    <cellStyle name="_산출근거(광양)_죽림1교-상부_구조물주요자재(3공구)_1.광하1교-주요자재집계표_01-정선제3교-총괄수량집계표" xfId="397" xr:uid="{00000000-0005-0000-0000-00008C010000}"/>
    <cellStyle name="_산출근거(광양)_죽림1교-상부_구조물주요자재(3공구)_4.광석교-상부수량집계" xfId="398" xr:uid="{00000000-0005-0000-0000-00008D010000}"/>
    <cellStyle name="_산출근거(광양)_죽림1교-상부_구조물주요자재(3공구)_4.광석교-상부수량집계_01-광석교-총괄수량집계표" xfId="399" xr:uid="{00000000-0005-0000-0000-00008E010000}"/>
    <cellStyle name="_산출근거(광양)_죽림1교-상부_구조물주요자재(3공구)_4.광석교-상부수량집계_01-정선제3교-총괄수량집계표" xfId="400" xr:uid="{00000000-0005-0000-0000-00008F010000}"/>
    <cellStyle name="_산출근거(광양)_죽림1교-상부_구조물주요자재(3공구)_x주요자재집계표" xfId="401" xr:uid="{00000000-0005-0000-0000-000090010000}"/>
    <cellStyle name="_산출근거(광양)_죽림1교-상부_구조물주요자재(3공구)_x주요자재집계표_01-광석교-총괄수량집계표" xfId="402" xr:uid="{00000000-0005-0000-0000-000091010000}"/>
    <cellStyle name="_산출근거(광양)_죽림1교-상부_구조물주요자재(3공구)_x주요자재집계표_01-정선제3교-총괄수량집계표" xfId="403" xr:uid="{00000000-0005-0000-0000-000092010000}"/>
    <cellStyle name="_산출근거(광양)_죽림1교-상부_구조물주요자재(3공구)_주요자재집계표" xfId="404" xr:uid="{00000000-0005-0000-0000-000093010000}"/>
    <cellStyle name="_산출근거(광양)_죽림1교-상부_구조물주요자재(3공구)_주요자재집계표_01-광석교-총괄수량집계표" xfId="405" xr:uid="{00000000-0005-0000-0000-000094010000}"/>
    <cellStyle name="_산출근거(광양)_죽림1교-상부_구조물주요자재(3공구)_주요자재집계표_01-정선제3교-총괄수량집계표" xfId="406" xr:uid="{00000000-0005-0000-0000-000095010000}"/>
    <cellStyle name="_산출근거(광양)_죽림1교-상부_주요자재집계표" xfId="407" xr:uid="{00000000-0005-0000-0000-000096010000}"/>
    <cellStyle name="_산출근거(광양)_죽림1교-상부_주요자재집계표_01-광석교-총괄수량집계표" xfId="408" xr:uid="{00000000-0005-0000-0000-000097010000}"/>
    <cellStyle name="_산출근거(광양)_죽림1교-상부_주요자재집계표_01-정선제3교-총괄수량집계표" xfId="409" xr:uid="{00000000-0005-0000-0000-000098010000}"/>
    <cellStyle name="_산출근거(광양)_죽림2교-상부" xfId="410" xr:uid="{00000000-0005-0000-0000-000099010000}"/>
    <cellStyle name="_산출근거(광양)_죽림2교-상부_01-광석교-총괄수량집계표" xfId="411" xr:uid="{00000000-0005-0000-0000-00009A010000}"/>
    <cellStyle name="_산출근거(광양)_죽림2교-상부_01-정선제3교-총괄수량집계표" xfId="412" xr:uid="{00000000-0005-0000-0000-00009B010000}"/>
    <cellStyle name="_산출근거(광양)_죽림2교-상부_1.광하1교-주요자재집계표" xfId="413" xr:uid="{00000000-0005-0000-0000-00009C010000}"/>
    <cellStyle name="_산출근거(광양)_죽림2교-상부_1.광하1교-주요자재집계표_01-광석교-총괄수량집계표" xfId="414" xr:uid="{00000000-0005-0000-0000-00009D010000}"/>
    <cellStyle name="_산출근거(광양)_죽림2교-상부_1.광하1교-주요자재집계표_01-정선제3교-총괄수량집계표" xfId="415" xr:uid="{00000000-0005-0000-0000-00009E010000}"/>
    <cellStyle name="_산출근거(광양)_죽림2교-상부_4.광석교-상부수량집계" xfId="416" xr:uid="{00000000-0005-0000-0000-00009F010000}"/>
    <cellStyle name="_산출근거(광양)_죽림2교-상부_4.광석교-상부수량집계_01-광석교-총괄수량집계표" xfId="417" xr:uid="{00000000-0005-0000-0000-0000A0010000}"/>
    <cellStyle name="_산출근거(광양)_죽림2교-상부_4.광석교-상부수량집계_01-정선제3교-총괄수량집계표" xfId="418" xr:uid="{00000000-0005-0000-0000-0000A1010000}"/>
    <cellStyle name="_산출근거(광양)_죽림2교-상부_x주요자재집계표" xfId="419" xr:uid="{00000000-0005-0000-0000-0000A2010000}"/>
    <cellStyle name="_산출근거(광양)_죽림2교-상부_x주요자재집계표_01-광석교-총괄수량집계표" xfId="420" xr:uid="{00000000-0005-0000-0000-0000A3010000}"/>
    <cellStyle name="_산출근거(광양)_죽림2교-상부_x주요자재집계표_01-정선제3교-총괄수량집계표" xfId="421" xr:uid="{00000000-0005-0000-0000-0000A4010000}"/>
    <cellStyle name="_산출근거(광양)_죽림2교-상부_구조물주요자재(3공구)" xfId="422" xr:uid="{00000000-0005-0000-0000-0000A5010000}"/>
    <cellStyle name="_산출근거(광양)_죽림2교-상부_구조물주요자재(3공구)_01-광석교-총괄수량집계표" xfId="423" xr:uid="{00000000-0005-0000-0000-0000A6010000}"/>
    <cellStyle name="_산출근거(광양)_죽림2교-상부_구조물주요자재(3공구)_01-정선제3교-총괄수량집계표" xfId="424" xr:uid="{00000000-0005-0000-0000-0000A7010000}"/>
    <cellStyle name="_산출근거(광양)_죽림2교-상부_구조물주요자재(3공구)_1.광하1교-주요자재집계표" xfId="425" xr:uid="{00000000-0005-0000-0000-0000A8010000}"/>
    <cellStyle name="_산출근거(광양)_죽림2교-상부_구조물주요자재(3공구)_1.광하1교-주요자재집계표_01-광석교-총괄수량집계표" xfId="426" xr:uid="{00000000-0005-0000-0000-0000A9010000}"/>
    <cellStyle name="_산출근거(광양)_죽림2교-상부_구조물주요자재(3공구)_1.광하1교-주요자재집계표_01-정선제3교-총괄수량집계표" xfId="427" xr:uid="{00000000-0005-0000-0000-0000AA010000}"/>
    <cellStyle name="_산출근거(광양)_죽림2교-상부_구조물주요자재(3공구)_4.광석교-상부수량집계" xfId="428" xr:uid="{00000000-0005-0000-0000-0000AB010000}"/>
    <cellStyle name="_산출근거(광양)_죽림2교-상부_구조물주요자재(3공구)_4.광석교-상부수량집계_01-광석교-총괄수량집계표" xfId="429" xr:uid="{00000000-0005-0000-0000-0000AC010000}"/>
    <cellStyle name="_산출근거(광양)_죽림2교-상부_구조물주요자재(3공구)_4.광석교-상부수량집계_01-정선제3교-총괄수량집계표" xfId="430" xr:uid="{00000000-0005-0000-0000-0000AD010000}"/>
    <cellStyle name="_산출근거(광양)_죽림2교-상부_구조물주요자재(3공구)_x주요자재집계표" xfId="431" xr:uid="{00000000-0005-0000-0000-0000AE010000}"/>
    <cellStyle name="_산출근거(광양)_죽림2교-상부_구조물주요자재(3공구)_x주요자재집계표_01-광석교-총괄수량집계표" xfId="432" xr:uid="{00000000-0005-0000-0000-0000AF010000}"/>
    <cellStyle name="_산출근거(광양)_죽림2교-상부_구조물주요자재(3공구)_x주요자재집계표_01-정선제3교-총괄수량집계표" xfId="433" xr:uid="{00000000-0005-0000-0000-0000B0010000}"/>
    <cellStyle name="_산출근거(광양)_죽림2교-상부_구조물주요자재(3공구)_주요자재집계표" xfId="434" xr:uid="{00000000-0005-0000-0000-0000B1010000}"/>
    <cellStyle name="_산출근거(광양)_죽림2교-상부_구조물주요자재(3공구)_주요자재집계표_01-광석교-총괄수량집계표" xfId="435" xr:uid="{00000000-0005-0000-0000-0000B2010000}"/>
    <cellStyle name="_산출근거(광양)_죽림2교-상부_구조물주요자재(3공구)_주요자재집계표_01-정선제3교-총괄수량집계표" xfId="436" xr:uid="{00000000-0005-0000-0000-0000B3010000}"/>
    <cellStyle name="_산출근거(광양)_죽림2교-상부_주요자재집계표" xfId="437" xr:uid="{00000000-0005-0000-0000-0000B4010000}"/>
    <cellStyle name="_산출근거(광양)_죽림2교-상부_주요자재집계표_01-광석교-총괄수량집계표" xfId="438" xr:uid="{00000000-0005-0000-0000-0000B5010000}"/>
    <cellStyle name="_산출근거(광양)_죽림2교-상부_주요자재집계표_01-정선제3교-총괄수량집계표" xfId="439" xr:uid="{00000000-0005-0000-0000-0000B6010000}"/>
    <cellStyle name="_산출근거(광양)_죽림2교-상부_죽림1교-상부" xfId="440" xr:uid="{00000000-0005-0000-0000-0000B7010000}"/>
    <cellStyle name="_산출근거(광양)_죽림2교-상부_죽림1교-상부_01-광석교-총괄수량집계표" xfId="441" xr:uid="{00000000-0005-0000-0000-0000B8010000}"/>
    <cellStyle name="_산출근거(광양)_죽림2교-상부_죽림1교-상부_01-정선제3교-총괄수량집계표" xfId="442" xr:uid="{00000000-0005-0000-0000-0000B9010000}"/>
    <cellStyle name="_산출근거(광양)_죽림2교-상부_죽림1교-상부_1.광하1교-주요자재집계표" xfId="443" xr:uid="{00000000-0005-0000-0000-0000BA010000}"/>
    <cellStyle name="_산출근거(광양)_죽림2교-상부_죽림1교-상부_1.광하1교-주요자재집계표_01-광석교-총괄수량집계표" xfId="444" xr:uid="{00000000-0005-0000-0000-0000BB010000}"/>
    <cellStyle name="_산출근거(광양)_죽림2교-상부_죽림1교-상부_1.광하1교-주요자재집계표_01-정선제3교-총괄수량집계표" xfId="445" xr:uid="{00000000-0005-0000-0000-0000BC010000}"/>
    <cellStyle name="_산출근거(광양)_죽림2교-상부_죽림1교-상부_4.광석교-상부수량집계" xfId="446" xr:uid="{00000000-0005-0000-0000-0000BD010000}"/>
    <cellStyle name="_산출근거(광양)_죽림2교-상부_죽림1교-상부_4.광석교-상부수량집계_01-광석교-총괄수량집계표" xfId="447" xr:uid="{00000000-0005-0000-0000-0000BE010000}"/>
    <cellStyle name="_산출근거(광양)_죽림2교-상부_죽림1교-상부_4.광석교-상부수량집계_01-정선제3교-총괄수량집계표" xfId="448" xr:uid="{00000000-0005-0000-0000-0000BF010000}"/>
    <cellStyle name="_산출근거(광양)_죽림2교-상부_죽림1교-상부_x주요자재집계표" xfId="449" xr:uid="{00000000-0005-0000-0000-0000C0010000}"/>
    <cellStyle name="_산출근거(광양)_죽림2교-상부_죽림1교-상부_x주요자재집계표_01-광석교-총괄수량집계표" xfId="450" xr:uid="{00000000-0005-0000-0000-0000C1010000}"/>
    <cellStyle name="_산출근거(광양)_죽림2교-상부_죽림1교-상부_x주요자재집계표_01-정선제3교-총괄수량집계표" xfId="451" xr:uid="{00000000-0005-0000-0000-0000C2010000}"/>
    <cellStyle name="_산출근거(광양)_죽림2교-상부_죽림1교-상부_구조물주요자재(3공구)" xfId="452" xr:uid="{00000000-0005-0000-0000-0000C3010000}"/>
    <cellStyle name="_산출근거(광양)_죽림2교-상부_죽림1교-상부_구조물주요자재(3공구)_01-광석교-총괄수량집계표" xfId="453" xr:uid="{00000000-0005-0000-0000-0000C4010000}"/>
    <cellStyle name="_산출근거(광양)_죽림2교-상부_죽림1교-상부_구조물주요자재(3공구)_01-정선제3교-총괄수량집계표" xfId="454" xr:uid="{00000000-0005-0000-0000-0000C5010000}"/>
    <cellStyle name="_산출근거(광양)_죽림2교-상부_죽림1교-상부_구조물주요자재(3공구)_1.광하1교-주요자재집계표" xfId="455" xr:uid="{00000000-0005-0000-0000-0000C6010000}"/>
    <cellStyle name="_산출근거(광양)_죽림2교-상부_죽림1교-상부_구조물주요자재(3공구)_1.광하1교-주요자재집계표_01-광석교-총괄수량집계표" xfId="456" xr:uid="{00000000-0005-0000-0000-0000C7010000}"/>
    <cellStyle name="_산출근거(광양)_죽림2교-상부_죽림1교-상부_구조물주요자재(3공구)_1.광하1교-주요자재집계표_01-정선제3교-총괄수량집계표" xfId="457" xr:uid="{00000000-0005-0000-0000-0000C8010000}"/>
    <cellStyle name="_산출근거(광양)_죽림2교-상부_죽림1교-상부_구조물주요자재(3공구)_4.광석교-상부수량집계" xfId="458" xr:uid="{00000000-0005-0000-0000-0000C9010000}"/>
    <cellStyle name="_산출근거(광양)_죽림2교-상부_죽림1교-상부_구조물주요자재(3공구)_4.광석교-상부수량집계_01-광석교-총괄수량집계표" xfId="459" xr:uid="{00000000-0005-0000-0000-0000CA010000}"/>
    <cellStyle name="_산출근거(광양)_죽림2교-상부_죽림1교-상부_구조물주요자재(3공구)_4.광석교-상부수량집계_01-정선제3교-총괄수량집계표" xfId="460" xr:uid="{00000000-0005-0000-0000-0000CB010000}"/>
    <cellStyle name="_산출근거(광양)_죽림2교-상부_죽림1교-상부_구조물주요자재(3공구)_x주요자재집계표" xfId="461" xr:uid="{00000000-0005-0000-0000-0000CC010000}"/>
    <cellStyle name="_산출근거(광양)_죽림2교-상부_죽림1교-상부_구조물주요자재(3공구)_x주요자재집계표_01-광석교-총괄수량집계표" xfId="462" xr:uid="{00000000-0005-0000-0000-0000CD010000}"/>
    <cellStyle name="_산출근거(광양)_죽림2교-상부_죽림1교-상부_구조물주요자재(3공구)_x주요자재집계표_01-정선제3교-총괄수량집계표" xfId="463" xr:uid="{00000000-0005-0000-0000-0000CE010000}"/>
    <cellStyle name="_산출근거(광양)_죽림2교-상부_죽림1교-상부_구조물주요자재(3공구)_주요자재집계표" xfId="464" xr:uid="{00000000-0005-0000-0000-0000CF010000}"/>
    <cellStyle name="_산출근거(광양)_죽림2교-상부_죽림1교-상부_구조물주요자재(3공구)_주요자재집계표_01-광석교-총괄수량집계표" xfId="465" xr:uid="{00000000-0005-0000-0000-0000D0010000}"/>
    <cellStyle name="_산출근거(광양)_죽림2교-상부_죽림1교-상부_구조물주요자재(3공구)_주요자재집계표_01-정선제3교-총괄수량집계표" xfId="466" xr:uid="{00000000-0005-0000-0000-0000D1010000}"/>
    <cellStyle name="_산출근거(광양)_죽림2교-상부_죽림1교-상부_주요자재집계표" xfId="467" xr:uid="{00000000-0005-0000-0000-0000D2010000}"/>
    <cellStyle name="_산출근거(광양)_죽림2교-상부_죽림1교-상부_주요자재집계표_01-광석교-총괄수량집계표" xfId="468" xr:uid="{00000000-0005-0000-0000-0000D3010000}"/>
    <cellStyle name="_산출근거(광양)_죽림2교-상부_죽림1교-상부_주요자재집계표_01-정선제3교-총괄수량집계표" xfId="469" xr:uid="{00000000-0005-0000-0000-0000D4010000}"/>
    <cellStyle name="_산출근거(광양)_죽림2교-상부-1" xfId="470" xr:uid="{00000000-0005-0000-0000-0000D5010000}"/>
    <cellStyle name="_산출근거(광양)_죽림2교-상부-1_01-광석교-총괄수량집계표" xfId="471" xr:uid="{00000000-0005-0000-0000-0000D6010000}"/>
    <cellStyle name="_산출근거(광양)_죽림2교-상부-1_01-정선제3교-총괄수량집계표" xfId="472" xr:uid="{00000000-0005-0000-0000-0000D7010000}"/>
    <cellStyle name="_산출근거(광양)_죽림2교-상부-1_1.광하1교-주요자재집계표" xfId="473" xr:uid="{00000000-0005-0000-0000-0000D8010000}"/>
    <cellStyle name="_산출근거(광양)_죽림2교-상부-1_1.광하1교-주요자재집계표_01-광석교-총괄수량집계표" xfId="474" xr:uid="{00000000-0005-0000-0000-0000D9010000}"/>
    <cellStyle name="_산출근거(광양)_죽림2교-상부-1_1.광하1교-주요자재집계표_01-정선제3교-총괄수량집계표" xfId="475" xr:uid="{00000000-0005-0000-0000-0000DA010000}"/>
    <cellStyle name="_산출근거(광양)_죽림2교-상부-1_4.광석교-상부수량집계" xfId="476" xr:uid="{00000000-0005-0000-0000-0000DB010000}"/>
    <cellStyle name="_산출근거(광양)_죽림2교-상부-1_4.광석교-상부수량집계_01-광석교-총괄수량집계표" xfId="477" xr:uid="{00000000-0005-0000-0000-0000DC010000}"/>
    <cellStyle name="_산출근거(광양)_죽림2교-상부-1_4.광석교-상부수량집계_01-정선제3교-총괄수량집계표" xfId="478" xr:uid="{00000000-0005-0000-0000-0000DD010000}"/>
    <cellStyle name="_산출근거(광양)_죽림2교-상부-1_x주요자재집계표" xfId="479" xr:uid="{00000000-0005-0000-0000-0000DE010000}"/>
    <cellStyle name="_산출근거(광양)_죽림2교-상부-1_x주요자재집계표_01-광석교-총괄수량집계표" xfId="480" xr:uid="{00000000-0005-0000-0000-0000DF010000}"/>
    <cellStyle name="_산출근거(광양)_죽림2교-상부-1_x주요자재집계표_01-정선제3교-총괄수량집계표" xfId="481" xr:uid="{00000000-0005-0000-0000-0000E0010000}"/>
    <cellStyle name="_산출근거(광양)_죽림2교-상부-1_구조물주요자재(3공구)" xfId="482" xr:uid="{00000000-0005-0000-0000-0000E1010000}"/>
    <cellStyle name="_산출근거(광양)_죽림2교-상부-1_구조물주요자재(3공구)_01-광석교-총괄수량집계표" xfId="483" xr:uid="{00000000-0005-0000-0000-0000E2010000}"/>
    <cellStyle name="_산출근거(광양)_죽림2교-상부-1_구조물주요자재(3공구)_01-정선제3교-총괄수량집계표" xfId="484" xr:uid="{00000000-0005-0000-0000-0000E3010000}"/>
    <cellStyle name="_산출근거(광양)_죽림2교-상부-1_구조물주요자재(3공구)_1.광하1교-주요자재집계표" xfId="485" xr:uid="{00000000-0005-0000-0000-0000E4010000}"/>
    <cellStyle name="_산출근거(광양)_죽림2교-상부-1_구조물주요자재(3공구)_1.광하1교-주요자재집계표_01-광석교-총괄수량집계표" xfId="486" xr:uid="{00000000-0005-0000-0000-0000E5010000}"/>
    <cellStyle name="_산출근거(광양)_죽림2교-상부-1_구조물주요자재(3공구)_1.광하1교-주요자재집계표_01-정선제3교-총괄수량집계표" xfId="487" xr:uid="{00000000-0005-0000-0000-0000E6010000}"/>
    <cellStyle name="_산출근거(광양)_죽림2교-상부-1_구조물주요자재(3공구)_4.광석교-상부수량집계" xfId="488" xr:uid="{00000000-0005-0000-0000-0000E7010000}"/>
    <cellStyle name="_산출근거(광양)_죽림2교-상부-1_구조물주요자재(3공구)_4.광석교-상부수량집계_01-광석교-총괄수량집계표" xfId="489" xr:uid="{00000000-0005-0000-0000-0000E8010000}"/>
    <cellStyle name="_산출근거(광양)_죽림2교-상부-1_구조물주요자재(3공구)_4.광석교-상부수량집계_01-정선제3교-총괄수량집계표" xfId="490" xr:uid="{00000000-0005-0000-0000-0000E9010000}"/>
    <cellStyle name="_산출근거(광양)_죽림2교-상부-1_구조물주요자재(3공구)_x주요자재집계표" xfId="491" xr:uid="{00000000-0005-0000-0000-0000EA010000}"/>
    <cellStyle name="_산출근거(광양)_죽림2교-상부-1_구조물주요자재(3공구)_x주요자재집계표_01-광석교-총괄수량집계표" xfId="492" xr:uid="{00000000-0005-0000-0000-0000EB010000}"/>
    <cellStyle name="_산출근거(광양)_죽림2교-상부-1_구조물주요자재(3공구)_x주요자재집계표_01-정선제3교-총괄수량집계표" xfId="493" xr:uid="{00000000-0005-0000-0000-0000EC010000}"/>
    <cellStyle name="_산출근거(광양)_죽림2교-상부-1_구조물주요자재(3공구)_주요자재집계표" xfId="494" xr:uid="{00000000-0005-0000-0000-0000ED010000}"/>
    <cellStyle name="_산출근거(광양)_죽림2교-상부-1_구조물주요자재(3공구)_주요자재집계표_01-광석교-총괄수량집계표" xfId="495" xr:uid="{00000000-0005-0000-0000-0000EE010000}"/>
    <cellStyle name="_산출근거(광양)_죽림2교-상부-1_구조물주요자재(3공구)_주요자재집계표_01-정선제3교-총괄수량집계표" xfId="496" xr:uid="{00000000-0005-0000-0000-0000EF010000}"/>
    <cellStyle name="_산출근거(광양)_죽림2교-상부-1_주요자재집계표" xfId="497" xr:uid="{00000000-0005-0000-0000-0000F0010000}"/>
    <cellStyle name="_산출근거(광양)_죽림2교-상부-1_주요자재집계표_01-광석교-총괄수량집계표" xfId="498" xr:uid="{00000000-0005-0000-0000-0000F1010000}"/>
    <cellStyle name="_산출근거(광양)_죽림2교-상부-1_주요자재집계표_01-정선제3교-총괄수량집계표" xfId="499" xr:uid="{00000000-0005-0000-0000-0000F2010000}"/>
    <cellStyle name="_산출근거(광양)_죽림2교-상부-1_죽림1교-상부" xfId="500" xr:uid="{00000000-0005-0000-0000-0000F3010000}"/>
    <cellStyle name="_산출근거(광양)_죽림2교-상부-1_죽림1교-상부_01-광석교-총괄수량집계표" xfId="501" xr:uid="{00000000-0005-0000-0000-0000F4010000}"/>
    <cellStyle name="_산출근거(광양)_죽림2교-상부-1_죽림1교-상부_01-정선제3교-총괄수량집계표" xfId="502" xr:uid="{00000000-0005-0000-0000-0000F5010000}"/>
    <cellStyle name="_산출근거(광양)_죽림2교-상부-1_죽림1교-상부_1.광하1교-주요자재집계표" xfId="503" xr:uid="{00000000-0005-0000-0000-0000F6010000}"/>
    <cellStyle name="_산출근거(광양)_죽림2교-상부-1_죽림1교-상부_1.광하1교-주요자재집계표_01-광석교-총괄수량집계표" xfId="504" xr:uid="{00000000-0005-0000-0000-0000F7010000}"/>
    <cellStyle name="_산출근거(광양)_죽림2교-상부-1_죽림1교-상부_1.광하1교-주요자재집계표_01-정선제3교-총괄수량집계표" xfId="505" xr:uid="{00000000-0005-0000-0000-0000F8010000}"/>
    <cellStyle name="_산출근거(광양)_죽림2교-상부-1_죽림1교-상부_4.광석교-상부수량집계" xfId="506" xr:uid="{00000000-0005-0000-0000-0000F9010000}"/>
    <cellStyle name="_산출근거(광양)_죽림2교-상부-1_죽림1교-상부_4.광석교-상부수량집계_01-광석교-총괄수량집계표" xfId="507" xr:uid="{00000000-0005-0000-0000-0000FA010000}"/>
    <cellStyle name="_산출근거(광양)_죽림2교-상부-1_죽림1교-상부_4.광석교-상부수량집계_01-정선제3교-총괄수량집계표" xfId="508" xr:uid="{00000000-0005-0000-0000-0000FB010000}"/>
    <cellStyle name="_산출근거(광양)_죽림2교-상부-1_죽림1교-상부_x주요자재집계표" xfId="509" xr:uid="{00000000-0005-0000-0000-0000FC010000}"/>
    <cellStyle name="_산출근거(광양)_죽림2교-상부-1_죽림1교-상부_x주요자재집계표_01-광석교-총괄수량집계표" xfId="510" xr:uid="{00000000-0005-0000-0000-0000FD010000}"/>
    <cellStyle name="_산출근거(광양)_죽림2교-상부-1_죽림1교-상부_x주요자재집계표_01-정선제3교-총괄수량집계표" xfId="511" xr:uid="{00000000-0005-0000-0000-0000FE010000}"/>
    <cellStyle name="_산출근거(광양)_죽림2교-상부-1_죽림1교-상부_구조물주요자재(3공구)" xfId="512" xr:uid="{00000000-0005-0000-0000-0000FF010000}"/>
    <cellStyle name="_산출근거(광양)_죽림2교-상부-1_죽림1교-상부_구조물주요자재(3공구)_01-광석교-총괄수량집계표" xfId="513" xr:uid="{00000000-0005-0000-0000-000000020000}"/>
    <cellStyle name="_산출근거(광양)_죽림2교-상부-1_죽림1교-상부_구조물주요자재(3공구)_01-정선제3교-총괄수량집계표" xfId="514" xr:uid="{00000000-0005-0000-0000-000001020000}"/>
    <cellStyle name="_산출근거(광양)_죽림2교-상부-1_죽림1교-상부_구조물주요자재(3공구)_1.광하1교-주요자재집계표" xfId="515" xr:uid="{00000000-0005-0000-0000-000002020000}"/>
    <cellStyle name="_산출근거(광양)_죽림2교-상부-1_죽림1교-상부_구조물주요자재(3공구)_1.광하1교-주요자재집계표_01-광석교-총괄수량집계표" xfId="516" xr:uid="{00000000-0005-0000-0000-000003020000}"/>
    <cellStyle name="_산출근거(광양)_죽림2교-상부-1_죽림1교-상부_구조물주요자재(3공구)_1.광하1교-주요자재집계표_01-정선제3교-총괄수량집계표" xfId="517" xr:uid="{00000000-0005-0000-0000-000004020000}"/>
    <cellStyle name="_산출근거(광양)_죽림2교-상부-1_죽림1교-상부_구조물주요자재(3공구)_4.광석교-상부수량집계" xfId="518" xr:uid="{00000000-0005-0000-0000-000005020000}"/>
    <cellStyle name="_산출근거(광양)_죽림2교-상부-1_죽림1교-상부_구조물주요자재(3공구)_4.광석교-상부수량집계_01-광석교-총괄수량집계표" xfId="519" xr:uid="{00000000-0005-0000-0000-000006020000}"/>
    <cellStyle name="_산출근거(광양)_죽림2교-상부-1_죽림1교-상부_구조물주요자재(3공구)_4.광석교-상부수량집계_01-정선제3교-총괄수량집계표" xfId="520" xr:uid="{00000000-0005-0000-0000-000007020000}"/>
    <cellStyle name="_산출근거(광양)_죽림2교-상부-1_죽림1교-상부_구조물주요자재(3공구)_x주요자재집계표" xfId="521" xr:uid="{00000000-0005-0000-0000-000008020000}"/>
    <cellStyle name="_산출근거(광양)_죽림2교-상부-1_죽림1교-상부_구조물주요자재(3공구)_x주요자재집계표_01-광석교-총괄수량집계표" xfId="522" xr:uid="{00000000-0005-0000-0000-000009020000}"/>
    <cellStyle name="_산출근거(광양)_죽림2교-상부-1_죽림1교-상부_구조물주요자재(3공구)_x주요자재집계표_01-정선제3교-총괄수량집계표" xfId="523" xr:uid="{00000000-0005-0000-0000-00000A020000}"/>
    <cellStyle name="_산출근거(광양)_죽림2교-상부-1_죽림1교-상부_구조물주요자재(3공구)_주요자재집계표" xfId="524" xr:uid="{00000000-0005-0000-0000-00000B020000}"/>
    <cellStyle name="_산출근거(광양)_죽림2교-상부-1_죽림1교-상부_구조물주요자재(3공구)_주요자재집계표_01-광석교-총괄수량집계표" xfId="525" xr:uid="{00000000-0005-0000-0000-00000C020000}"/>
    <cellStyle name="_산출근거(광양)_죽림2교-상부-1_죽림1교-상부_구조물주요자재(3공구)_주요자재집계표_01-정선제3교-총괄수량집계표" xfId="526" xr:uid="{00000000-0005-0000-0000-00000D020000}"/>
    <cellStyle name="_산출근거(광양)_죽림2교-상부-1_죽림1교-상부_주요자재집계표" xfId="527" xr:uid="{00000000-0005-0000-0000-00000E020000}"/>
    <cellStyle name="_산출근거(광양)_죽림2교-상부-1_죽림1교-상부_주요자재집계표_01-광석교-총괄수량집계표" xfId="528" xr:uid="{00000000-0005-0000-0000-00000F020000}"/>
    <cellStyle name="_산출근거(광양)_죽림2교-상부-1_죽림1교-상부_주요자재집계표_01-정선제3교-총괄수량집계표" xfId="529" xr:uid="{00000000-0005-0000-0000-000010020000}"/>
    <cellStyle name="_산출근거(목포)" xfId="530" xr:uid="{00000000-0005-0000-0000-000011020000}"/>
    <cellStyle name="_산출근거(목포)_01-광석교-총괄수량집계표" xfId="531" xr:uid="{00000000-0005-0000-0000-000012020000}"/>
    <cellStyle name="_산출근거(목포)_01-정선제3교-총괄수량집계표" xfId="532" xr:uid="{00000000-0005-0000-0000-000013020000}"/>
    <cellStyle name="_산출근거(목포)_1.광하1교-주요자재집계표" xfId="533" xr:uid="{00000000-0005-0000-0000-000014020000}"/>
    <cellStyle name="_산출근거(목포)_1.광하1교-주요자재집계표_01-광석교-총괄수량집계표" xfId="534" xr:uid="{00000000-0005-0000-0000-000015020000}"/>
    <cellStyle name="_산출근거(목포)_1.광하1교-주요자재집계표_01-정선제3교-총괄수량집계표" xfId="535" xr:uid="{00000000-0005-0000-0000-000016020000}"/>
    <cellStyle name="_산출근거(목포)_4.광석교-상부수량집계" xfId="536" xr:uid="{00000000-0005-0000-0000-000017020000}"/>
    <cellStyle name="_산출근거(목포)_4.광석교-상부수량집계_01-광석교-총괄수량집계표" xfId="537" xr:uid="{00000000-0005-0000-0000-000018020000}"/>
    <cellStyle name="_산출근거(목포)_4.광석교-상부수량집계_01-정선제3교-총괄수량집계표" xfId="538" xr:uid="{00000000-0005-0000-0000-000019020000}"/>
    <cellStyle name="_산출근거(목포)_x주요자재집계표" xfId="539" xr:uid="{00000000-0005-0000-0000-00001A020000}"/>
    <cellStyle name="_산출근거(목포)_x주요자재집계표_01-광석교-총괄수량집계표" xfId="540" xr:uid="{00000000-0005-0000-0000-00001B020000}"/>
    <cellStyle name="_산출근거(목포)_x주요자재집계표_01-정선제3교-총괄수량집계표" xfId="541" xr:uid="{00000000-0005-0000-0000-00001C020000}"/>
    <cellStyle name="_산출근거(목포)_교량별총괄집계(신리5교)" xfId="542" xr:uid="{00000000-0005-0000-0000-00001D020000}"/>
    <cellStyle name="_산출근거(목포)_교량별총괄집계(신리5교)_01-광석교-총괄수량집계표" xfId="543" xr:uid="{00000000-0005-0000-0000-00001E020000}"/>
    <cellStyle name="_산출근거(목포)_교량별총괄집계(신리5교)_01-정선제3교-총괄수량집계표" xfId="544" xr:uid="{00000000-0005-0000-0000-00001F020000}"/>
    <cellStyle name="_산출근거(목포)_구조물주요자재(3공구)" xfId="545" xr:uid="{00000000-0005-0000-0000-000020020000}"/>
    <cellStyle name="_산출근거(목포)_구조물주요자재(3공구)_01-광석교-총괄수량집계표" xfId="546" xr:uid="{00000000-0005-0000-0000-000021020000}"/>
    <cellStyle name="_산출근거(목포)_구조물주요자재(3공구)_01-정선제3교-총괄수량집계표" xfId="547" xr:uid="{00000000-0005-0000-0000-000022020000}"/>
    <cellStyle name="_산출근거(목포)_구조물주요자재(3공구)_1.광하1교-주요자재집계표" xfId="548" xr:uid="{00000000-0005-0000-0000-000023020000}"/>
    <cellStyle name="_산출근거(목포)_구조물주요자재(3공구)_1.광하1교-주요자재집계표_01-광석교-총괄수량집계표" xfId="549" xr:uid="{00000000-0005-0000-0000-000024020000}"/>
    <cellStyle name="_산출근거(목포)_구조물주요자재(3공구)_1.광하1교-주요자재집계표_01-정선제3교-총괄수량집계표" xfId="550" xr:uid="{00000000-0005-0000-0000-000025020000}"/>
    <cellStyle name="_산출근거(목포)_구조물주요자재(3공구)_4.광석교-상부수량집계" xfId="551" xr:uid="{00000000-0005-0000-0000-000026020000}"/>
    <cellStyle name="_산출근거(목포)_구조물주요자재(3공구)_4.광석교-상부수량집계_01-광석교-총괄수량집계표" xfId="552" xr:uid="{00000000-0005-0000-0000-000027020000}"/>
    <cellStyle name="_산출근거(목포)_구조물주요자재(3공구)_4.광석교-상부수량집계_01-정선제3교-총괄수량집계표" xfId="553" xr:uid="{00000000-0005-0000-0000-000028020000}"/>
    <cellStyle name="_산출근거(목포)_구조물주요자재(3공구)_x주요자재집계표" xfId="554" xr:uid="{00000000-0005-0000-0000-000029020000}"/>
    <cellStyle name="_산출근거(목포)_구조물주요자재(3공구)_x주요자재집계표_01-광석교-총괄수량집계표" xfId="555" xr:uid="{00000000-0005-0000-0000-00002A020000}"/>
    <cellStyle name="_산출근거(목포)_구조물주요자재(3공구)_x주요자재집계표_01-정선제3교-총괄수량집계표" xfId="556" xr:uid="{00000000-0005-0000-0000-00002B020000}"/>
    <cellStyle name="_산출근거(목포)_구조물주요자재(3공구)_주요자재집계표" xfId="557" xr:uid="{00000000-0005-0000-0000-00002C020000}"/>
    <cellStyle name="_산출근거(목포)_구조물주요자재(3공구)_주요자재집계표_01-광석교-총괄수량집계표" xfId="558" xr:uid="{00000000-0005-0000-0000-00002D020000}"/>
    <cellStyle name="_산출근거(목포)_구조물주요자재(3공구)_주요자재집계표_01-정선제3교-총괄수량집계표" xfId="559" xr:uid="{00000000-0005-0000-0000-00002E020000}"/>
    <cellStyle name="_산출근거(목포)_신리5교 상부" xfId="560" xr:uid="{00000000-0005-0000-0000-00002F020000}"/>
    <cellStyle name="_산출근거(목포)_신리5교 상부_01-광석교-총괄수량집계표" xfId="561" xr:uid="{00000000-0005-0000-0000-000030020000}"/>
    <cellStyle name="_산출근거(목포)_신리5교 상부_01-정선제3교-총괄수량집계표" xfId="562" xr:uid="{00000000-0005-0000-0000-000031020000}"/>
    <cellStyle name="_산출근거(목포)_신리6교 상부" xfId="563" xr:uid="{00000000-0005-0000-0000-000032020000}"/>
    <cellStyle name="_산출근거(목포)_신리6교 상부_01-광석교-총괄수량집계표" xfId="564" xr:uid="{00000000-0005-0000-0000-000033020000}"/>
    <cellStyle name="_산출근거(목포)_신리6교 상부_01-정선제3교-총괄수량집계표" xfId="565" xr:uid="{00000000-0005-0000-0000-000034020000}"/>
    <cellStyle name="_산출근거(목포)_주요자재집계표" xfId="566" xr:uid="{00000000-0005-0000-0000-000035020000}"/>
    <cellStyle name="_산출근거(목포)_주요자재집계표_01-광석교-총괄수량집계표" xfId="567" xr:uid="{00000000-0005-0000-0000-000036020000}"/>
    <cellStyle name="_산출근거(목포)_주요자재집계표_01-정선제3교-총괄수량집계표" xfId="568" xr:uid="{00000000-0005-0000-0000-000037020000}"/>
    <cellStyle name="_산출근거(목포)_죽림1교-상부" xfId="569" xr:uid="{00000000-0005-0000-0000-000038020000}"/>
    <cellStyle name="_산출근거(목포)_죽림1교-상부_01-광석교-총괄수량집계표" xfId="570" xr:uid="{00000000-0005-0000-0000-000039020000}"/>
    <cellStyle name="_산출근거(목포)_죽림1교-상부_01-정선제3교-총괄수량집계표" xfId="571" xr:uid="{00000000-0005-0000-0000-00003A020000}"/>
    <cellStyle name="_산출근거(목포)_죽림1교-상부_1.광하1교-주요자재집계표" xfId="572" xr:uid="{00000000-0005-0000-0000-00003B020000}"/>
    <cellStyle name="_산출근거(목포)_죽림1교-상부_1.광하1교-주요자재집계표_01-광석교-총괄수량집계표" xfId="573" xr:uid="{00000000-0005-0000-0000-00003C020000}"/>
    <cellStyle name="_산출근거(목포)_죽림1교-상부_1.광하1교-주요자재집계표_01-정선제3교-총괄수량집계표" xfId="574" xr:uid="{00000000-0005-0000-0000-00003D020000}"/>
    <cellStyle name="_산출근거(목포)_죽림1교-상부_4.광석교-상부수량집계" xfId="575" xr:uid="{00000000-0005-0000-0000-00003E020000}"/>
    <cellStyle name="_산출근거(목포)_죽림1교-상부_4.광석교-상부수량집계_01-광석교-총괄수량집계표" xfId="576" xr:uid="{00000000-0005-0000-0000-00003F020000}"/>
    <cellStyle name="_산출근거(목포)_죽림1교-상부_4.광석교-상부수량집계_01-정선제3교-총괄수량집계표" xfId="577" xr:uid="{00000000-0005-0000-0000-000040020000}"/>
    <cellStyle name="_산출근거(목포)_죽림1교-상부_x주요자재집계표" xfId="578" xr:uid="{00000000-0005-0000-0000-000041020000}"/>
    <cellStyle name="_산출근거(목포)_죽림1교-상부_x주요자재집계표_01-광석교-총괄수량집계표" xfId="579" xr:uid="{00000000-0005-0000-0000-000042020000}"/>
    <cellStyle name="_산출근거(목포)_죽림1교-상부_x주요자재집계표_01-정선제3교-총괄수량집계표" xfId="580" xr:uid="{00000000-0005-0000-0000-000043020000}"/>
    <cellStyle name="_산출근거(목포)_죽림1교-상부_구조물주요자재(3공구)" xfId="581" xr:uid="{00000000-0005-0000-0000-000044020000}"/>
    <cellStyle name="_산출근거(목포)_죽림1교-상부_구조물주요자재(3공구)_01-광석교-총괄수량집계표" xfId="582" xr:uid="{00000000-0005-0000-0000-000045020000}"/>
    <cellStyle name="_산출근거(목포)_죽림1교-상부_구조물주요자재(3공구)_01-정선제3교-총괄수량집계표" xfId="583" xr:uid="{00000000-0005-0000-0000-000046020000}"/>
    <cellStyle name="_산출근거(목포)_죽림1교-상부_구조물주요자재(3공구)_1.광하1교-주요자재집계표" xfId="584" xr:uid="{00000000-0005-0000-0000-000047020000}"/>
    <cellStyle name="_산출근거(목포)_죽림1교-상부_구조물주요자재(3공구)_1.광하1교-주요자재집계표_01-광석교-총괄수량집계표" xfId="585" xr:uid="{00000000-0005-0000-0000-000048020000}"/>
    <cellStyle name="_산출근거(목포)_죽림1교-상부_구조물주요자재(3공구)_1.광하1교-주요자재집계표_01-정선제3교-총괄수량집계표" xfId="586" xr:uid="{00000000-0005-0000-0000-000049020000}"/>
    <cellStyle name="_산출근거(목포)_죽림1교-상부_구조물주요자재(3공구)_4.광석교-상부수량집계" xfId="587" xr:uid="{00000000-0005-0000-0000-00004A020000}"/>
    <cellStyle name="_산출근거(목포)_죽림1교-상부_구조물주요자재(3공구)_4.광석교-상부수량집계_01-광석교-총괄수량집계표" xfId="588" xr:uid="{00000000-0005-0000-0000-00004B020000}"/>
    <cellStyle name="_산출근거(목포)_죽림1교-상부_구조물주요자재(3공구)_4.광석교-상부수량집계_01-정선제3교-총괄수량집계표" xfId="589" xr:uid="{00000000-0005-0000-0000-00004C020000}"/>
    <cellStyle name="_산출근거(목포)_죽림1교-상부_구조물주요자재(3공구)_x주요자재집계표" xfId="590" xr:uid="{00000000-0005-0000-0000-00004D020000}"/>
    <cellStyle name="_산출근거(목포)_죽림1교-상부_구조물주요자재(3공구)_x주요자재집계표_01-광석교-총괄수량집계표" xfId="591" xr:uid="{00000000-0005-0000-0000-00004E020000}"/>
    <cellStyle name="_산출근거(목포)_죽림1교-상부_구조물주요자재(3공구)_x주요자재집계표_01-정선제3교-총괄수량집계표" xfId="592" xr:uid="{00000000-0005-0000-0000-00004F020000}"/>
    <cellStyle name="_산출근거(목포)_죽림1교-상부_구조물주요자재(3공구)_주요자재집계표" xfId="593" xr:uid="{00000000-0005-0000-0000-000050020000}"/>
    <cellStyle name="_산출근거(목포)_죽림1교-상부_구조물주요자재(3공구)_주요자재집계표_01-광석교-총괄수량집계표" xfId="594" xr:uid="{00000000-0005-0000-0000-000051020000}"/>
    <cellStyle name="_산출근거(목포)_죽림1교-상부_구조물주요자재(3공구)_주요자재집계표_01-정선제3교-총괄수량집계표" xfId="595" xr:uid="{00000000-0005-0000-0000-000052020000}"/>
    <cellStyle name="_산출근거(목포)_죽림1교-상부_주요자재집계표" xfId="596" xr:uid="{00000000-0005-0000-0000-000053020000}"/>
    <cellStyle name="_산출근거(목포)_죽림1교-상부_주요자재집계표_01-광석교-총괄수량집계표" xfId="597" xr:uid="{00000000-0005-0000-0000-000054020000}"/>
    <cellStyle name="_산출근거(목포)_죽림1교-상부_주요자재집계표_01-정선제3교-총괄수량집계표" xfId="598" xr:uid="{00000000-0005-0000-0000-000055020000}"/>
    <cellStyle name="_산출근거(목포)_죽림2교-상부" xfId="599" xr:uid="{00000000-0005-0000-0000-000056020000}"/>
    <cellStyle name="_산출근거(목포)_죽림2교-상부_01-광석교-총괄수량집계표" xfId="600" xr:uid="{00000000-0005-0000-0000-000057020000}"/>
    <cellStyle name="_산출근거(목포)_죽림2교-상부_01-정선제3교-총괄수량집계표" xfId="601" xr:uid="{00000000-0005-0000-0000-000058020000}"/>
    <cellStyle name="_산출근거(목포)_죽림2교-상부_1.광하1교-주요자재집계표" xfId="602" xr:uid="{00000000-0005-0000-0000-000059020000}"/>
    <cellStyle name="_산출근거(목포)_죽림2교-상부_1.광하1교-주요자재집계표_01-광석교-총괄수량집계표" xfId="603" xr:uid="{00000000-0005-0000-0000-00005A020000}"/>
    <cellStyle name="_산출근거(목포)_죽림2교-상부_1.광하1교-주요자재집계표_01-정선제3교-총괄수량집계표" xfId="604" xr:uid="{00000000-0005-0000-0000-00005B020000}"/>
    <cellStyle name="_산출근거(목포)_죽림2교-상부_4.광석교-상부수량집계" xfId="605" xr:uid="{00000000-0005-0000-0000-00005C020000}"/>
    <cellStyle name="_산출근거(목포)_죽림2교-상부_4.광석교-상부수량집계_01-광석교-총괄수량집계표" xfId="606" xr:uid="{00000000-0005-0000-0000-00005D020000}"/>
    <cellStyle name="_산출근거(목포)_죽림2교-상부_4.광석교-상부수량집계_01-정선제3교-총괄수량집계표" xfId="607" xr:uid="{00000000-0005-0000-0000-00005E020000}"/>
    <cellStyle name="_산출근거(목포)_죽림2교-상부_x주요자재집계표" xfId="608" xr:uid="{00000000-0005-0000-0000-00005F020000}"/>
    <cellStyle name="_산출근거(목포)_죽림2교-상부_x주요자재집계표_01-광석교-총괄수량집계표" xfId="609" xr:uid="{00000000-0005-0000-0000-000060020000}"/>
    <cellStyle name="_산출근거(목포)_죽림2교-상부_x주요자재집계표_01-정선제3교-총괄수량집계표" xfId="610" xr:uid="{00000000-0005-0000-0000-000061020000}"/>
    <cellStyle name="_산출근거(목포)_죽림2교-상부_구조물주요자재(3공구)" xfId="611" xr:uid="{00000000-0005-0000-0000-000062020000}"/>
    <cellStyle name="_산출근거(목포)_죽림2교-상부_구조물주요자재(3공구)_01-광석교-총괄수량집계표" xfId="612" xr:uid="{00000000-0005-0000-0000-000063020000}"/>
    <cellStyle name="_산출근거(목포)_죽림2교-상부_구조물주요자재(3공구)_01-정선제3교-총괄수량집계표" xfId="613" xr:uid="{00000000-0005-0000-0000-000064020000}"/>
    <cellStyle name="_산출근거(목포)_죽림2교-상부_구조물주요자재(3공구)_1.광하1교-주요자재집계표" xfId="614" xr:uid="{00000000-0005-0000-0000-000065020000}"/>
    <cellStyle name="_산출근거(목포)_죽림2교-상부_구조물주요자재(3공구)_1.광하1교-주요자재집계표_01-광석교-총괄수량집계표" xfId="615" xr:uid="{00000000-0005-0000-0000-000066020000}"/>
    <cellStyle name="_산출근거(목포)_죽림2교-상부_구조물주요자재(3공구)_1.광하1교-주요자재집계표_01-정선제3교-총괄수량집계표" xfId="616" xr:uid="{00000000-0005-0000-0000-000067020000}"/>
    <cellStyle name="_산출근거(목포)_죽림2교-상부_구조물주요자재(3공구)_4.광석교-상부수량집계" xfId="617" xr:uid="{00000000-0005-0000-0000-000068020000}"/>
    <cellStyle name="_산출근거(목포)_죽림2교-상부_구조물주요자재(3공구)_4.광석교-상부수량집계_01-광석교-총괄수량집계표" xfId="618" xr:uid="{00000000-0005-0000-0000-000069020000}"/>
    <cellStyle name="_산출근거(목포)_죽림2교-상부_구조물주요자재(3공구)_4.광석교-상부수량집계_01-정선제3교-총괄수량집계표" xfId="619" xr:uid="{00000000-0005-0000-0000-00006A020000}"/>
    <cellStyle name="_산출근거(목포)_죽림2교-상부_구조물주요자재(3공구)_x주요자재집계표" xfId="620" xr:uid="{00000000-0005-0000-0000-00006B020000}"/>
    <cellStyle name="_산출근거(목포)_죽림2교-상부_구조물주요자재(3공구)_x주요자재집계표_01-광석교-총괄수량집계표" xfId="621" xr:uid="{00000000-0005-0000-0000-00006C020000}"/>
    <cellStyle name="_산출근거(목포)_죽림2교-상부_구조물주요자재(3공구)_x주요자재집계표_01-정선제3교-총괄수량집계표" xfId="622" xr:uid="{00000000-0005-0000-0000-00006D020000}"/>
    <cellStyle name="_산출근거(목포)_죽림2교-상부_구조물주요자재(3공구)_주요자재집계표" xfId="623" xr:uid="{00000000-0005-0000-0000-00006E020000}"/>
    <cellStyle name="_산출근거(목포)_죽림2교-상부_구조물주요자재(3공구)_주요자재집계표_01-광석교-총괄수량집계표" xfId="624" xr:uid="{00000000-0005-0000-0000-00006F020000}"/>
    <cellStyle name="_산출근거(목포)_죽림2교-상부_구조물주요자재(3공구)_주요자재집계표_01-정선제3교-총괄수량집계표" xfId="625" xr:uid="{00000000-0005-0000-0000-000070020000}"/>
    <cellStyle name="_산출근거(목포)_죽림2교-상부_주요자재집계표" xfId="626" xr:uid="{00000000-0005-0000-0000-000071020000}"/>
    <cellStyle name="_산출근거(목포)_죽림2교-상부_주요자재집계표_01-광석교-총괄수량집계표" xfId="627" xr:uid="{00000000-0005-0000-0000-000072020000}"/>
    <cellStyle name="_산출근거(목포)_죽림2교-상부_주요자재집계표_01-정선제3교-총괄수량집계표" xfId="628" xr:uid="{00000000-0005-0000-0000-000073020000}"/>
    <cellStyle name="_산출근거(목포)_죽림2교-상부_죽림1교-상부" xfId="629" xr:uid="{00000000-0005-0000-0000-000074020000}"/>
    <cellStyle name="_산출근거(목포)_죽림2교-상부_죽림1교-상부_01-광석교-총괄수량집계표" xfId="630" xr:uid="{00000000-0005-0000-0000-000075020000}"/>
    <cellStyle name="_산출근거(목포)_죽림2교-상부_죽림1교-상부_01-정선제3교-총괄수량집계표" xfId="631" xr:uid="{00000000-0005-0000-0000-000076020000}"/>
    <cellStyle name="_산출근거(목포)_죽림2교-상부_죽림1교-상부_1.광하1교-주요자재집계표" xfId="632" xr:uid="{00000000-0005-0000-0000-000077020000}"/>
    <cellStyle name="_산출근거(목포)_죽림2교-상부_죽림1교-상부_1.광하1교-주요자재집계표_01-광석교-총괄수량집계표" xfId="633" xr:uid="{00000000-0005-0000-0000-000078020000}"/>
    <cellStyle name="_산출근거(목포)_죽림2교-상부_죽림1교-상부_1.광하1교-주요자재집계표_01-정선제3교-총괄수량집계표" xfId="634" xr:uid="{00000000-0005-0000-0000-000079020000}"/>
    <cellStyle name="_산출근거(목포)_죽림2교-상부_죽림1교-상부_4.광석교-상부수량집계" xfId="635" xr:uid="{00000000-0005-0000-0000-00007A020000}"/>
    <cellStyle name="_산출근거(목포)_죽림2교-상부_죽림1교-상부_4.광석교-상부수량집계_01-광석교-총괄수량집계표" xfId="636" xr:uid="{00000000-0005-0000-0000-00007B020000}"/>
    <cellStyle name="_산출근거(목포)_죽림2교-상부_죽림1교-상부_4.광석교-상부수량집계_01-정선제3교-총괄수량집계표" xfId="637" xr:uid="{00000000-0005-0000-0000-00007C020000}"/>
    <cellStyle name="_산출근거(목포)_죽림2교-상부_죽림1교-상부_x주요자재집계표" xfId="638" xr:uid="{00000000-0005-0000-0000-00007D020000}"/>
    <cellStyle name="_산출근거(목포)_죽림2교-상부_죽림1교-상부_x주요자재집계표_01-광석교-총괄수량집계표" xfId="639" xr:uid="{00000000-0005-0000-0000-00007E020000}"/>
    <cellStyle name="_산출근거(목포)_죽림2교-상부_죽림1교-상부_x주요자재집계표_01-정선제3교-총괄수량집계표" xfId="640" xr:uid="{00000000-0005-0000-0000-00007F020000}"/>
    <cellStyle name="_산출근거(목포)_죽림2교-상부_죽림1교-상부_구조물주요자재(3공구)" xfId="641" xr:uid="{00000000-0005-0000-0000-000080020000}"/>
    <cellStyle name="_산출근거(목포)_죽림2교-상부_죽림1교-상부_구조물주요자재(3공구)_01-광석교-총괄수량집계표" xfId="642" xr:uid="{00000000-0005-0000-0000-000081020000}"/>
    <cellStyle name="_산출근거(목포)_죽림2교-상부_죽림1교-상부_구조물주요자재(3공구)_01-정선제3교-총괄수량집계표" xfId="643" xr:uid="{00000000-0005-0000-0000-000082020000}"/>
    <cellStyle name="_산출근거(목포)_죽림2교-상부_죽림1교-상부_구조물주요자재(3공구)_1.광하1교-주요자재집계표" xfId="644" xr:uid="{00000000-0005-0000-0000-000083020000}"/>
    <cellStyle name="_산출근거(목포)_죽림2교-상부_죽림1교-상부_구조물주요자재(3공구)_1.광하1교-주요자재집계표_01-광석교-총괄수량집계표" xfId="645" xr:uid="{00000000-0005-0000-0000-000084020000}"/>
    <cellStyle name="_산출근거(목포)_죽림2교-상부_죽림1교-상부_구조물주요자재(3공구)_1.광하1교-주요자재집계표_01-정선제3교-총괄수량집계표" xfId="646" xr:uid="{00000000-0005-0000-0000-000085020000}"/>
    <cellStyle name="_산출근거(목포)_죽림2교-상부_죽림1교-상부_구조물주요자재(3공구)_4.광석교-상부수량집계" xfId="647" xr:uid="{00000000-0005-0000-0000-000086020000}"/>
    <cellStyle name="_산출근거(목포)_죽림2교-상부_죽림1교-상부_구조물주요자재(3공구)_4.광석교-상부수량집계_01-광석교-총괄수량집계표" xfId="648" xr:uid="{00000000-0005-0000-0000-000087020000}"/>
    <cellStyle name="_산출근거(목포)_죽림2교-상부_죽림1교-상부_구조물주요자재(3공구)_4.광석교-상부수량집계_01-정선제3교-총괄수량집계표" xfId="649" xr:uid="{00000000-0005-0000-0000-000088020000}"/>
    <cellStyle name="_산출근거(목포)_죽림2교-상부_죽림1교-상부_구조물주요자재(3공구)_x주요자재집계표" xfId="650" xr:uid="{00000000-0005-0000-0000-000089020000}"/>
    <cellStyle name="_산출근거(목포)_죽림2교-상부_죽림1교-상부_구조물주요자재(3공구)_x주요자재집계표_01-광석교-총괄수량집계표" xfId="651" xr:uid="{00000000-0005-0000-0000-00008A020000}"/>
    <cellStyle name="_산출근거(목포)_죽림2교-상부_죽림1교-상부_구조물주요자재(3공구)_x주요자재집계표_01-정선제3교-총괄수량집계표" xfId="652" xr:uid="{00000000-0005-0000-0000-00008B020000}"/>
    <cellStyle name="_산출근거(목포)_죽림2교-상부_죽림1교-상부_구조물주요자재(3공구)_주요자재집계표" xfId="653" xr:uid="{00000000-0005-0000-0000-00008C020000}"/>
    <cellStyle name="_산출근거(목포)_죽림2교-상부_죽림1교-상부_구조물주요자재(3공구)_주요자재집계표_01-광석교-총괄수량집계표" xfId="654" xr:uid="{00000000-0005-0000-0000-00008D020000}"/>
    <cellStyle name="_산출근거(목포)_죽림2교-상부_죽림1교-상부_구조물주요자재(3공구)_주요자재집계표_01-정선제3교-총괄수량집계표" xfId="655" xr:uid="{00000000-0005-0000-0000-00008E020000}"/>
    <cellStyle name="_산출근거(목포)_죽림2교-상부_죽림1교-상부_주요자재집계표" xfId="656" xr:uid="{00000000-0005-0000-0000-00008F020000}"/>
    <cellStyle name="_산출근거(목포)_죽림2교-상부_죽림1교-상부_주요자재집계표_01-광석교-총괄수량집계표" xfId="657" xr:uid="{00000000-0005-0000-0000-000090020000}"/>
    <cellStyle name="_산출근거(목포)_죽림2교-상부_죽림1교-상부_주요자재집계표_01-정선제3교-총괄수량집계표" xfId="658" xr:uid="{00000000-0005-0000-0000-000091020000}"/>
    <cellStyle name="_산출근거(목포)_죽림2교-상부-1" xfId="659" xr:uid="{00000000-0005-0000-0000-000092020000}"/>
    <cellStyle name="_산출근거(목포)_죽림2교-상부-1_01-광석교-총괄수량집계표" xfId="660" xr:uid="{00000000-0005-0000-0000-000093020000}"/>
    <cellStyle name="_산출근거(목포)_죽림2교-상부-1_01-정선제3교-총괄수량집계표" xfId="661" xr:uid="{00000000-0005-0000-0000-000094020000}"/>
    <cellStyle name="_산출근거(목포)_죽림2교-상부-1_1.광하1교-주요자재집계표" xfId="662" xr:uid="{00000000-0005-0000-0000-000095020000}"/>
    <cellStyle name="_산출근거(목포)_죽림2교-상부-1_1.광하1교-주요자재집계표_01-광석교-총괄수량집계표" xfId="663" xr:uid="{00000000-0005-0000-0000-000096020000}"/>
    <cellStyle name="_산출근거(목포)_죽림2교-상부-1_1.광하1교-주요자재집계표_01-정선제3교-총괄수량집계표" xfId="664" xr:uid="{00000000-0005-0000-0000-000097020000}"/>
    <cellStyle name="_산출근거(목포)_죽림2교-상부-1_4.광석교-상부수량집계" xfId="665" xr:uid="{00000000-0005-0000-0000-000098020000}"/>
    <cellStyle name="_산출근거(목포)_죽림2교-상부-1_4.광석교-상부수량집계_01-광석교-총괄수량집계표" xfId="666" xr:uid="{00000000-0005-0000-0000-000099020000}"/>
    <cellStyle name="_산출근거(목포)_죽림2교-상부-1_4.광석교-상부수량집계_01-정선제3교-총괄수량집계표" xfId="667" xr:uid="{00000000-0005-0000-0000-00009A020000}"/>
    <cellStyle name="_산출근거(목포)_죽림2교-상부-1_x주요자재집계표" xfId="668" xr:uid="{00000000-0005-0000-0000-00009B020000}"/>
    <cellStyle name="_산출근거(목포)_죽림2교-상부-1_x주요자재집계표_01-광석교-총괄수량집계표" xfId="669" xr:uid="{00000000-0005-0000-0000-00009C020000}"/>
    <cellStyle name="_산출근거(목포)_죽림2교-상부-1_x주요자재집계표_01-정선제3교-총괄수량집계표" xfId="670" xr:uid="{00000000-0005-0000-0000-00009D020000}"/>
    <cellStyle name="_산출근거(목포)_죽림2교-상부-1_구조물주요자재(3공구)" xfId="671" xr:uid="{00000000-0005-0000-0000-00009E020000}"/>
    <cellStyle name="_산출근거(목포)_죽림2교-상부-1_구조물주요자재(3공구)_01-광석교-총괄수량집계표" xfId="672" xr:uid="{00000000-0005-0000-0000-00009F020000}"/>
    <cellStyle name="_산출근거(목포)_죽림2교-상부-1_구조물주요자재(3공구)_01-정선제3교-총괄수량집계표" xfId="673" xr:uid="{00000000-0005-0000-0000-0000A0020000}"/>
    <cellStyle name="_산출근거(목포)_죽림2교-상부-1_구조물주요자재(3공구)_1.광하1교-주요자재집계표" xfId="674" xr:uid="{00000000-0005-0000-0000-0000A1020000}"/>
    <cellStyle name="_산출근거(목포)_죽림2교-상부-1_구조물주요자재(3공구)_1.광하1교-주요자재집계표_01-광석교-총괄수량집계표" xfId="675" xr:uid="{00000000-0005-0000-0000-0000A2020000}"/>
    <cellStyle name="_산출근거(목포)_죽림2교-상부-1_구조물주요자재(3공구)_1.광하1교-주요자재집계표_01-정선제3교-총괄수량집계표" xfId="676" xr:uid="{00000000-0005-0000-0000-0000A3020000}"/>
    <cellStyle name="_산출근거(목포)_죽림2교-상부-1_구조물주요자재(3공구)_4.광석교-상부수량집계" xfId="677" xr:uid="{00000000-0005-0000-0000-0000A4020000}"/>
    <cellStyle name="_산출근거(목포)_죽림2교-상부-1_구조물주요자재(3공구)_4.광석교-상부수량집계_01-광석교-총괄수량집계표" xfId="678" xr:uid="{00000000-0005-0000-0000-0000A5020000}"/>
    <cellStyle name="_산출근거(목포)_죽림2교-상부-1_구조물주요자재(3공구)_4.광석교-상부수량집계_01-정선제3교-총괄수량집계표" xfId="679" xr:uid="{00000000-0005-0000-0000-0000A6020000}"/>
    <cellStyle name="_산출근거(목포)_죽림2교-상부-1_구조물주요자재(3공구)_x주요자재집계표" xfId="680" xr:uid="{00000000-0005-0000-0000-0000A7020000}"/>
    <cellStyle name="_산출근거(목포)_죽림2교-상부-1_구조물주요자재(3공구)_x주요자재집계표_01-광석교-총괄수량집계표" xfId="681" xr:uid="{00000000-0005-0000-0000-0000A8020000}"/>
    <cellStyle name="_산출근거(목포)_죽림2교-상부-1_구조물주요자재(3공구)_x주요자재집계표_01-정선제3교-총괄수량집계표" xfId="682" xr:uid="{00000000-0005-0000-0000-0000A9020000}"/>
    <cellStyle name="_산출근거(목포)_죽림2교-상부-1_구조물주요자재(3공구)_주요자재집계표" xfId="683" xr:uid="{00000000-0005-0000-0000-0000AA020000}"/>
    <cellStyle name="_산출근거(목포)_죽림2교-상부-1_구조물주요자재(3공구)_주요자재집계표_01-광석교-총괄수량집계표" xfId="684" xr:uid="{00000000-0005-0000-0000-0000AB020000}"/>
    <cellStyle name="_산출근거(목포)_죽림2교-상부-1_구조물주요자재(3공구)_주요자재집계표_01-정선제3교-총괄수량집계표" xfId="685" xr:uid="{00000000-0005-0000-0000-0000AC020000}"/>
    <cellStyle name="_산출근거(목포)_죽림2교-상부-1_주요자재집계표" xfId="686" xr:uid="{00000000-0005-0000-0000-0000AD020000}"/>
    <cellStyle name="_산출근거(목포)_죽림2교-상부-1_주요자재집계표_01-광석교-총괄수량집계표" xfId="687" xr:uid="{00000000-0005-0000-0000-0000AE020000}"/>
    <cellStyle name="_산출근거(목포)_죽림2교-상부-1_주요자재집계표_01-정선제3교-총괄수량집계표" xfId="688" xr:uid="{00000000-0005-0000-0000-0000AF020000}"/>
    <cellStyle name="_산출근거(목포)_죽림2교-상부-1_죽림1교-상부" xfId="689" xr:uid="{00000000-0005-0000-0000-0000B0020000}"/>
    <cellStyle name="_산출근거(목포)_죽림2교-상부-1_죽림1교-상부_01-광석교-총괄수량집계표" xfId="690" xr:uid="{00000000-0005-0000-0000-0000B1020000}"/>
    <cellStyle name="_산출근거(목포)_죽림2교-상부-1_죽림1교-상부_01-정선제3교-총괄수량집계표" xfId="691" xr:uid="{00000000-0005-0000-0000-0000B2020000}"/>
    <cellStyle name="_산출근거(목포)_죽림2교-상부-1_죽림1교-상부_1.광하1교-주요자재집계표" xfId="692" xr:uid="{00000000-0005-0000-0000-0000B3020000}"/>
    <cellStyle name="_산출근거(목포)_죽림2교-상부-1_죽림1교-상부_1.광하1교-주요자재집계표_01-광석교-총괄수량집계표" xfId="693" xr:uid="{00000000-0005-0000-0000-0000B4020000}"/>
    <cellStyle name="_산출근거(목포)_죽림2교-상부-1_죽림1교-상부_1.광하1교-주요자재집계표_01-정선제3교-총괄수량집계표" xfId="694" xr:uid="{00000000-0005-0000-0000-0000B5020000}"/>
    <cellStyle name="_산출근거(목포)_죽림2교-상부-1_죽림1교-상부_4.광석교-상부수량집계" xfId="695" xr:uid="{00000000-0005-0000-0000-0000B6020000}"/>
    <cellStyle name="_산출근거(목포)_죽림2교-상부-1_죽림1교-상부_4.광석교-상부수량집계_01-광석교-총괄수량집계표" xfId="696" xr:uid="{00000000-0005-0000-0000-0000B7020000}"/>
    <cellStyle name="_산출근거(목포)_죽림2교-상부-1_죽림1교-상부_4.광석교-상부수량집계_01-정선제3교-총괄수량집계표" xfId="697" xr:uid="{00000000-0005-0000-0000-0000B8020000}"/>
    <cellStyle name="_산출근거(목포)_죽림2교-상부-1_죽림1교-상부_x주요자재집계표" xfId="698" xr:uid="{00000000-0005-0000-0000-0000B9020000}"/>
    <cellStyle name="_산출근거(목포)_죽림2교-상부-1_죽림1교-상부_x주요자재집계표_01-광석교-총괄수량집계표" xfId="699" xr:uid="{00000000-0005-0000-0000-0000BA020000}"/>
    <cellStyle name="_산출근거(목포)_죽림2교-상부-1_죽림1교-상부_x주요자재집계표_01-정선제3교-총괄수량집계표" xfId="700" xr:uid="{00000000-0005-0000-0000-0000BB020000}"/>
    <cellStyle name="_산출근거(목포)_죽림2교-상부-1_죽림1교-상부_구조물주요자재(3공구)" xfId="701" xr:uid="{00000000-0005-0000-0000-0000BC020000}"/>
    <cellStyle name="_산출근거(목포)_죽림2교-상부-1_죽림1교-상부_구조물주요자재(3공구)_01-광석교-총괄수량집계표" xfId="702" xr:uid="{00000000-0005-0000-0000-0000BD020000}"/>
    <cellStyle name="_산출근거(목포)_죽림2교-상부-1_죽림1교-상부_구조물주요자재(3공구)_01-정선제3교-총괄수량집계표" xfId="703" xr:uid="{00000000-0005-0000-0000-0000BE020000}"/>
    <cellStyle name="_산출근거(목포)_죽림2교-상부-1_죽림1교-상부_구조물주요자재(3공구)_1.광하1교-주요자재집계표" xfId="704" xr:uid="{00000000-0005-0000-0000-0000BF020000}"/>
    <cellStyle name="_산출근거(목포)_죽림2교-상부-1_죽림1교-상부_구조물주요자재(3공구)_1.광하1교-주요자재집계표_01-광석교-총괄수량집계표" xfId="705" xr:uid="{00000000-0005-0000-0000-0000C0020000}"/>
    <cellStyle name="_산출근거(목포)_죽림2교-상부-1_죽림1교-상부_구조물주요자재(3공구)_1.광하1교-주요자재집계표_01-정선제3교-총괄수량집계표" xfId="706" xr:uid="{00000000-0005-0000-0000-0000C1020000}"/>
    <cellStyle name="_산출근거(목포)_죽림2교-상부-1_죽림1교-상부_구조물주요자재(3공구)_4.광석교-상부수량집계" xfId="707" xr:uid="{00000000-0005-0000-0000-0000C2020000}"/>
    <cellStyle name="_산출근거(목포)_죽림2교-상부-1_죽림1교-상부_구조물주요자재(3공구)_4.광석교-상부수량집계_01-광석교-총괄수량집계표" xfId="708" xr:uid="{00000000-0005-0000-0000-0000C3020000}"/>
    <cellStyle name="_산출근거(목포)_죽림2교-상부-1_죽림1교-상부_구조물주요자재(3공구)_4.광석교-상부수량집계_01-정선제3교-총괄수량집계표" xfId="709" xr:uid="{00000000-0005-0000-0000-0000C4020000}"/>
    <cellStyle name="_산출근거(목포)_죽림2교-상부-1_죽림1교-상부_구조물주요자재(3공구)_x주요자재집계표" xfId="710" xr:uid="{00000000-0005-0000-0000-0000C5020000}"/>
    <cellStyle name="_산출근거(목포)_죽림2교-상부-1_죽림1교-상부_구조물주요자재(3공구)_x주요자재집계표_01-광석교-총괄수량집계표" xfId="711" xr:uid="{00000000-0005-0000-0000-0000C6020000}"/>
    <cellStyle name="_산출근거(목포)_죽림2교-상부-1_죽림1교-상부_구조물주요자재(3공구)_x주요자재집계표_01-정선제3교-총괄수량집계표" xfId="712" xr:uid="{00000000-0005-0000-0000-0000C7020000}"/>
    <cellStyle name="_산출근거(목포)_죽림2교-상부-1_죽림1교-상부_구조물주요자재(3공구)_주요자재집계표" xfId="713" xr:uid="{00000000-0005-0000-0000-0000C8020000}"/>
    <cellStyle name="_산출근거(목포)_죽림2교-상부-1_죽림1교-상부_구조물주요자재(3공구)_주요자재집계표_01-광석교-총괄수량집계표" xfId="714" xr:uid="{00000000-0005-0000-0000-0000C9020000}"/>
    <cellStyle name="_산출근거(목포)_죽림2교-상부-1_죽림1교-상부_구조물주요자재(3공구)_주요자재집계표_01-정선제3교-총괄수량집계표" xfId="715" xr:uid="{00000000-0005-0000-0000-0000CA020000}"/>
    <cellStyle name="_산출근거(목포)_죽림2교-상부-1_죽림1교-상부_주요자재집계표" xfId="716" xr:uid="{00000000-0005-0000-0000-0000CB020000}"/>
    <cellStyle name="_산출근거(목포)_죽림2교-상부-1_죽림1교-상부_주요자재집계표_01-광석교-총괄수량집계표" xfId="717" xr:uid="{00000000-0005-0000-0000-0000CC020000}"/>
    <cellStyle name="_산출근거(목포)_죽림2교-상부-1_죽림1교-상부_주요자재집계표_01-정선제3교-총괄수량집계표" xfId="718" xr:uid="{00000000-0005-0000-0000-0000CD020000}"/>
    <cellStyle name="_삼성(구조물공)" xfId="719" xr:uid="{00000000-0005-0000-0000-0000CE020000}"/>
    <cellStyle name="_삼성(구조물공)_04-선릉(구조물공)" xfId="720" xr:uid="{00000000-0005-0000-0000-0000CF020000}"/>
    <cellStyle name="_삼성(구조물공)_온직교(구조물공)-1" xfId="721" xr:uid="{00000000-0005-0000-0000-0000D0020000}"/>
    <cellStyle name="_삼성(구조물공)_외부ES#8 " xfId="722" xr:uid="{00000000-0005-0000-0000-0000D1020000}"/>
    <cellStyle name="_삼성(구조물공)_용두교(구조물공)" xfId="723" xr:uid="{00000000-0005-0000-0000-0000D2020000}"/>
    <cellStyle name="_상방부력" xfId="724" xr:uid="{00000000-0005-0000-0000-0000D3020000}"/>
    <cellStyle name="_상방부력_05U(5823)" xfId="725" xr:uid="{00000000-0005-0000-0000-0000D4020000}"/>
    <cellStyle name="_상방부력_U-12" xfId="726" xr:uid="{00000000-0005-0000-0000-0000D5020000}"/>
    <cellStyle name="_상방부력_U-13" xfId="727" xr:uid="{00000000-0005-0000-0000-0000D6020000}"/>
    <cellStyle name="_상방부력_U-14" xfId="728" xr:uid="{00000000-0005-0000-0000-0000D7020000}"/>
    <cellStyle name="_상방부력_U-14-1" xfId="729" xr:uid="{00000000-0005-0000-0000-0000D8020000}"/>
    <cellStyle name="_상부(광산교)일반수량" xfId="730" xr:uid="{00000000-0005-0000-0000-0000D9020000}"/>
    <cellStyle name="_상부(광산교)일반수량_00-왜관과선교-상부수량" xfId="731" xr:uid="{00000000-0005-0000-0000-0000DA020000}"/>
    <cellStyle name="_상부(광산교)일반수량_대흥교-상부수량" xfId="732" xr:uid="{00000000-0005-0000-0000-0000DB020000}"/>
    <cellStyle name="_상부(광산교)일반수량_번암육교-교대토공" xfId="733" xr:uid="{00000000-0005-0000-0000-0000DC020000}"/>
    <cellStyle name="_상부(광산교)일반수량_번암육교-상부수량" xfId="734" xr:uid="{00000000-0005-0000-0000-0000DD020000}"/>
    <cellStyle name="_상부(광산교)일반수량_신덕1교상부수량" xfId="735" xr:uid="{00000000-0005-0000-0000-0000DE020000}"/>
    <cellStyle name="_상부(광산교)일반수량_영암IC1교상부" xfId="736" xr:uid="{00000000-0005-0000-0000-0000DF020000}"/>
    <cellStyle name="_상부(광산교)일반수량_왜관과선교-상부수량" xfId="737" xr:uid="{00000000-0005-0000-0000-0000E0020000}"/>
    <cellStyle name="_상부수량산출집계표" xfId="738" xr:uid="{00000000-0005-0000-0000-0000E1020000}"/>
    <cellStyle name="_상부일반수량" xfId="739" xr:uid="{00000000-0005-0000-0000-0000E2020000}"/>
    <cellStyle name="_상월1교상부" xfId="740" xr:uid="{00000000-0005-0000-0000-0000E3020000}"/>
    <cellStyle name="_상월1교상부_88공통-A.XLS(05-1004가도분리-터널수정)" xfId="741" xr:uid="{00000000-0005-0000-0000-0000E4020000}"/>
    <cellStyle name="_상월1교상부_88공통-A.XLS(05-1004가도분리-터널수정)_88공통-C-060424" xfId="742" xr:uid="{00000000-0005-0000-0000-0000E5020000}"/>
    <cellStyle name="_상월1교상부_88공통-A.XLS(05-1004가도분리-터널수정)_88공통-C-060605" xfId="743" xr:uid="{00000000-0005-0000-0000-0000E6020000}"/>
    <cellStyle name="_상월1교상부_88공통-A.XLS(05-1004가도분리-터널수정)_PE드럼설치현황" xfId="744" xr:uid="{00000000-0005-0000-0000-0000E7020000}"/>
    <cellStyle name="_상월1교상부_88공통-B최종-터널급수추가" xfId="745" xr:uid="{00000000-0005-0000-0000-0000E8020000}"/>
    <cellStyle name="_상월1교상부_88공통-B최종-터널급수추가_88공통-C-060424" xfId="746" xr:uid="{00000000-0005-0000-0000-0000E9020000}"/>
    <cellStyle name="_상월1교상부_88공통-B최종-터널급수추가_88공통-C-060605" xfId="747" xr:uid="{00000000-0005-0000-0000-0000EA020000}"/>
    <cellStyle name="_상월1교상부_88공통-B최종-터널급수추가_PE드럼설치현황" xfId="748" xr:uid="{00000000-0005-0000-0000-0000EB020000}"/>
    <cellStyle name="_상월1교상부_B-품질관리비" xfId="749" xr:uid="{00000000-0005-0000-0000-0000EC020000}"/>
    <cellStyle name="_상월1교상부_기존도로유지보수" xfId="750" xr:uid="{00000000-0005-0000-0000-0000ED020000}"/>
    <cellStyle name="_상월1교상부_기존도로유지보수_침사지(8공구)" xfId="751" xr:uid="{00000000-0005-0000-0000-0000EE020000}"/>
    <cellStyle name="_상월1교상부_상월1교상부" xfId="752" xr:uid="{00000000-0005-0000-0000-0000EF020000}"/>
    <cellStyle name="_상월1교상부_상월1교상부_88공통-A.XLS(05-1004가도분리-터널수정)" xfId="753" xr:uid="{00000000-0005-0000-0000-0000F0020000}"/>
    <cellStyle name="_상월1교상부_상월1교상부_88공통-A.XLS(05-1004가도분리-터널수정)_88공통-C-060424" xfId="754" xr:uid="{00000000-0005-0000-0000-0000F1020000}"/>
    <cellStyle name="_상월1교상부_상월1교상부_88공통-A.XLS(05-1004가도분리-터널수정)_88공통-C-060605" xfId="755" xr:uid="{00000000-0005-0000-0000-0000F2020000}"/>
    <cellStyle name="_상월1교상부_상월1교상부_88공통-A.XLS(05-1004가도분리-터널수정)_PE드럼설치현황" xfId="756" xr:uid="{00000000-0005-0000-0000-0000F3020000}"/>
    <cellStyle name="_상월1교상부_상월1교상부_88공통-B최종-터널급수추가" xfId="757" xr:uid="{00000000-0005-0000-0000-0000F4020000}"/>
    <cellStyle name="_상월1교상부_상월1교상부_88공통-B최종-터널급수추가_88공통-C-060424" xfId="758" xr:uid="{00000000-0005-0000-0000-0000F5020000}"/>
    <cellStyle name="_상월1교상부_상월1교상부_88공통-B최종-터널급수추가_88공통-C-060605" xfId="759" xr:uid="{00000000-0005-0000-0000-0000F6020000}"/>
    <cellStyle name="_상월1교상부_상월1교상부_88공통-B최종-터널급수추가_PE드럼설치현황" xfId="760" xr:uid="{00000000-0005-0000-0000-0000F7020000}"/>
    <cellStyle name="_상월1교상부_상월1교상부_B-품질관리비" xfId="761" xr:uid="{00000000-0005-0000-0000-0000F8020000}"/>
    <cellStyle name="_상월1교상부_상월1교상부_기존도로유지보수" xfId="762" xr:uid="{00000000-0005-0000-0000-0000F9020000}"/>
    <cellStyle name="_상월1교상부_상월1교상부_기존도로유지보수_침사지(8공구)" xfId="763" xr:uid="{00000000-0005-0000-0000-0000FA020000}"/>
    <cellStyle name="_상월1교상부_상월1교상부_진입도로 8공구" xfId="764" xr:uid="{00000000-0005-0000-0000-0000FB020000}"/>
    <cellStyle name="_상월1교상부_상월1교상부_춘천양양공통-A-경동" xfId="765" xr:uid="{00000000-0005-0000-0000-0000FC020000}"/>
    <cellStyle name="_상월1교상부_상월2교상부" xfId="766" xr:uid="{00000000-0005-0000-0000-0000FD020000}"/>
    <cellStyle name="_상월1교상부_상월2교상부_88공통-A.XLS(05-1004가도분리-터널수정)" xfId="767" xr:uid="{00000000-0005-0000-0000-0000FE020000}"/>
    <cellStyle name="_상월1교상부_상월2교상부_88공통-A.XLS(05-1004가도분리-터널수정)_88공통-C-060424" xfId="768" xr:uid="{00000000-0005-0000-0000-0000FF020000}"/>
    <cellStyle name="_상월1교상부_상월2교상부_88공통-A.XLS(05-1004가도분리-터널수정)_88공통-C-060605" xfId="769" xr:uid="{00000000-0005-0000-0000-000000030000}"/>
    <cellStyle name="_상월1교상부_상월2교상부_88공통-A.XLS(05-1004가도분리-터널수정)_PE드럼설치현황" xfId="770" xr:uid="{00000000-0005-0000-0000-000001030000}"/>
    <cellStyle name="_상월1교상부_상월2교상부_88공통-B최종-터널급수추가" xfId="771" xr:uid="{00000000-0005-0000-0000-000002030000}"/>
    <cellStyle name="_상월1교상부_상월2교상부_88공통-B최종-터널급수추가_88공통-C-060424" xfId="772" xr:uid="{00000000-0005-0000-0000-000003030000}"/>
    <cellStyle name="_상월1교상부_상월2교상부_88공통-B최종-터널급수추가_88공통-C-060605" xfId="773" xr:uid="{00000000-0005-0000-0000-000004030000}"/>
    <cellStyle name="_상월1교상부_상월2교상부_88공통-B최종-터널급수추가_PE드럼설치현황" xfId="774" xr:uid="{00000000-0005-0000-0000-000005030000}"/>
    <cellStyle name="_상월1교상부_상월2교상부_B-품질관리비" xfId="775" xr:uid="{00000000-0005-0000-0000-000006030000}"/>
    <cellStyle name="_상월1교상부_상월2교상부_기존도로유지보수" xfId="776" xr:uid="{00000000-0005-0000-0000-000007030000}"/>
    <cellStyle name="_상월1교상부_상월2교상부_기존도로유지보수_침사지(8공구)" xfId="777" xr:uid="{00000000-0005-0000-0000-000008030000}"/>
    <cellStyle name="_상월1교상부_상월2교상부_진입도로 8공구" xfId="778" xr:uid="{00000000-0005-0000-0000-000009030000}"/>
    <cellStyle name="_상월1교상부_상월2교상부_춘천양양공통-A-경동" xfId="779" xr:uid="{00000000-0005-0000-0000-00000A030000}"/>
    <cellStyle name="_상월1교상부_상월천교상부" xfId="780" xr:uid="{00000000-0005-0000-0000-00000B030000}"/>
    <cellStyle name="_상월1교상부_상월천교상부_88공통-A.XLS(05-1004가도분리-터널수정)" xfId="781" xr:uid="{00000000-0005-0000-0000-00000C030000}"/>
    <cellStyle name="_상월1교상부_상월천교상부_88공통-A.XLS(05-1004가도분리-터널수정)_88공통-C-060424" xfId="782" xr:uid="{00000000-0005-0000-0000-00000D030000}"/>
    <cellStyle name="_상월1교상부_상월천교상부_88공통-A.XLS(05-1004가도분리-터널수정)_88공통-C-060605" xfId="783" xr:uid="{00000000-0005-0000-0000-00000E030000}"/>
    <cellStyle name="_상월1교상부_상월천교상부_88공통-A.XLS(05-1004가도분리-터널수정)_PE드럼설치현황" xfId="784" xr:uid="{00000000-0005-0000-0000-00000F030000}"/>
    <cellStyle name="_상월1교상부_상월천교상부_88공통-B최종-터널급수추가" xfId="785" xr:uid="{00000000-0005-0000-0000-000010030000}"/>
    <cellStyle name="_상월1교상부_상월천교상부_88공통-B최종-터널급수추가_88공통-C-060424" xfId="786" xr:uid="{00000000-0005-0000-0000-000011030000}"/>
    <cellStyle name="_상월1교상부_상월천교상부_88공통-B최종-터널급수추가_88공통-C-060605" xfId="787" xr:uid="{00000000-0005-0000-0000-000012030000}"/>
    <cellStyle name="_상월1교상부_상월천교상부_88공통-B최종-터널급수추가_PE드럼설치현황" xfId="788" xr:uid="{00000000-0005-0000-0000-000013030000}"/>
    <cellStyle name="_상월1교상부_상월천교상부_B-품질관리비" xfId="789" xr:uid="{00000000-0005-0000-0000-000014030000}"/>
    <cellStyle name="_상월1교상부_상월천교상부_기존도로유지보수" xfId="790" xr:uid="{00000000-0005-0000-0000-000015030000}"/>
    <cellStyle name="_상월1교상부_상월천교상부_기존도로유지보수_침사지(8공구)" xfId="791" xr:uid="{00000000-0005-0000-0000-000016030000}"/>
    <cellStyle name="_상월1교상부_상월천교상부_진입도로 8공구" xfId="792" xr:uid="{00000000-0005-0000-0000-000017030000}"/>
    <cellStyle name="_상월1교상부_상월천교상부_춘천양양공통-A-경동" xfId="793" xr:uid="{00000000-0005-0000-0000-000018030000}"/>
    <cellStyle name="_상월1교상부_진입도로 8공구" xfId="794" xr:uid="{00000000-0005-0000-0000-000019030000}"/>
    <cellStyle name="_상월1교상부_춘천양양공통-A-경동" xfId="795" xr:uid="{00000000-0005-0000-0000-00001A030000}"/>
    <cellStyle name="_선릉(구조물공)" xfId="796" xr:uid="{00000000-0005-0000-0000-00001B030000}"/>
    <cellStyle name="_선릉(구조물공)_04-선릉(구조물공)" xfId="797" xr:uid="{00000000-0005-0000-0000-00001C030000}"/>
    <cellStyle name="_선릉(구조물공)_온직교(구조물공)-1" xfId="798" xr:uid="{00000000-0005-0000-0000-00001D030000}"/>
    <cellStyle name="_선릉(구조물공)_외부ES#8 " xfId="799" xr:uid="{00000000-0005-0000-0000-00001E030000}"/>
    <cellStyle name="_선릉(구조물공)_용두교(구조물공)" xfId="800" xr:uid="{00000000-0005-0000-0000-00001F030000}"/>
    <cellStyle name="_성덕2교수량" xfId="801" xr:uid="{00000000-0005-0000-0000-000020030000}"/>
    <cellStyle name="_성덕2교수량_조포교수량(0531)" xfId="802" xr:uid="{00000000-0005-0000-0000-000021030000}"/>
    <cellStyle name="_성덕2교수량_조포교수량(0531)_덕곡교수량" xfId="803" xr:uid="{00000000-0005-0000-0000-000022030000}"/>
    <cellStyle name="_세륜세차시설(수량)" xfId="804" xr:uid="{00000000-0005-0000-0000-000023030000}"/>
    <cellStyle name="_세포IC교_상부일반수량" xfId="805" xr:uid="{00000000-0005-0000-0000-000024030000}"/>
    <cellStyle name="_시험비(고령IC1교)" xfId="806" xr:uid="{00000000-0005-0000-0000-000025030000}"/>
    <cellStyle name="_시험비(고령IC1교)_B-품질관리비" xfId="807" xr:uid="{00000000-0005-0000-0000-000026030000}"/>
    <cellStyle name="_신덕1교상부수량" xfId="808" xr:uid="{00000000-0005-0000-0000-000027030000}"/>
    <cellStyle name="_신덕1교상부수량_00-왜관과선교-상부수량" xfId="809" xr:uid="{00000000-0005-0000-0000-000028030000}"/>
    <cellStyle name="_신덕1교상부수량_대흥교-상부수량" xfId="810" xr:uid="{00000000-0005-0000-0000-000029030000}"/>
    <cellStyle name="_신덕1교상부수량_번암육교-교대토공" xfId="811" xr:uid="{00000000-0005-0000-0000-00002A030000}"/>
    <cellStyle name="_신덕1교상부수량_번암육교-상부수량" xfId="812" xr:uid="{00000000-0005-0000-0000-00002B030000}"/>
    <cellStyle name="_신덕1교상부수량_신덕1교상부수량" xfId="813" xr:uid="{00000000-0005-0000-0000-00002C030000}"/>
    <cellStyle name="_신덕1교상부수량_영암IC1교상부" xfId="814" xr:uid="{00000000-0005-0000-0000-00002D030000}"/>
    <cellStyle name="_신덕1교상부수량_왜관과선교-상부수량" xfId="815" xr:uid="{00000000-0005-0000-0000-00002E030000}"/>
    <cellStyle name="_신리1교-상부" xfId="816" xr:uid="{00000000-0005-0000-0000-00002F030000}"/>
    <cellStyle name="_신리1교-상부_01-광석교-총괄수량집계표" xfId="817" xr:uid="{00000000-0005-0000-0000-000030030000}"/>
    <cellStyle name="_신리1교-상부_01-정선제3교-총괄수량집계표" xfId="818" xr:uid="{00000000-0005-0000-0000-000031030000}"/>
    <cellStyle name="_신리1교-상부_1.광하1교-주요자재집계표" xfId="819" xr:uid="{00000000-0005-0000-0000-000032030000}"/>
    <cellStyle name="_신리1교-상부_1.광하1교-주요자재집계표_01-광석교-총괄수량집계표" xfId="820" xr:uid="{00000000-0005-0000-0000-000033030000}"/>
    <cellStyle name="_신리1교-상부_1.광하1교-주요자재집계표_01-정선제3교-총괄수량집계표" xfId="821" xr:uid="{00000000-0005-0000-0000-000034030000}"/>
    <cellStyle name="_신리1교-상부_4.광석교-상부수량집계" xfId="822" xr:uid="{00000000-0005-0000-0000-000035030000}"/>
    <cellStyle name="_신리1교-상부_4.광석교-상부수량집계_01-광석교-총괄수량집계표" xfId="823" xr:uid="{00000000-0005-0000-0000-000036030000}"/>
    <cellStyle name="_신리1교-상부_4.광석교-상부수량집계_01-정선제3교-총괄수량집계표" xfId="824" xr:uid="{00000000-0005-0000-0000-000037030000}"/>
    <cellStyle name="_신리1교-상부_x주요자재집계표" xfId="825" xr:uid="{00000000-0005-0000-0000-000038030000}"/>
    <cellStyle name="_신리1교-상부_x주요자재집계표_01-광석교-총괄수량집계표" xfId="826" xr:uid="{00000000-0005-0000-0000-000039030000}"/>
    <cellStyle name="_신리1교-상부_x주요자재집계표_01-정선제3교-총괄수량집계표" xfId="827" xr:uid="{00000000-0005-0000-0000-00003A030000}"/>
    <cellStyle name="_신리1교-상부_구조물주요자재(3공구)" xfId="828" xr:uid="{00000000-0005-0000-0000-00003B030000}"/>
    <cellStyle name="_신리1교-상부_구조물주요자재(3공구)_01-광석교-총괄수량집계표" xfId="829" xr:uid="{00000000-0005-0000-0000-00003C030000}"/>
    <cellStyle name="_신리1교-상부_구조물주요자재(3공구)_01-정선제3교-총괄수량집계표" xfId="830" xr:uid="{00000000-0005-0000-0000-00003D030000}"/>
    <cellStyle name="_신리1교-상부_구조물주요자재(3공구)_1.광하1교-주요자재집계표" xfId="831" xr:uid="{00000000-0005-0000-0000-00003E030000}"/>
    <cellStyle name="_신리1교-상부_구조물주요자재(3공구)_1.광하1교-주요자재집계표_01-광석교-총괄수량집계표" xfId="832" xr:uid="{00000000-0005-0000-0000-00003F030000}"/>
    <cellStyle name="_신리1교-상부_구조물주요자재(3공구)_1.광하1교-주요자재집계표_01-정선제3교-총괄수량집계표" xfId="833" xr:uid="{00000000-0005-0000-0000-000040030000}"/>
    <cellStyle name="_신리1교-상부_구조물주요자재(3공구)_4.광석교-상부수량집계" xfId="834" xr:uid="{00000000-0005-0000-0000-000041030000}"/>
    <cellStyle name="_신리1교-상부_구조물주요자재(3공구)_4.광석교-상부수량집계_01-광석교-총괄수량집계표" xfId="835" xr:uid="{00000000-0005-0000-0000-000042030000}"/>
    <cellStyle name="_신리1교-상부_구조물주요자재(3공구)_4.광석교-상부수량집계_01-정선제3교-총괄수량집계표" xfId="836" xr:uid="{00000000-0005-0000-0000-000043030000}"/>
    <cellStyle name="_신리1교-상부_구조물주요자재(3공구)_x주요자재집계표" xfId="837" xr:uid="{00000000-0005-0000-0000-000044030000}"/>
    <cellStyle name="_신리1교-상부_구조물주요자재(3공구)_x주요자재집계표_01-광석교-총괄수량집계표" xfId="838" xr:uid="{00000000-0005-0000-0000-000045030000}"/>
    <cellStyle name="_신리1교-상부_구조물주요자재(3공구)_x주요자재집계표_01-정선제3교-총괄수량집계표" xfId="839" xr:uid="{00000000-0005-0000-0000-000046030000}"/>
    <cellStyle name="_신리1교-상부_구조물주요자재(3공구)_주요자재집계표" xfId="840" xr:uid="{00000000-0005-0000-0000-000047030000}"/>
    <cellStyle name="_신리1교-상부_구조물주요자재(3공구)_주요자재집계표_01-광석교-총괄수량집계표" xfId="841" xr:uid="{00000000-0005-0000-0000-000048030000}"/>
    <cellStyle name="_신리1교-상부_구조물주요자재(3공구)_주요자재집계표_01-정선제3교-총괄수량집계표" xfId="842" xr:uid="{00000000-0005-0000-0000-000049030000}"/>
    <cellStyle name="_신리1교-상부_주요자재집계표" xfId="843" xr:uid="{00000000-0005-0000-0000-00004A030000}"/>
    <cellStyle name="_신리1교-상부_주요자재집계표_01-광석교-총괄수량집계표" xfId="844" xr:uid="{00000000-0005-0000-0000-00004B030000}"/>
    <cellStyle name="_신리1교-상부_주요자재집계표_01-정선제3교-총괄수량집계표" xfId="845" xr:uid="{00000000-0005-0000-0000-00004C030000}"/>
    <cellStyle name="_신리5교 상부" xfId="846" xr:uid="{00000000-0005-0000-0000-00004D030000}"/>
    <cellStyle name="_신리5교 상부_01-광석교-총괄수량집계표" xfId="847" xr:uid="{00000000-0005-0000-0000-00004E030000}"/>
    <cellStyle name="_신리5교 상부_01-정선제3교-총괄수량집계표" xfId="848" xr:uid="{00000000-0005-0000-0000-00004F030000}"/>
    <cellStyle name="_신리5교교대" xfId="849" xr:uid="{00000000-0005-0000-0000-000050030000}"/>
    <cellStyle name="_신리5교교대토공" xfId="850" xr:uid="{00000000-0005-0000-0000-000051030000}"/>
    <cellStyle name="_신리6교 상부" xfId="851" xr:uid="{00000000-0005-0000-0000-000052030000}"/>
    <cellStyle name="_신리6교 상부_01-광석교-총괄수량집계표" xfId="852" xr:uid="{00000000-0005-0000-0000-000053030000}"/>
    <cellStyle name="_신리6교 상부_01-정선제3교-총괄수량집계표" xfId="853" xr:uid="{00000000-0005-0000-0000-000054030000}"/>
    <cellStyle name="_신사(구조물공)" xfId="854" xr:uid="{00000000-0005-0000-0000-000055030000}"/>
    <cellStyle name="_신사(구조물공)_04-선릉(구조물공)" xfId="855" xr:uid="{00000000-0005-0000-0000-000056030000}"/>
    <cellStyle name="_신사(구조물공)_온직교(구조물공)-1" xfId="856" xr:uid="{00000000-0005-0000-0000-000057030000}"/>
    <cellStyle name="_신사(구조물공)_외부ES#8 " xfId="857" xr:uid="{00000000-0005-0000-0000-000058030000}"/>
    <cellStyle name="_신사(구조물공)_용두교(구조물공)" xfId="858" xr:uid="{00000000-0005-0000-0000-000059030000}"/>
    <cellStyle name="_신철원2교" xfId="859" xr:uid="{00000000-0005-0000-0000-00005A030000}"/>
    <cellStyle name="_암거낙차부" xfId="860" xr:uid="{00000000-0005-0000-0000-00005B030000}"/>
    <cellStyle name="_암거낙차부_05-우수맨홀" xfId="861" xr:uid="{00000000-0005-0000-0000-00005C030000}"/>
    <cellStyle name="_암거낙차부_06-우수받이" xfId="862" xr:uid="{00000000-0005-0000-0000-00005D030000}"/>
    <cellStyle name="_압구정(구조물공)" xfId="863" xr:uid="{00000000-0005-0000-0000-00005E030000}"/>
    <cellStyle name="_압구정(구조물공)_04-선릉(구조물공)" xfId="864" xr:uid="{00000000-0005-0000-0000-00005F030000}"/>
    <cellStyle name="_압구정(구조물공)_온직교(구조물공)-1" xfId="865" xr:uid="{00000000-0005-0000-0000-000060030000}"/>
    <cellStyle name="_압구정(구조물공)_외부ES#8 " xfId="866" xr:uid="{00000000-0005-0000-0000-000061030000}"/>
    <cellStyle name="_압구정(구조물공)_용두교(구조물공)" xfId="867" xr:uid="{00000000-0005-0000-0000-000062030000}"/>
    <cellStyle name="_양식" xfId="868" xr:uid="{00000000-0005-0000-0000-000063030000}"/>
    <cellStyle name="_양식_1" xfId="869" xr:uid="{00000000-0005-0000-0000-000064030000}"/>
    <cellStyle name="_양식_2" xfId="870" xr:uid="{00000000-0005-0000-0000-000065030000}"/>
    <cellStyle name="_양지교교대수량" xfId="871" xr:uid="{00000000-0005-0000-0000-000066030000}"/>
    <cellStyle name="_양지교상부수량" xfId="872" xr:uid="{00000000-0005-0000-0000-000067030000}"/>
    <cellStyle name="_양지교수량총괄" xfId="873" xr:uid="{00000000-0005-0000-0000-000068030000}"/>
    <cellStyle name="_양지교수량총괄집계표" xfId="874" xr:uid="{00000000-0005-0000-0000-000069030000}"/>
    <cellStyle name="_어천2교-수량" xfId="875" xr:uid="{00000000-0005-0000-0000-00006A030000}"/>
    <cellStyle name="_어천3교-수량" xfId="876" xr:uid="{00000000-0005-0000-0000-00006B030000}"/>
    <cellStyle name="_역삼(구조물공)" xfId="877" xr:uid="{00000000-0005-0000-0000-00006C030000}"/>
    <cellStyle name="_역삼(구조물공)_04-선릉(구조물공)" xfId="878" xr:uid="{00000000-0005-0000-0000-00006D030000}"/>
    <cellStyle name="_역삼(구조물공)_온직교(구조물공)-1" xfId="879" xr:uid="{00000000-0005-0000-0000-00006E030000}"/>
    <cellStyle name="_역삼(구조물공)_외부ES#8 " xfId="880" xr:uid="{00000000-0005-0000-0000-00006F030000}"/>
    <cellStyle name="_역삼(구조물공)_용두교(구조물공)" xfId="881" xr:uid="{00000000-0005-0000-0000-000070030000}"/>
    <cellStyle name="_역삼(구조물공수정)" xfId="882" xr:uid="{00000000-0005-0000-0000-000071030000}"/>
    <cellStyle name="_역삼(구조물공수정)_04-선릉(구조물공)" xfId="883" xr:uid="{00000000-0005-0000-0000-000072030000}"/>
    <cellStyle name="_역삼(구조물공수정)_온직교(구조물공)-1" xfId="884" xr:uid="{00000000-0005-0000-0000-000073030000}"/>
    <cellStyle name="_역삼(구조물공수정)_외부ES#8 " xfId="885" xr:uid="{00000000-0005-0000-0000-000074030000}"/>
    <cellStyle name="_역삼(구조물공수정)_용두교(구조물공)" xfId="886" xr:uid="{00000000-0005-0000-0000-000075030000}"/>
    <cellStyle name="_연정RAMP-F 교대1 토공" xfId="887" xr:uid="{00000000-0005-0000-0000-000076030000}"/>
    <cellStyle name="_연정RAMP-F 교대1 토공_88공통-A.XLS(05-1004가도분리-터널수정)" xfId="888" xr:uid="{00000000-0005-0000-0000-000077030000}"/>
    <cellStyle name="_연정RAMP-F 교대1 토공_88공통-A.XLS(05-1004가도분리-터널수정)_88공통-C-060424" xfId="889" xr:uid="{00000000-0005-0000-0000-000078030000}"/>
    <cellStyle name="_연정RAMP-F 교대1 토공_88공통-A.XLS(05-1004가도분리-터널수정)_88공통-C-060605" xfId="890" xr:uid="{00000000-0005-0000-0000-000079030000}"/>
    <cellStyle name="_연정RAMP-F 교대1 토공_88공통-A.XLS(05-1004가도분리-터널수정)_PE드럼설치현황" xfId="891" xr:uid="{00000000-0005-0000-0000-00007A030000}"/>
    <cellStyle name="_연정RAMP-F 교대1 토공_88공통-B최종-터널급수추가" xfId="892" xr:uid="{00000000-0005-0000-0000-00007B030000}"/>
    <cellStyle name="_연정RAMP-F 교대1 토공_88공통-B최종-터널급수추가_88공통-C-060424" xfId="893" xr:uid="{00000000-0005-0000-0000-00007C030000}"/>
    <cellStyle name="_연정RAMP-F 교대1 토공_88공통-B최종-터널급수추가_88공통-C-060605" xfId="894" xr:uid="{00000000-0005-0000-0000-00007D030000}"/>
    <cellStyle name="_연정RAMP-F 교대1 토공_88공통-B최종-터널급수추가_PE드럼설치현황" xfId="895" xr:uid="{00000000-0005-0000-0000-00007E030000}"/>
    <cellStyle name="_연정RAMP-F 교대1 토공_B-품질관리비" xfId="896" xr:uid="{00000000-0005-0000-0000-00007F030000}"/>
    <cellStyle name="_연정RAMP-F 교대1 토공_기존도로유지보수" xfId="897" xr:uid="{00000000-0005-0000-0000-000080030000}"/>
    <cellStyle name="_연정RAMP-F 교대1 토공_기존도로유지보수_침사지(8공구)" xfId="898" xr:uid="{00000000-0005-0000-0000-000081030000}"/>
    <cellStyle name="_연정RAMP-F 교대1 토공_진입도로 8공구" xfId="899" xr:uid="{00000000-0005-0000-0000-000082030000}"/>
    <cellStyle name="_연정RAMP-F 교대1 토공_춘천양양공통-A-경동" xfId="900" xr:uid="{00000000-0005-0000-0000-000083030000}"/>
    <cellStyle name="_연평교라멘수량" xfId="901" xr:uid="{00000000-0005-0000-0000-000084030000}"/>
    <cellStyle name="_용동천2교교대특정" xfId="902" xr:uid="{00000000-0005-0000-0000-000085030000}"/>
    <cellStyle name="_원주군도3호 깨기" xfId="903" xr:uid="{00000000-0005-0000-0000-000086030000}"/>
    <cellStyle name="_유첨3(서식)" xfId="904" xr:uid="{00000000-0005-0000-0000-000087030000}"/>
    <cellStyle name="_유첨3(서식)_1" xfId="905" xr:uid="{00000000-0005-0000-0000-000088030000}"/>
    <cellStyle name="_잠원(구조물공)" xfId="906" xr:uid="{00000000-0005-0000-0000-000089030000}"/>
    <cellStyle name="_잠원(구조물공)_04-선릉(구조물공)" xfId="907" xr:uid="{00000000-0005-0000-0000-00008A030000}"/>
    <cellStyle name="_잠원(구조물공)_온직교(구조물공)-1" xfId="908" xr:uid="{00000000-0005-0000-0000-00008B030000}"/>
    <cellStyle name="_잠원(구조물공)_외부ES#8 " xfId="909" xr:uid="{00000000-0005-0000-0000-00008C030000}"/>
    <cellStyle name="_잠원(구조물공)_용두교(구조물공)" xfId="910" xr:uid="{00000000-0005-0000-0000-00008D030000}"/>
    <cellStyle name="_장성호TY2" xfId="911" xr:uid="{00000000-0005-0000-0000-00008E030000}"/>
    <cellStyle name="_장성호TY2_2.여주jc7교" xfId="912" xr:uid="{00000000-0005-0000-0000-00008F030000}"/>
    <cellStyle name="_장열교집계표" xfId="913" xr:uid="{00000000-0005-0000-0000-000090030000}"/>
    <cellStyle name="_제1교" xfId="914" xr:uid="{00000000-0005-0000-0000-000091030000}"/>
    <cellStyle name="_죽림1교-상부" xfId="915" xr:uid="{00000000-0005-0000-0000-000092030000}"/>
    <cellStyle name="_죽림1교-상부_01-광석교-총괄수량집계표" xfId="916" xr:uid="{00000000-0005-0000-0000-000093030000}"/>
    <cellStyle name="_죽림1교-상부_01-정선제3교-총괄수량집계표" xfId="917" xr:uid="{00000000-0005-0000-0000-000094030000}"/>
    <cellStyle name="_죽림1교-상부_1.광하1교-주요자재집계표" xfId="918" xr:uid="{00000000-0005-0000-0000-000095030000}"/>
    <cellStyle name="_죽림1교-상부_1.광하1교-주요자재집계표_01-광석교-총괄수량집계표" xfId="919" xr:uid="{00000000-0005-0000-0000-000096030000}"/>
    <cellStyle name="_죽림1교-상부_1.광하1교-주요자재집계표_01-정선제3교-총괄수량집계표" xfId="920" xr:uid="{00000000-0005-0000-0000-000097030000}"/>
    <cellStyle name="_죽림1교-상부_4.광석교-상부수량집계" xfId="921" xr:uid="{00000000-0005-0000-0000-000098030000}"/>
    <cellStyle name="_죽림1교-상부_4.광석교-상부수량집계_01-광석교-총괄수량집계표" xfId="922" xr:uid="{00000000-0005-0000-0000-000099030000}"/>
    <cellStyle name="_죽림1교-상부_4.광석교-상부수량집계_01-정선제3교-총괄수량집계표" xfId="923" xr:uid="{00000000-0005-0000-0000-00009A030000}"/>
    <cellStyle name="_죽림1교-상부_x주요자재집계표" xfId="924" xr:uid="{00000000-0005-0000-0000-00009B030000}"/>
    <cellStyle name="_죽림1교-상부_x주요자재집계표_01-광석교-총괄수량집계표" xfId="925" xr:uid="{00000000-0005-0000-0000-00009C030000}"/>
    <cellStyle name="_죽림1교-상부_x주요자재집계표_01-정선제3교-총괄수량집계표" xfId="926" xr:uid="{00000000-0005-0000-0000-00009D030000}"/>
    <cellStyle name="_죽림1교-상부_구조물주요자재(3공구)" xfId="927" xr:uid="{00000000-0005-0000-0000-00009E030000}"/>
    <cellStyle name="_죽림1교-상부_구조물주요자재(3공구)_01-광석교-총괄수량집계표" xfId="928" xr:uid="{00000000-0005-0000-0000-00009F030000}"/>
    <cellStyle name="_죽림1교-상부_구조물주요자재(3공구)_01-정선제3교-총괄수량집계표" xfId="929" xr:uid="{00000000-0005-0000-0000-0000A0030000}"/>
    <cellStyle name="_죽림1교-상부_구조물주요자재(3공구)_1.광하1교-주요자재집계표" xfId="930" xr:uid="{00000000-0005-0000-0000-0000A1030000}"/>
    <cellStyle name="_죽림1교-상부_구조물주요자재(3공구)_1.광하1교-주요자재집계표_01-광석교-총괄수량집계표" xfId="931" xr:uid="{00000000-0005-0000-0000-0000A2030000}"/>
    <cellStyle name="_죽림1교-상부_구조물주요자재(3공구)_1.광하1교-주요자재집계표_01-정선제3교-총괄수량집계표" xfId="932" xr:uid="{00000000-0005-0000-0000-0000A3030000}"/>
    <cellStyle name="_죽림1교-상부_구조물주요자재(3공구)_4.광석교-상부수량집계" xfId="933" xr:uid="{00000000-0005-0000-0000-0000A4030000}"/>
    <cellStyle name="_죽림1교-상부_구조물주요자재(3공구)_4.광석교-상부수량집계_01-광석교-총괄수량집계표" xfId="934" xr:uid="{00000000-0005-0000-0000-0000A5030000}"/>
    <cellStyle name="_죽림1교-상부_구조물주요자재(3공구)_4.광석교-상부수량집계_01-정선제3교-총괄수량집계표" xfId="935" xr:uid="{00000000-0005-0000-0000-0000A6030000}"/>
    <cellStyle name="_죽림1교-상부_구조물주요자재(3공구)_x주요자재집계표" xfId="936" xr:uid="{00000000-0005-0000-0000-0000A7030000}"/>
    <cellStyle name="_죽림1교-상부_구조물주요자재(3공구)_x주요자재집계표_01-광석교-총괄수량집계표" xfId="937" xr:uid="{00000000-0005-0000-0000-0000A8030000}"/>
    <cellStyle name="_죽림1교-상부_구조물주요자재(3공구)_x주요자재집계표_01-정선제3교-총괄수량집계표" xfId="938" xr:uid="{00000000-0005-0000-0000-0000A9030000}"/>
    <cellStyle name="_죽림1교-상부_구조물주요자재(3공구)_주요자재집계표" xfId="939" xr:uid="{00000000-0005-0000-0000-0000AA030000}"/>
    <cellStyle name="_죽림1교-상부_구조물주요자재(3공구)_주요자재집계표_01-광석교-총괄수량집계표" xfId="940" xr:uid="{00000000-0005-0000-0000-0000AB030000}"/>
    <cellStyle name="_죽림1교-상부_구조물주요자재(3공구)_주요자재집계표_01-정선제3교-총괄수량집계표" xfId="941" xr:uid="{00000000-0005-0000-0000-0000AC030000}"/>
    <cellStyle name="_죽림1교-상부_주요자재집계표" xfId="942" xr:uid="{00000000-0005-0000-0000-0000AD030000}"/>
    <cellStyle name="_죽림1교-상부_주요자재집계표_01-광석교-총괄수량집계표" xfId="943" xr:uid="{00000000-0005-0000-0000-0000AE030000}"/>
    <cellStyle name="_죽림1교-상부_주요자재집계표_01-정선제3교-총괄수량집계표" xfId="944" xr:uid="{00000000-0005-0000-0000-0000AF030000}"/>
    <cellStyle name="_죽림2교-상부" xfId="945" xr:uid="{00000000-0005-0000-0000-0000B0030000}"/>
    <cellStyle name="_죽림2교-상부_01-광석교-총괄수량집계표" xfId="946" xr:uid="{00000000-0005-0000-0000-0000B1030000}"/>
    <cellStyle name="_죽림2교-상부_01-정선제3교-총괄수량집계표" xfId="947" xr:uid="{00000000-0005-0000-0000-0000B2030000}"/>
    <cellStyle name="_죽림2교-상부_1.광하1교-주요자재집계표" xfId="948" xr:uid="{00000000-0005-0000-0000-0000B3030000}"/>
    <cellStyle name="_죽림2교-상부_1.광하1교-주요자재집계표_01-광석교-총괄수량집계표" xfId="949" xr:uid="{00000000-0005-0000-0000-0000B4030000}"/>
    <cellStyle name="_죽림2교-상부_1.광하1교-주요자재집계표_01-정선제3교-총괄수량집계표" xfId="950" xr:uid="{00000000-0005-0000-0000-0000B5030000}"/>
    <cellStyle name="_죽림2교-상부_4.광석교-상부수량집계" xfId="951" xr:uid="{00000000-0005-0000-0000-0000B6030000}"/>
    <cellStyle name="_죽림2교-상부_4.광석교-상부수량집계_01-광석교-총괄수량집계표" xfId="952" xr:uid="{00000000-0005-0000-0000-0000B7030000}"/>
    <cellStyle name="_죽림2교-상부_4.광석교-상부수량집계_01-정선제3교-총괄수량집계표" xfId="953" xr:uid="{00000000-0005-0000-0000-0000B8030000}"/>
    <cellStyle name="_죽림2교-상부_x주요자재집계표" xfId="954" xr:uid="{00000000-0005-0000-0000-0000B9030000}"/>
    <cellStyle name="_죽림2교-상부_x주요자재집계표_01-광석교-총괄수량집계표" xfId="955" xr:uid="{00000000-0005-0000-0000-0000BA030000}"/>
    <cellStyle name="_죽림2교-상부_x주요자재집계표_01-정선제3교-총괄수량집계표" xfId="956" xr:uid="{00000000-0005-0000-0000-0000BB030000}"/>
    <cellStyle name="_죽림2교-상부_구조물주요자재(3공구)" xfId="957" xr:uid="{00000000-0005-0000-0000-0000BC030000}"/>
    <cellStyle name="_죽림2교-상부_구조물주요자재(3공구)_01-광석교-총괄수량집계표" xfId="958" xr:uid="{00000000-0005-0000-0000-0000BD030000}"/>
    <cellStyle name="_죽림2교-상부_구조물주요자재(3공구)_01-정선제3교-총괄수량집계표" xfId="959" xr:uid="{00000000-0005-0000-0000-0000BE030000}"/>
    <cellStyle name="_죽림2교-상부_구조물주요자재(3공구)_1.광하1교-주요자재집계표" xfId="960" xr:uid="{00000000-0005-0000-0000-0000BF030000}"/>
    <cellStyle name="_죽림2교-상부_구조물주요자재(3공구)_1.광하1교-주요자재집계표_01-광석교-총괄수량집계표" xfId="961" xr:uid="{00000000-0005-0000-0000-0000C0030000}"/>
    <cellStyle name="_죽림2교-상부_구조물주요자재(3공구)_1.광하1교-주요자재집계표_01-정선제3교-총괄수량집계표" xfId="962" xr:uid="{00000000-0005-0000-0000-0000C1030000}"/>
    <cellStyle name="_죽림2교-상부_구조물주요자재(3공구)_4.광석교-상부수량집계" xfId="963" xr:uid="{00000000-0005-0000-0000-0000C2030000}"/>
    <cellStyle name="_죽림2교-상부_구조물주요자재(3공구)_4.광석교-상부수량집계_01-광석교-총괄수량집계표" xfId="964" xr:uid="{00000000-0005-0000-0000-0000C3030000}"/>
    <cellStyle name="_죽림2교-상부_구조물주요자재(3공구)_4.광석교-상부수량집계_01-정선제3교-총괄수량집계표" xfId="965" xr:uid="{00000000-0005-0000-0000-0000C4030000}"/>
    <cellStyle name="_죽림2교-상부_구조물주요자재(3공구)_x주요자재집계표" xfId="966" xr:uid="{00000000-0005-0000-0000-0000C5030000}"/>
    <cellStyle name="_죽림2교-상부_구조물주요자재(3공구)_x주요자재집계표_01-광석교-총괄수량집계표" xfId="967" xr:uid="{00000000-0005-0000-0000-0000C6030000}"/>
    <cellStyle name="_죽림2교-상부_구조물주요자재(3공구)_x주요자재집계표_01-정선제3교-총괄수량집계표" xfId="968" xr:uid="{00000000-0005-0000-0000-0000C7030000}"/>
    <cellStyle name="_죽림2교-상부_구조물주요자재(3공구)_주요자재집계표" xfId="969" xr:uid="{00000000-0005-0000-0000-0000C8030000}"/>
    <cellStyle name="_죽림2교-상부_구조물주요자재(3공구)_주요자재집계표_01-광석교-총괄수량집계표" xfId="970" xr:uid="{00000000-0005-0000-0000-0000C9030000}"/>
    <cellStyle name="_죽림2교-상부_구조물주요자재(3공구)_주요자재집계표_01-정선제3교-총괄수량집계표" xfId="971" xr:uid="{00000000-0005-0000-0000-0000CA030000}"/>
    <cellStyle name="_죽림2교-상부_주요자재집계표" xfId="972" xr:uid="{00000000-0005-0000-0000-0000CB030000}"/>
    <cellStyle name="_죽림2교-상부_주요자재집계표_01-광석교-총괄수량집계표" xfId="973" xr:uid="{00000000-0005-0000-0000-0000CC030000}"/>
    <cellStyle name="_죽림2교-상부_주요자재집계표_01-정선제3교-총괄수량집계표" xfId="974" xr:uid="{00000000-0005-0000-0000-0000CD030000}"/>
    <cellStyle name="_죽림2교-상부_죽림1교-상부" xfId="975" xr:uid="{00000000-0005-0000-0000-0000CE030000}"/>
    <cellStyle name="_죽림2교-상부_죽림1교-상부_01-광석교-총괄수량집계표" xfId="976" xr:uid="{00000000-0005-0000-0000-0000CF030000}"/>
    <cellStyle name="_죽림2교-상부_죽림1교-상부_01-정선제3교-총괄수량집계표" xfId="977" xr:uid="{00000000-0005-0000-0000-0000D0030000}"/>
    <cellStyle name="_죽림2교-상부_죽림1교-상부_1.광하1교-주요자재집계표" xfId="978" xr:uid="{00000000-0005-0000-0000-0000D1030000}"/>
    <cellStyle name="_죽림2교-상부_죽림1교-상부_1.광하1교-주요자재집계표_01-광석교-총괄수량집계표" xfId="979" xr:uid="{00000000-0005-0000-0000-0000D2030000}"/>
    <cellStyle name="_죽림2교-상부_죽림1교-상부_1.광하1교-주요자재집계표_01-정선제3교-총괄수량집계표" xfId="980" xr:uid="{00000000-0005-0000-0000-0000D3030000}"/>
    <cellStyle name="_죽림2교-상부_죽림1교-상부_4.광석교-상부수량집계" xfId="981" xr:uid="{00000000-0005-0000-0000-0000D4030000}"/>
    <cellStyle name="_죽림2교-상부_죽림1교-상부_4.광석교-상부수량집계_01-광석교-총괄수량집계표" xfId="982" xr:uid="{00000000-0005-0000-0000-0000D5030000}"/>
    <cellStyle name="_죽림2교-상부_죽림1교-상부_4.광석교-상부수량집계_01-정선제3교-총괄수량집계표" xfId="983" xr:uid="{00000000-0005-0000-0000-0000D6030000}"/>
    <cellStyle name="_죽림2교-상부_죽림1교-상부_x주요자재집계표" xfId="984" xr:uid="{00000000-0005-0000-0000-0000D7030000}"/>
    <cellStyle name="_죽림2교-상부_죽림1교-상부_x주요자재집계표_01-광석교-총괄수량집계표" xfId="985" xr:uid="{00000000-0005-0000-0000-0000D8030000}"/>
    <cellStyle name="_죽림2교-상부_죽림1교-상부_x주요자재집계표_01-정선제3교-총괄수량집계표" xfId="986" xr:uid="{00000000-0005-0000-0000-0000D9030000}"/>
    <cellStyle name="_죽림2교-상부_죽림1교-상부_구조물주요자재(3공구)" xfId="987" xr:uid="{00000000-0005-0000-0000-0000DA030000}"/>
    <cellStyle name="_죽림2교-상부_죽림1교-상부_구조물주요자재(3공구)_01-광석교-총괄수량집계표" xfId="988" xr:uid="{00000000-0005-0000-0000-0000DB030000}"/>
    <cellStyle name="_죽림2교-상부_죽림1교-상부_구조물주요자재(3공구)_01-정선제3교-총괄수량집계표" xfId="989" xr:uid="{00000000-0005-0000-0000-0000DC030000}"/>
    <cellStyle name="_죽림2교-상부_죽림1교-상부_구조물주요자재(3공구)_1.광하1교-주요자재집계표" xfId="990" xr:uid="{00000000-0005-0000-0000-0000DD030000}"/>
    <cellStyle name="_죽림2교-상부_죽림1교-상부_구조물주요자재(3공구)_1.광하1교-주요자재집계표_01-광석교-총괄수량집계표" xfId="991" xr:uid="{00000000-0005-0000-0000-0000DE030000}"/>
    <cellStyle name="_죽림2교-상부_죽림1교-상부_구조물주요자재(3공구)_1.광하1교-주요자재집계표_01-정선제3교-총괄수량집계표" xfId="992" xr:uid="{00000000-0005-0000-0000-0000DF030000}"/>
    <cellStyle name="_죽림2교-상부_죽림1교-상부_구조물주요자재(3공구)_4.광석교-상부수량집계" xfId="993" xr:uid="{00000000-0005-0000-0000-0000E0030000}"/>
    <cellStyle name="_죽림2교-상부_죽림1교-상부_구조물주요자재(3공구)_4.광석교-상부수량집계_01-광석교-총괄수량집계표" xfId="994" xr:uid="{00000000-0005-0000-0000-0000E1030000}"/>
    <cellStyle name="_죽림2교-상부_죽림1교-상부_구조물주요자재(3공구)_4.광석교-상부수량집계_01-정선제3교-총괄수량집계표" xfId="995" xr:uid="{00000000-0005-0000-0000-0000E2030000}"/>
    <cellStyle name="_죽림2교-상부_죽림1교-상부_구조물주요자재(3공구)_x주요자재집계표" xfId="996" xr:uid="{00000000-0005-0000-0000-0000E3030000}"/>
    <cellStyle name="_죽림2교-상부_죽림1교-상부_구조물주요자재(3공구)_x주요자재집계표_01-광석교-총괄수량집계표" xfId="997" xr:uid="{00000000-0005-0000-0000-0000E4030000}"/>
    <cellStyle name="_죽림2교-상부_죽림1교-상부_구조물주요자재(3공구)_x주요자재집계표_01-정선제3교-총괄수량집계표" xfId="998" xr:uid="{00000000-0005-0000-0000-0000E5030000}"/>
    <cellStyle name="_죽림2교-상부_죽림1교-상부_구조물주요자재(3공구)_주요자재집계표" xfId="999" xr:uid="{00000000-0005-0000-0000-0000E6030000}"/>
    <cellStyle name="_죽림2교-상부_죽림1교-상부_구조물주요자재(3공구)_주요자재집계표_01-광석교-총괄수량집계표" xfId="1000" xr:uid="{00000000-0005-0000-0000-0000E7030000}"/>
    <cellStyle name="_죽림2교-상부_죽림1교-상부_구조물주요자재(3공구)_주요자재집계표_01-정선제3교-총괄수량집계표" xfId="1001" xr:uid="{00000000-0005-0000-0000-0000E8030000}"/>
    <cellStyle name="_죽림2교-상부_죽림1교-상부_주요자재집계표" xfId="1002" xr:uid="{00000000-0005-0000-0000-0000E9030000}"/>
    <cellStyle name="_죽림2교-상부_죽림1교-상부_주요자재집계표_01-광석교-총괄수량집계표" xfId="1003" xr:uid="{00000000-0005-0000-0000-0000EA030000}"/>
    <cellStyle name="_죽림2교-상부_죽림1교-상부_주요자재집계표_01-정선제3교-총괄수량집계표" xfId="1004" xr:uid="{00000000-0005-0000-0000-0000EB030000}"/>
    <cellStyle name="_죽림2교-상부-1" xfId="1005" xr:uid="{00000000-0005-0000-0000-0000EC030000}"/>
    <cellStyle name="_죽림2교-상부-1_01-광석교-총괄수량집계표" xfId="1006" xr:uid="{00000000-0005-0000-0000-0000ED030000}"/>
    <cellStyle name="_죽림2교-상부-1_01-정선제3교-총괄수량집계표" xfId="1007" xr:uid="{00000000-0005-0000-0000-0000EE030000}"/>
    <cellStyle name="_죽림2교-상부-1_1.광하1교-주요자재집계표" xfId="1008" xr:uid="{00000000-0005-0000-0000-0000EF030000}"/>
    <cellStyle name="_죽림2교-상부-1_1.광하1교-주요자재집계표_01-광석교-총괄수량집계표" xfId="1009" xr:uid="{00000000-0005-0000-0000-0000F0030000}"/>
    <cellStyle name="_죽림2교-상부-1_1.광하1교-주요자재집계표_01-정선제3교-총괄수량집계표" xfId="1010" xr:uid="{00000000-0005-0000-0000-0000F1030000}"/>
    <cellStyle name="_죽림2교-상부-1_4.광석교-상부수량집계" xfId="1011" xr:uid="{00000000-0005-0000-0000-0000F2030000}"/>
    <cellStyle name="_죽림2교-상부-1_4.광석교-상부수량집계_01-광석교-총괄수량집계표" xfId="1012" xr:uid="{00000000-0005-0000-0000-0000F3030000}"/>
    <cellStyle name="_죽림2교-상부-1_4.광석교-상부수량집계_01-정선제3교-총괄수량집계표" xfId="1013" xr:uid="{00000000-0005-0000-0000-0000F4030000}"/>
    <cellStyle name="_죽림2교-상부-1_x주요자재집계표" xfId="1014" xr:uid="{00000000-0005-0000-0000-0000F5030000}"/>
    <cellStyle name="_죽림2교-상부-1_x주요자재집계표_01-광석교-총괄수량집계표" xfId="1015" xr:uid="{00000000-0005-0000-0000-0000F6030000}"/>
    <cellStyle name="_죽림2교-상부-1_x주요자재집계표_01-정선제3교-총괄수량집계표" xfId="1016" xr:uid="{00000000-0005-0000-0000-0000F7030000}"/>
    <cellStyle name="_죽림2교-상부-1_구조물주요자재(3공구)" xfId="1017" xr:uid="{00000000-0005-0000-0000-0000F8030000}"/>
    <cellStyle name="_죽림2교-상부-1_구조물주요자재(3공구)_01-광석교-총괄수량집계표" xfId="1018" xr:uid="{00000000-0005-0000-0000-0000F9030000}"/>
    <cellStyle name="_죽림2교-상부-1_구조물주요자재(3공구)_01-정선제3교-총괄수량집계표" xfId="1019" xr:uid="{00000000-0005-0000-0000-0000FA030000}"/>
    <cellStyle name="_죽림2교-상부-1_구조물주요자재(3공구)_1.광하1교-주요자재집계표" xfId="1020" xr:uid="{00000000-0005-0000-0000-0000FB030000}"/>
    <cellStyle name="_죽림2교-상부-1_구조물주요자재(3공구)_1.광하1교-주요자재집계표_01-광석교-총괄수량집계표" xfId="1021" xr:uid="{00000000-0005-0000-0000-0000FC030000}"/>
    <cellStyle name="_죽림2교-상부-1_구조물주요자재(3공구)_1.광하1교-주요자재집계표_01-정선제3교-총괄수량집계표" xfId="1022" xr:uid="{00000000-0005-0000-0000-0000FD030000}"/>
    <cellStyle name="_죽림2교-상부-1_구조물주요자재(3공구)_4.광석교-상부수량집계" xfId="1023" xr:uid="{00000000-0005-0000-0000-0000FE030000}"/>
    <cellStyle name="_죽림2교-상부-1_구조물주요자재(3공구)_4.광석교-상부수량집계_01-광석교-총괄수량집계표" xfId="1024" xr:uid="{00000000-0005-0000-0000-0000FF030000}"/>
    <cellStyle name="_죽림2교-상부-1_구조물주요자재(3공구)_4.광석교-상부수량집계_01-정선제3교-총괄수량집계표" xfId="1025" xr:uid="{00000000-0005-0000-0000-000000040000}"/>
    <cellStyle name="_죽림2교-상부-1_구조물주요자재(3공구)_x주요자재집계표" xfId="1026" xr:uid="{00000000-0005-0000-0000-000001040000}"/>
    <cellStyle name="_죽림2교-상부-1_구조물주요자재(3공구)_x주요자재집계표_01-광석교-총괄수량집계표" xfId="1027" xr:uid="{00000000-0005-0000-0000-000002040000}"/>
    <cellStyle name="_죽림2교-상부-1_구조물주요자재(3공구)_x주요자재집계표_01-정선제3교-총괄수량집계표" xfId="1028" xr:uid="{00000000-0005-0000-0000-000003040000}"/>
    <cellStyle name="_죽림2교-상부-1_구조물주요자재(3공구)_주요자재집계표" xfId="1029" xr:uid="{00000000-0005-0000-0000-000004040000}"/>
    <cellStyle name="_죽림2교-상부-1_구조물주요자재(3공구)_주요자재집계표_01-광석교-총괄수량집계표" xfId="1030" xr:uid="{00000000-0005-0000-0000-000005040000}"/>
    <cellStyle name="_죽림2교-상부-1_구조물주요자재(3공구)_주요자재집계표_01-정선제3교-총괄수량집계표" xfId="1031" xr:uid="{00000000-0005-0000-0000-000006040000}"/>
    <cellStyle name="_죽림2교-상부-1_주요자재집계표" xfId="1032" xr:uid="{00000000-0005-0000-0000-000007040000}"/>
    <cellStyle name="_죽림2교-상부-1_주요자재집계표_01-광석교-총괄수량집계표" xfId="1033" xr:uid="{00000000-0005-0000-0000-000008040000}"/>
    <cellStyle name="_죽림2교-상부-1_주요자재집계표_01-정선제3교-총괄수량집계표" xfId="1034" xr:uid="{00000000-0005-0000-0000-000009040000}"/>
    <cellStyle name="_죽림2교-상부-1_죽림1교-상부" xfId="1035" xr:uid="{00000000-0005-0000-0000-00000A040000}"/>
    <cellStyle name="_죽림2교-상부-1_죽림1교-상부_01-광석교-총괄수량집계표" xfId="1036" xr:uid="{00000000-0005-0000-0000-00000B040000}"/>
    <cellStyle name="_죽림2교-상부-1_죽림1교-상부_01-정선제3교-총괄수량집계표" xfId="1037" xr:uid="{00000000-0005-0000-0000-00000C040000}"/>
    <cellStyle name="_죽림2교-상부-1_죽림1교-상부_1.광하1교-주요자재집계표" xfId="1038" xr:uid="{00000000-0005-0000-0000-00000D040000}"/>
    <cellStyle name="_죽림2교-상부-1_죽림1교-상부_1.광하1교-주요자재집계표_01-광석교-총괄수량집계표" xfId="1039" xr:uid="{00000000-0005-0000-0000-00000E040000}"/>
    <cellStyle name="_죽림2교-상부-1_죽림1교-상부_1.광하1교-주요자재집계표_01-정선제3교-총괄수량집계표" xfId="1040" xr:uid="{00000000-0005-0000-0000-00000F040000}"/>
    <cellStyle name="_죽림2교-상부-1_죽림1교-상부_4.광석교-상부수량집계" xfId="1041" xr:uid="{00000000-0005-0000-0000-000010040000}"/>
    <cellStyle name="_죽림2교-상부-1_죽림1교-상부_4.광석교-상부수량집계_01-광석교-총괄수량집계표" xfId="1042" xr:uid="{00000000-0005-0000-0000-000011040000}"/>
    <cellStyle name="_죽림2교-상부-1_죽림1교-상부_4.광석교-상부수량집계_01-정선제3교-총괄수량집계표" xfId="1043" xr:uid="{00000000-0005-0000-0000-000012040000}"/>
    <cellStyle name="_죽림2교-상부-1_죽림1교-상부_x주요자재집계표" xfId="1044" xr:uid="{00000000-0005-0000-0000-000013040000}"/>
    <cellStyle name="_죽림2교-상부-1_죽림1교-상부_x주요자재집계표_01-광석교-총괄수량집계표" xfId="1045" xr:uid="{00000000-0005-0000-0000-000014040000}"/>
    <cellStyle name="_죽림2교-상부-1_죽림1교-상부_x주요자재집계표_01-정선제3교-총괄수량집계표" xfId="1046" xr:uid="{00000000-0005-0000-0000-000015040000}"/>
    <cellStyle name="_죽림2교-상부-1_죽림1교-상부_구조물주요자재(3공구)" xfId="1047" xr:uid="{00000000-0005-0000-0000-000016040000}"/>
    <cellStyle name="_죽림2교-상부-1_죽림1교-상부_구조물주요자재(3공구)_01-광석교-총괄수량집계표" xfId="1048" xr:uid="{00000000-0005-0000-0000-000017040000}"/>
    <cellStyle name="_죽림2교-상부-1_죽림1교-상부_구조물주요자재(3공구)_01-정선제3교-총괄수량집계표" xfId="1049" xr:uid="{00000000-0005-0000-0000-000018040000}"/>
    <cellStyle name="_죽림2교-상부-1_죽림1교-상부_구조물주요자재(3공구)_1.광하1교-주요자재집계표" xfId="1050" xr:uid="{00000000-0005-0000-0000-000019040000}"/>
    <cellStyle name="_죽림2교-상부-1_죽림1교-상부_구조물주요자재(3공구)_1.광하1교-주요자재집계표_01-광석교-총괄수량집계표" xfId="1051" xr:uid="{00000000-0005-0000-0000-00001A040000}"/>
    <cellStyle name="_죽림2교-상부-1_죽림1교-상부_구조물주요자재(3공구)_1.광하1교-주요자재집계표_01-정선제3교-총괄수량집계표" xfId="1052" xr:uid="{00000000-0005-0000-0000-00001B040000}"/>
    <cellStyle name="_죽림2교-상부-1_죽림1교-상부_구조물주요자재(3공구)_4.광석교-상부수량집계" xfId="1053" xr:uid="{00000000-0005-0000-0000-00001C040000}"/>
    <cellStyle name="_죽림2교-상부-1_죽림1교-상부_구조물주요자재(3공구)_4.광석교-상부수량집계_01-광석교-총괄수량집계표" xfId="1054" xr:uid="{00000000-0005-0000-0000-00001D040000}"/>
    <cellStyle name="_죽림2교-상부-1_죽림1교-상부_구조물주요자재(3공구)_4.광석교-상부수량집계_01-정선제3교-총괄수량집계표" xfId="1055" xr:uid="{00000000-0005-0000-0000-00001E040000}"/>
    <cellStyle name="_죽림2교-상부-1_죽림1교-상부_구조물주요자재(3공구)_x주요자재집계표" xfId="1056" xr:uid="{00000000-0005-0000-0000-00001F040000}"/>
    <cellStyle name="_죽림2교-상부-1_죽림1교-상부_구조물주요자재(3공구)_x주요자재집계표_01-광석교-총괄수량집계표" xfId="1057" xr:uid="{00000000-0005-0000-0000-000020040000}"/>
    <cellStyle name="_죽림2교-상부-1_죽림1교-상부_구조물주요자재(3공구)_x주요자재집계표_01-정선제3교-총괄수량집계표" xfId="1058" xr:uid="{00000000-0005-0000-0000-000021040000}"/>
    <cellStyle name="_죽림2교-상부-1_죽림1교-상부_구조물주요자재(3공구)_주요자재집계표" xfId="1059" xr:uid="{00000000-0005-0000-0000-000022040000}"/>
    <cellStyle name="_죽림2교-상부-1_죽림1교-상부_구조물주요자재(3공구)_주요자재집계표_01-광석교-총괄수량집계표" xfId="1060" xr:uid="{00000000-0005-0000-0000-000023040000}"/>
    <cellStyle name="_죽림2교-상부-1_죽림1교-상부_구조물주요자재(3공구)_주요자재집계표_01-정선제3교-총괄수량집계표" xfId="1061" xr:uid="{00000000-0005-0000-0000-000024040000}"/>
    <cellStyle name="_죽림2교-상부-1_죽림1교-상부_주요자재집계표" xfId="1062" xr:uid="{00000000-0005-0000-0000-000025040000}"/>
    <cellStyle name="_죽림2교-상부-1_죽림1교-상부_주요자재집계표_01-광석교-총괄수량집계표" xfId="1063" xr:uid="{00000000-0005-0000-0000-000026040000}"/>
    <cellStyle name="_죽림2교-상부-1_죽림1교-상부_주요자재집계표_01-정선제3교-총괄수량집계표" xfId="1064" xr:uid="{00000000-0005-0000-0000-000027040000}"/>
    <cellStyle name="_지정과제1분기실적(확정990408)" xfId="1065" xr:uid="{00000000-0005-0000-0000-000028040000}"/>
    <cellStyle name="_지정과제1분기실적(확정990408)_1" xfId="1066" xr:uid="{00000000-0005-0000-0000-000029040000}"/>
    <cellStyle name="_지정과제2차심의list" xfId="1067" xr:uid="{00000000-0005-0000-0000-00002A040000}"/>
    <cellStyle name="_지정과제2차심의list_1" xfId="1068" xr:uid="{00000000-0005-0000-0000-00002B040000}"/>
    <cellStyle name="_지정과제2차심의list_2" xfId="1069" xr:uid="{00000000-0005-0000-0000-00002C040000}"/>
    <cellStyle name="_지정과제2차심의결과" xfId="1070" xr:uid="{00000000-0005-0000-0000-00002D040000}"/>
    <cellStyle name="_지정과제2차심의결과(금액조정후최종)" xfId="1071" xr:uid="{00000000-0005-0000-0000-00002E040000}"/>
    <cellStyle name="_지정과제2차심의결과(금액조정후최종)_1" xfId="1072" xr:uid="{00000000-0005-0000-0000-00002F040000}"/>
    <cellStyle name="_지정과제2차심의결과(금액조정후최종)_1_dimon" xfId="1073" xr:uid="{00000000-0005-0000-0000-000030040000}"/>
    <cellStyle name="_지정과제2차심의결과(금액조정후최종)_1_경영개선실적보고(전주공장)" xfId="1074" xr:uid="{00000000-0005-0000-0000-000031040000}"/>
    <cellStyle name="_지정과제2차심의결과(금액조정후최종)_1_별첨1_2" xfId="1075" xr:uid="{00000000-0005-0000-0000-000032040000}"/>
    <cellStyle name="_지정과제2차심의결과(금액조정후최종)_1_제안과제집계표(공장전체)" xfId="1076" xr:uid="{00000000-0005-0000-0000-000033040000}"/>
    <cellStyle name="_지정과제2차심의결과(금액조정후최종)_dimon" xfId="1077" xr:uid="{00000000-0005-0000-0000-000034040000}"/>
    <cellStyle name="_지정과제2차심의결과(금액조정후최종)_경영개선실적보고(전주공장)" xfId="1078" xr:uid="{00000000-0005-0000-0000-000035040000}"/>
    <cellStyle name="_지정과제2차심의결과(금액조정후최종)_별첨1_2" xfId="1079" xr:uid="{00000000-0005-0000-0000-000036040000}"/>
    <cellStyle name="_지정과제2차심의결과(금액조정후최종)_제안과제집계표(공장전체)" xfId="1080" xr:uid="{00000000-0005-0000-0000-000037040000}"/>
    <cellStyle name="_지정과제2차심의결과_1" xfId="1081" xr:uid="{00000000-0005-0000-0000-000038040000}"/>
    <cellStyle name="_집중관리(981231)" xfId="1082" xr:uid="{00000000-0005-0000-0000-000039040000}"/>
    <cellStyle name="_집중관리(981231)_1" xfId="1083" xr:uid="{00000000-0005-0000-0000-00003A040000}"/>
    <cellStyle name="_집중관리(지정과제및 양식)" xfId="1084" xr:uid="{00000000-0005-0000-0000-00003B040000}"/>
    <cellStyle name="_집중관리(지정과제및 양식)_1" xfId="1085" xr:uid="{00000000-0005-0000-0000-00003C040000}"/>
    <cellStyle name="_초당3교토공" xfId="1086" xr:uid="{00000000-0005-0000-0000-00003D040000}"/>
    <cellStyle name="_초당5교토공1" xfId="1087" xr:uid="{00000000-0005-0000-0000-00003E040000}"/>
    <cellStyle name="_측구,집수정,U형측구깨기" xfId="1088" xr:uid="{00000000-0005-0000-0000-00003F040000}"/>
    <cellStyle name="_큰골교수량" xfId="1089" xr:uid="{00000000-0005-0000-0000-000040040000}"/>
    <cellStyle name="_특정가설물" xfId="1090" xr:uid="{00000000-0005-0000-0000-000041040000}"/>
    <cellStyle name="_평천교" xfId="1091" xr:uid="{00000000-0005-0000-0000-000042040000}"/>
    <cellStyle name="_평천교_내역서(10.5MX92M)" xfId="1092" xr:uid="{00000000-0005-0000-0000-000043040000}"/>
    <cellStyle name="_평천교_내역서(10.5MX92M)-T4천공" xfId="1093" xr:uid="{00000000-0005-0000-0000-000044040000}"/>
    <cellStyle name="_평천교_내역서(6MX21M)" xfId="1094" xr:uid="{00000000-0005-0000-0000-000045040000}"/>
    <cellStyle name="_평천교_내역서(최종)" xfId="1095" xr:uid="{00000000-0005-0000-0000-000046040000}"/>
    <cellStyle name="_평천교_내역서(최종)-수정중" xfId="1096" xr:uid="{00000000-0005-0000-0000-000047040000}"/>
    <cellStyle name="_평천교_암거" xfId="1097" xr:uid="{00000000-0005-0000-0000-000048040000}"/>
    <cellStyle name="_평천교_암거_내역서(10.5MX92M)" xfId="1098" xr:uid="{00000000-0005-0000-0000-000049040000}"/>
    <cellStyle name="_평천교_암거_내역서(10.5MX92M)-T4천공" xfId="1099" xr:uid="{00000000-0005-0000-0000-00004A040000}"/>
    <cellStyle name="_평천교_암거_내역서(6MX21M)" xfId="1100" xr:uid="{00000000-0005-0000-0000-00004B040000}"/>
    <cellStyle name="_평천교_암거_내역서(최종)" xfId="1101" xr:uid="{00000000-0005-0000-0000-00004C040000}"/>
    <cellStyle name="_평천교_암거_내역서(최종)-수정중" xfId="1102" xr:uid="{00000000-0005-0000-0000-00004D040000}"/>
    <cellStyle name="_평천교_암거01" xfId="1103" xr:uid="{00000000-0005-0000-0000-00004E040000}"/>
    <cellStyle name="_평천교_암거01_내역서(10.5MX92M)" xfId="1104" xr:uid="{00000000-0005-0000-0000-00004F040000}"/>
    <cellStyle name="_평천교_암거01_내역서(10.5MX92M)-T4천공" xfId="1105" xr:uid="{00000000-0005-0000-0000-000050040000}"/>
    <cellStyle name="_평천교_암거01_내역서(6MX21M)" xfId="1106" xr:uid="{00000000-0005-0000-0000-000051040000}"/>
    <cellStyle name="_평천교_암거01_내역서(최종)" xfId="1107" xr:uid="{00000000-0005-0000-0000-000052040000}"/>
    <cellStyle name="_평천교_암거01_내역서(최종)-수정중" xfId="1108" xr:uid="{00000000-0005-0000-0000-000053040000}"/>
    <cellStyle name="_평촌교수량" xfId="1109" xr:uid="{00000000-0005-0000-0000-000054040000}"/>
    <cellStyle name="_평촌교수량_내역서(10.5MX92M)" xfId="1110" xr:uid="{00000000-0005-0000-0000-000055040000}"/>
    <cellStyle name="_평촌교수량_내역서(10.5MX92M)-T4천공" xfId="1111" xr:uid="{00000000-0005-0000-0000-000056040000}"/>
    <cellStyle name="_평촌교수량_내역서(6MX21M)" xfId="1112" xr:uid="{00000000-0005-0000-0000-000057040000}"/>
    <cellStyle name="_평촌교수량_내역서(최종)" xfId="1113" xr:uid="{00000000-0005-0000-0000-000058040000}"/>
    <cellStyle name="_평촌교수량_내역서(최종)-수정중" xfId="1114" xr:uid="{00000000-0005-0000-0000-000059040000}"/>
    <cellStyle name="_평촌교수량_암거" xfId="1115" xr:uid="{00000000-0005-0000-0000-00005A040000}"/>
    <cellStyle name="_평촌교수량_암거_내역서(10.5MX92M)" xfId="1116" xr:uid="{00000000-0005-0000-0000-00005B040000}"/>
    <cellStyle name="_평촌교수량_암거_내역서(10.5MX92M)-T4천공" xfId="1117" xr:uid="{00000000-0005-0000-0000-00005C040000}"/>
    <cellStyle name="_평촌교수량_암거_내역서(6MX21M)" xfId="1118" xr:uid="{00000000-0005-0000-0000-00005D040000}"/>
    <cellStyle name="_평촌교수량_암거_내역서(최종)" xfId="1119" xr:uid="{00000000-0005-0000-0000-00005E040000}"/>
    <cellStyle name="_평촌교수량_암거_내역서(최종)-수정중" xfId="1120" xr:uid="{00000000-0005-0000-0000-00005F040000}"/>
    <cellStyle name="_평촌교수량_암거01" xfId="1121" xr:uid="{00000000-0005-0000-0000-000060040000}"/>
    <cellStyle name="_평촌교수량_암거01_내역서(10.5MX92M)" xfId="1122" xr:uid="{00000000-0005-0000-0000-000061040000}"/>
    <cellStyle name="_평촌교수량_암거01_내역서(10.5MX92M)-T4천공" xfId="1123" xr:uid="{00000000-0005-0000-0000-000062040000}"/>
    <cellStyle name="_평촌교수량_암거01_내역서(6MX21M)" xfId="1124" xr:uid="{00000000-0005-0000-0000-000063040000}"/>
    <cellStyle name="_평촌교수량_암거01_내역서(최종)" xfId="1125" xr:uid="{00000000-0005-0000-0000-000064040000}"/>
    <cellStyle name="_평촌교수량_암거01_내역서(최종)-수정중" xfId="1126" xr:uid="{00000000-0005-0000-0000-000065040000}"/>
    <cellStyle name="_포장공수량" xfId="1127" xr:uid="{00000000-0005-0000-0000-000066040000}"/>
    <cellStyle name="_표산1교상부" xfId="1128" xr:uid="{00000000-0005-0000-0000-000067040000}"/>
    <cellStyle name="_표산1교상부_88공통-A.XLS(05-1004가도분리-터널수정)" xfId="1129" xr:uid="{00000000-0005-0000-0000-000068040000}"/>
    <cellStyle name="_표산1교상부_88공통-A.XLS(05-1004가도분리-터널수정)_88공통-C-060424" xfId="1130" xr:uid="{00000000-0005-0000-0000-000069040000}"/>
    <cellStyle name="_표산1교상부_88공통-A.XLS(05-1004가도분리-터널수정)_88공통-C-060605" xfId="1131" xr:uid="{00000000-0005-0000-0000-00006A040000}"/>
    <cellStyle name="_표산1교상부_88공통-A.XLS(05-1004가도분리-터널수정)_PE드럼설치현황" xfId="1132" xr:uid="{00000000-0005-0000-0000-00006B040000}"/>
    <cellStyle name="_표산1교상부_88공통-B최종-터널급수추가" xfId="1133" xr:uid="{00000000-0005-0000-0000-00006C040000}"/>
    <cellStyle name="_표산1교상부_88공통-B최종-터널급수추가_88공통-C-060424" xfId="1134" xr:uid="{00000000-0005-0000-0000-00006D040000}"/>
    <cellStyle name="_표산1교상부_88공통-B최종-터널급수추가_88공통-C-060605" xfId="1135" xr:uid="{00000000-0005-0000-0000-00006E040000}"/>
    <cellStyle name="_표산1교상부_88공통-B최종-터널급수추가_PE드럼설치현황" xfId="1136" xr:uid="{00000000-0005-0000-0000-00006F040000}"/>
    <cellStyle name="_표산1교상부_B-품질관리비" xfId="1137" xr:uid="{00000000-0005-0000-0000-000070040000}"/>
    <cellStyle name="_표산1교상부_기존도로유지보수" xfId="1138" xr:uid="{00000000-0005-0000-0000-000071040000}"/>
    <cellStyle name="_표산1교상부_기존도로유지보수_침사지(8공구)" xfId="1139" xr:uid="{00000000-0005-0000-0000-000072040000}"/>
    <cellStyle name="_표산1교상부_진입도로 8공구" xfId="1140" xr:uid="{00000000-0005-0000-0000-000073040000}"/>
    <cellStyle name="_표산1교상부_춘천양양공통-A-경동" xfId="1141" xr:uid="{00000000-0005-0000-0000-000074040000}"/>
    <cellStyle name="_표산2교상부" xfId="1142" xr:uid="{00000000-0005-0000-0000-000075040000}"/>
    <cellStyle name="_표산2교상부_88공통-A.XLS(05-1004가도분리-터널수정)" xfId="1143" xr:uid="{00000000-0005-0000-0000-000076040000}"/>
    <cellStyle name="_표산2교상부_88공통-A.XLS(05-1004가도분리-터널수정)_88공통-C-060424" xfId="1144" xr:uid="{00000000-0005-0000-0000-000077040000}"/>
    <cellStyle name="_표산2교상부_88공통-A.XLS(05-1004가도분리-터널수정)_88공통-C-060605" xfId="1145" xr:uid="{00000000-0005-0000-0000-000078040000}"/>
    <cellStyle name="_표산2교상부_88공통-A.XLS(05-1004가도분리-터널수정)_PE드럼설치현황" xfId="1146" xr:uid="{00000000-0005-0000-0000-000079040000}"/>
    <cellStyle name="_표산2교상부_88공통-B최종-터널급수추가" xfId="1147" xr:uid="{00000000-0005-0000-0000-00007A040000}"/>
    <cellStyle name="_표산2교상부_88공통-B최종-터널급수추가_88공통-C-060424" xfId="1148" xr:uid="{00000000-0005-0000-0000-00007B040000}"/>
    <cellStyle name="_표산2교상부_88공통-B최종-터널급수추가_88공통-C-060605" xfId="1149" xr:uid="{00000000-0005-0000-0000-00007C040000}"/>
    <cellStyle name="_표산2교상부_88공통-B최종-터널급수추가_PE드럼설치현황" xfId="1150" xr:uid="{00000000-0005-0000-0000-00007D040000}"/>
    <cellStyle name="_표산2교상부_B-품질관리비" xfId="1151" xr:uid="{00000000-0005-0000-0000-00007E040000}"/>
    <cellStyle name="_표산2교상부_기존도로유지보수" xfId="1152" xr:uid="{00000000-0005-0000-0000-00007F040000}"/>
    <cellStyle name="_표산2교상부_기존도로유지보수_침사지(8공구)" xfId="1153" xr:uid="{00000000-0005-0000-0000-000080040000}"/>
    <cellStyle name="_표산2교상부_진입도로 8공구" xfId="1154" xr:uid="{00000000-0005-0000-0000-000081040000}"/>
    <cellStyle name="_표산2교상부_춘천양양공통-A-경동" xfId="1155" xr:uid="{00000000-0005-0000-0000-000082040000}"/>
    <cellStyle name="_표지판시설물 (version 1)" xfId="1156" xr:uid="{00000000-0005-0000-0000-000083040000}"/>
    <cellStyle name="_학산교철근집계표" xfId="1157" xr:uid="{00000000-0005-0000-0000-000084040000}"/>
    <cellStyle name="_호안블럭수량" xfId="1158" xr:uid="{00000000-0005-0000-0000-000085040000}"/>
    <cellStyle name="’E‰Y [0.00]_laroux" xfId="1159" xr:uid="{00000000-0005-0000-0000-000086040000}"/>
    <cellStyle name="’E‰Y_laroux" xfId="1160" xr:uid="{00000000-0005-0000-0000-000087040000}"/>
    <cellStyle name="¤@?e_TEST-1 " xfId="1161" xr:uid="{00000000-0005-0000-0000-000088040000}"/>
    <cellStyle name="+,-,0" xfId="1162" xr:uid="{00000000-0005-0000-0000-000089040000}"/>
    <cellStyle name="△ []" xfId="1163" xr:uid="{00000000-0005-0000-0000-00008A040000}"/>
    <cellStyle name="△ [0]" xfId="1164" xr:uid="{00000000-0005-0000-0000-00008B040000}"/>
    <cellStyle name="1" xfId="1165" xr:uid="{00000000-0005-0000-0000-00008C040000}"/>
    <cellStyle name="1_BOQ및토공" xfId="1166" xr:uid="{00000000-0005-0000-0000-00008D040000}"/>
    <cellStyle name="1_laroux" xfId="1167" xr:uid="{00000000-0005-0000-0000-00008E040000}"/>
    <cellStyle name="1_laroux_ATC-YOON1" xfId="1168" xr:uid="{00000000-0005-0000-0000-00008F040000}"/>
    <cellStyle name="1_단가조사표" xfId="1169" xr:uid="{00000000-0005-0000-0000-000090040000}"/>
    <cellStyle name="1_단가조사표_1011소각" xfId="1170" xr:uid="{00000000-0005-0000-0000-000091040000}"/>
    <cellStyle name="1_단가조사표_1113교~1" xfId="1171" xr:uid="{00000000-0005-0000-0000-000092040000}"/>
    <cellStyle name="1_단가조사표_121내역" xfId="1172" xr:uid="{00000000-0005-0000-0000-000093040000}"/>
    <cellStyle name="1_단가조사표_객토량" xfId="1173" xr:uid="{00000000-0005-0000-0000-000094040000}"/>
    <cellStyle name="1_단가조사표_교통센~1" xfId="1174" xr:uid="{00000000-0005-0000-0000-000095040000}"/>
    <cellStyle name="1_단가조사표_교통센터412" xfId="1175" xr:uid="{00000000-0005-0000-0000-000096040000}"/>
    <cellStyle name="1_단가조사표_교통수" xfId="1176" xr:uid="{00000000-0005-0000-0000-000097040000}"/>
    <cellStyle name="1_단가조사표_교통수량산출서" xfId="1177" xr:uid="{00000000-0005-0000-0000-000098040000}"/>
    <cellStyle name="1_단가조사표_구조물대가 (2)" xfId="1178" xr:uid="{00000000-0005-0000-0000-000099040000}"/>
    <cellStyle name="1_단가조사표_내역서 (2)" xfId="1179" xr:uid="{00000000-0005-0000-0000-00009A040000}"/>
    <cellStyle name="1_단가조사표_대전관저지구" xfId="1180" xr:uid="{00000000-0005-0000-0000-00009B040000}"/>
    <cellStyle name="1_단가조사표_동측지~1" xfId="1181" xr:uid="{00000000-0005-0000-0000-00009C040000}"/>
    <cellStyle name="1_단가조사표_동측지원422" xfId="1182" xr:uid="{00000000-0005-0000-0000-00009D040000}"/>
    <cellStyle name="1_단가조사표_동측지원512" xfId="1183" xr:uid="{00000000-0005-0000-0000-00009E040000}"/>
    <cellStyle name="1_단가조사표_동측지원524" xfId="1184" xr:uid="{00000000-0005-0000-0000-00009F040000}"/>
    <cellStyle name="1_단가조사표_부대422" xfId="1185" xr:uid="{00000000-0005-0000-0000-0000A0040000}"/>
    <cellStyle name="1_단가조사표_부대시설" xfId="1186" xr:uid="{00000000-0005-0000-0000-0000A1040000}"/>
    <cellStyle name="1_단가조사표_소각수~1" xfId="1187" xr:uid="{00000000-0005-0000-0000-0000A2040000}"/>
    <cellStyle name="1_단가조사표_소각수내역서" xfId="1188" xr:uid="{00000000-0005-0000-0000-0000A3040000}"/>
    <cellStyle name="1_단가조사표_소각수목2" xfId="1189" xr:uid="{00000000-0005-0000-0000-0000A4040000}"/>
    <cellStyle name="1_단가조사표_수량산출서 (2)" xfId="1190" xr:uid="{00000000-0005-0000-0000-0000A5040000}"/>
    <cellStyle name="1_단가조사표_엑스포~1" xfId="1191" xr:uid="{00000000-0005-0000-0000-0000A6040000}"/>
    <cellStyle name="1_단가조사표_엑스포한빛1" xfId="1192" xr:uid="{00000000-0005-0000-0000-0000A7040000}"/>
    <cellStyle name="1_단가조사표_여객터미널331" xfId="1193" xr:uid="{00000000-0005-0000-0000-0000A8040000}"/>
    <cellStyle name="1_단가조사표_여객터미널513" xfId="1194" xr:uid="{00000000-0005-0000-0000-0000A9040000}"/>
    <cellStyle name="1_단가조사표_여객터미널629" xfId="1195" xr:uid="{00000000-0005-0000-0000-0000AA040000}"/>
    <cellStyle name="1_단가조사표_외곽도로616" xfId="1196" xr:uid="{00000000-0005-0000-0000-0000AB040000}"/>
    <cellStyle name="1_단가조사표_용인죽전수량" xfId="1197" xr:uid="{00000000-0005-0000-0000-0000AC040000}"/>
    <cellStyle name="1_단가조사표_원가계~1" xfId="1198" xr:uid="{00000000-0005-0000-0000-0000AD040000}"/>
    <cellStyle name="1_단가조사표_유기질" xfId="1199" xr:uid="{00000000-0005-0000-0000-0000AE040000}"/>
    <cellStyle name="1_단가조사표_자재조서 (2)" xfId="1200" xr:uid="{00000000-0005-0000-0000-0000AF040000}"/>
    <cellStyle name="1_단가조사표_총괄내역" xfId="1201" xr:uid="{00000000-0005-0000-0000-0000B0040000}"/>
    <cellStyle name="1_단가조사표_총괄내역 (2)" xfId="1202" xr:uid="{00000000-0005-0000-0000-0000B1040000}"/>
    <cellStyle name="1_단가조사표_터미널도로403" xfId="1203" xr:uid="{00000000-0005-0000-0000-0000B2040000}"/>
    <cellStyle name="1_단가조사표_터미널도로429" xfId="1204" xr:uid="{00000000-0005-0000-0000-0000B3040000}"/>
    <cellStyle name="1_단가조사표_포장일위" xfId="1205" xr:uid="{00000000-0005-0000-0000-0000B4040000}"/>
    <cellStyle name="10공/㎥" xfId="1206" xr:uid="{00000000-0005-0000-0000-0000B5040000}"/>
    <cellStyle name="111" xfId="1207" xr:uid="{00000000-0005-0000-0000-0000B6040000}"/>
    <cellStyle name="2" xfId="1208" xr:uid="{00000000-0005-0000-0000-0000B7040000}"/>
    <cellStyle name="2)" xfId="1209" xr:uid="{00000000-0005-0000-0000-0000B8040000}"/>
    <cellStyle name="2_BOQ및토공" xfId="1210" xr:uid="{00000000-0005-0000-0000-0000B9040000}"/>
    <cellStyle name="2_laroux" xfId="1211" xr:uid="{00000000-0005-0000-0000-0000BA040000}"/>
    <cellStyle name="2_laroux_ATC-YOON1" xfId="1212" xr:uid="{00000000-0005-0000-0000-0000BB040000}"/>
    <cellStyle name="2_단가조사표" xfId="1213" xr:uid="{00000000-0005-0000-0000-0000BC040000}"/>
    <cellStyle name="2_단가조사표_1011소각" xfId="1214" xr:uid="{00000000-0005-0000-0000-0000BD040000}"/>
    <cellStyle name="2_단가조사표_1113교~1" xfId="1215" xr:uid="{00000000-0005-0000-0000-0000BE040000}"/>
    <cellStyle name="2_단가조사표_121내역" xfId="1216" xr:uid="{00000000-0005-0000-0000-0000BF040000}"/>
    <cellStyle name="2_단가조사표_객토량" xfId="1217" xr:uid="{00000000-0005-0000-0000-0000C0040000}"/>
    <cellStyle name="2_단가조사표_교통센~1" xfId="1218" xr:uid="{00000000-0005-0000-0000-0000C1040000}"/>
    <cellStyle name="2_단가조사표_교통센터412" xfId="1219" xr:uid="{00000000-0005-0000-0000-0000C2040000}"/>
    <cellStyle name="2_단가조사표_교통수" xfId="1220" xr:uid="{00000000-0005-0000-0000-0000C3040000}"/>
    <cellStyle name="2_단가조사표_교통수량산출서" xfId="1221" xr:uid="{00000000-0005-0000-0000-0000C4040000}"/>
    <cellStyle name="2_단가조사표_구조물대가 (2)" xfId="1222" xr:uid="{00000000-0005-0000-0000-0000C5040000}"/>
    <cellStyle name="2_단가조사표_내역서 (2)" xfId="1223" xr:uid="{00000000-0005-0000-0000-0000C6040000}"/>
    <cellStyle name="2_단가조사표_대전관저지구" xfId="1224" xr:uid="{00000000-0005-0000-0000-0000C7040000}"/>
    <cellStyle name="2_단가조사표_동측지~1" xfId="1225" xr:uid="{00000000-0005-0000-0000-0000C8040000}"/>
    <cellStyle name="2_단가조사표_동측지원422" xfId="1226" xr:uid="{00000000-0005-0000-0000-0000C9040000}"/>
    <cellStyle name="2_단가조사표_동측지원512" xfId="1227" xr:uid="{00000000-0005-0000-0000-0000CA040000}"/>
    <cellStyle name="2_단가조사표_동측지원524" xfId="1228" xr:uid="{00000000-0005-0000-0000-0000CB040000}"/>
    <cellStyle name="2_단가조사표_부대422" xfId="1229" xr:uid="{00000000-0005-0000-0000-0000CC040000}"/>
    <cellStyle name="2_단가조사표_부대시설" xfId="1230" xr:uid="{00000000-0005-0000-0000-0000CD040000}"/>
    <cellStyle name="2_단가조사표_소각수~1" xfId="1231" xr:uid="{00000000-0005-0000-0000-0000CE040000}"/>
    <cellStyle name="2_단가조사표_소각수내역서" xfId="1232" xr:uid="{00000000-0005-0000-0000-0000CF040000}"/>
    <cellStyle name="2_단가조사표_소각수목2" xfId="1233" xr:uid="{00000000-0005-0000-0000-0000D0040000}"/>
    <cellStyle name="2_단가조사표_수량산출서 (2)" xfId="1234" xr:uid="{00000000-0005-0000-0000-0000D1040000}"/>
    <cellStyle name="2_단가조사표_엑스포~1" xfId="1235" xr:uid="{00000000-0005-0000-0000-0000D2040000}"/>
    <cellStyle name="2_단가조사표_엑스포한빛1" xfId="1236" xr:uid="{00000000-0005-0000-0000-0000D3040000}"/>
    <cellStyle name="2_단가조사표_여객터미널331" xfId="1237" xr:uid="{00000000-0005-0000-0000-0000D4040000}"/>
    <cellStyle name="2_단가조사표_여객터미널513" xfId="1238" xr:uid="{00000000-0005-0000-0000-0000D5040000}"/>
    <cellStyle name="2_단가조사표_여객터미널629" xfId="1239" xr:uid="{00000000-0005-0000-0000-0000D6040000}"/>
    <cellStyle name="2_단가조사표_외곽도로616" xfId="1240" xr:uid="{00000000-0005-0000-0000-0000D7040000}"/>
    <cellStyle name="2_단가조사표_용인죽전수량" xfId="1241" xr:uid="{00000000-0005-0000-0000-0000D8040000}"/>
    <cellStyle name="2_단가조사표_원가계~1" xfId="1242" xr:uid="{00000000-0005-0000-0000-0000D9040000}"/>
    <cellStyle name="2_단가조사표_유기질" xfId="1243" xr:uid="{00000000-0005-0000-0000-0000DA040000}"/>
    <cellStyle name="2_단가조사표_자재조서 (2)" xfId="1244" xr:uid="{00000000-0005-0000-0000-0000DB040000}"/>
    <cellStyle name="2_단가조사표_총괄내역" xfId="1245" xr:uid="{00000000-0005-0000-0000-0000DC040000}"/>
    <cellStyle name="2_단가조사표_총괄내역 (2)" xfId="1246" xr:uid="{00000000-0005-0000-0000-0000DD040000}"/>
    <cellStyle name="2_단가조사표_터미널도로403" xfId="1247" xr:uid="{00000000-0005-0000-0000-0000DE040000}"/>
    <cellStyle name="2_단가조사표_터미널도로429" xfId="1248" xr:uid="{00000000-0005-0000-0000-0000DF040000}"/>
    <cellStyle name="2_단가조사표_포장일위" xfId="1249" xr:uid="{00000000-0005-0000-0000-0000E0040000}"/>
    <cellStyle name="3" xfId="1250" xr:uid="{00000000-0005-0000-0000-0000E1040000}"/>
    <cellStyle name="6" xfId="1251" xr:uid="{00000000-0005-0000-0000-0000E2040000}"/>
    <cellStyle name="60" xfId="1252" xr:uid="{00000000-0005-0000-0000-0000E3040000}"/>
    <cellStyle name="96" xfId="1253" xr:uid="{00000000-0005-0000-0000-0000E4040000}"/>
    <cellStyle name="a" xfId="1254" xr:uid="{00000000-0005-0000-0000-0000E5040000}"/>
    <cellStyle name="a [0]_mud plant bolted" xfId="1255" xr:uid="{00000000-0005-0000-0000-0000E6040000}"/>
    <cellStyle name="a)" xfId="1256" xr:uid="{00000000-0005-0000-0000-0000E7040000}"/>
    <cellStyle name="AeE­ [0]_ 2ÆAAþº° " xfId="1257" xr:uid="{00000000-0005-0000-0000-0000E8040000}"/>
    <cellStyle name="ÅëÈ­ [0]_»óºÎ¼ö·®Áý°è " xfId="1258" xr:uid="{00000000-0005-0000-0000-0000E9040000}"/>
    <cellStyle name="AeE­ [0]_A¾CO½A¼³ " xfId="1259" xr:uid="{00000000-0005-0000-0000-0000EA040000}"/>
    <cellStyle name="AeE­_ 2ÆAAþº° " xfId="1260" xr:uid="{00000000-0005-0000-0000-0000EB040000}"/>
    <cellStyle name="ÅëÈ­_»óºÎ¼ö·®Áý°è " xfId="1261" xr:uid="{00000000-0005-0000-0000-0000EC040000}"/>
    <cellStyle name="AeE­_A¾CO½A¼³ " xfId="1262" xr:uid="{00000000-0005-0000-0000-0000ED040000}"/>
    <cellStyle name="ALIGNMENT" xfId="1263" xr:uid="{00000000-0005-0000-0000-0000EE040000}"/>
    <cellStyle name="AÞ¸¶ [0]_ 2ÆAAþº° " xfId="1264" xr:uid="{00000000-0005-0000-0000-0000EF040000}"/>
    <cellStyle name="ÄÞ¸¶ [0]_»óºÎ¼ö·®Áý°è " xfId="1265" xr:uid="{00000000-0005-0000-0000-0000F0040000}"/>
    <cellStyle name="AÞ¸¶ [0]_A¾CO½A¼³ " xfId="1266" xr:uid="{00000000-0005-0000-0000-0000F1040000}"/>
    <cellStyle name="AÞ¸¶_ 2ÆAAþº° " xfId="1267" xr:uid="{00000000-0005-0000-0000-0000F2040000}"/>
    <cellStyle name="ÄÞ¸¶_»óºÎ¼ö·®Áý°è " xfId="1268" xr:uid="{00000000-0005-0000-0000-0000F3040000}"/>
    <cellStyle name="AÞ¸¶_A¾CO½A¼³ " xfId="1269" xr:uid="{00000000-0005-0000-0000-0000F4040000}"/>
    <cellStyle name="BA" xfId="1270" xr:uid="{00000000-0005-0000-0000-0000F5040000}"/>
    <cellStyle name="b椬ៜ_x000c_Comma_ODCOS " xfId="1271" xr:uid="{00000000-0005-0000-0000-0000F6040000}"/>
    <cellStyle name="C￥AØ_ 2ÆAAþº° " xfId="1272" xr:uid="{00000000-0005-0000-0000-0000F7040000}"/>
    <cellStyle name="Ç¥ÁØ_»óºÎ¼ö·®Áý°è " xfId="1273" xr:uid="{00000000-0005-0000-0000-0000F8040000}"/>
    <cellStyle name="C￥AØ_≫c¾÷ºIº° AN°e " xfId="1274" xr:uid="{00000000-0005-0000-0000-0000F9040000}"/>
    <cellStyle name="Ç¥ÁØ_½½·¡ºêÃ¶±ÙÁý°è " xfId="1275" xr:uid="{00000000-0005-0000-0000-0000FA040000}"/>
    <cellStyle name="C￥AØ_Ao¿ªº° IPCO´c ¹øE￡" xfId="1276" xr:uid="{00000000-0005-0000-0000-0000FB040000}"/>
    <cellStyle name="Calc Currency (0)" xfId="1277" xr:uid="{00000000-0005-0000-0000-0000FC040000}"/>
    <cellStyle name="category" xfId="1278" xr:uid="{00000000-0005-0000-0000-0000FD040000}"/>
    <cellStyle name="Comma" xfId="1279" xr:uid="{00000000-0005-0000-0000-0000FE040000}"/>
    <cellStyle name="Comma [0]" xfId="1280" xr:uid="{00000000-0005-0000-0000-0000FF040000}"/>
    <cellStyle name="comma zerodec" xfId="1281" xr:uid="{00000000-0005-0000-0000-000000050000}"/>
    <cellStyle name="Comma_ SG&amp;A Bridge " xfId="1282" xr:uid="{00000000-0005-0000-0000-000001050000}"/>
    <cellStyle name="Comma0" xfId="1283" xr:uid="{00000000-0005-0000-0000-000002050000}"/>
    <cellStyle name="Copied" xfId="1284" xr:uid="{00000000-0005-0000-0000-000003050000}"/>
    <cellStyle name="Curren" xfId="1285" xr:uid="{00000000-0005-0000-0000-000004050000}"/>
    <cellStyle name="Curren?_x0012_퐀_x0017_?" xfId="1286" xr:uid="{00000000-0005-0000-0000-000005050000}"/>
    <cellStyle name="Currenby_Cash&amp;DSO Chart" xfId="1287" xr:uid="{00000000-0005-0000-0000-000006050000}"/>
    <cellStyle name="Currency" xfId="1288" xr:uid="{00000000-0005-0000-0000-000007050000}"/>
    <cellStyle name="Currency [0]" xfId="1289" xr:uid="{00000000-0005-0000-0000-000008050000}"/>
    <cellStyle name="Currency [ﺜ]_P&amp;L_laroux" xfId="1290" xr:uid="{00000000-0005-0000-0000-000009050000}"/>
    <cellStyle name="Currency_ SG&amp;A Bridge " xfId="1291" xr:uid="{00000000-0005-0000-0000-00000A050000}"/>
    <cellStyle name="Currency0" xfId="1292" xr:uid="{00000000-0005-0000-0000-00000B050000}"/>
    <cellStyle name="Currency1" xfId="1293" xr:uid="{00000000-0005-0000-0000-00000C050000}"/>
    <cellStyle name="Date" xfId="1294" xr:uid="{00000000-0005-0000-0000-00000D050000}"/>
    <cellStyle name="de" xfId="1295" xr:uid="{00000000-0005-0000-0000-00000E050000}"/>
    <cellStyle name="Dezimal [0]_Compiling Utility Macros" xfId="1296" xr:uid="{00000000-0005-0000-0000-00000F050000}"/>
    <cellStyle name="Dezimal_Compiling Utility Macros" xfId="1297" xr:uid="{00000000-0005-0000-0000-000010050000}"/>
    <cellStyle name="Dollar (zero dec)" xfId="1298" xr:uid="{00000000-0005-0000-0000-000011050000}"/>
    <cellStyle name="EA" xfId="1299" xr:uid="{00000000-0005-0000-0000-000012050000}"/>
    <cellStyle name="Entered" xfId="1300" xr:uid="{00000000-0005-0000-0000-000013050000}"/>
    <cellStyle name="Euro" xfId="1301" xr:uid="{00000000-0005-0000-0000-000014050000}"/>
    <cellStyle name="F2" xfId="1302" xr:uid="{00000000-0005-0000-0000-000015050000}"/>
    <cellStyle name="F3" xfId="1303" xr:uid="{00000000-0005-0000-0000-000016050000}"/>
    <cellStyle name="F4" xfId="1304" xr:uid="{00000000-0005-0000-0000-000017050000}"/>
    <cellStyle name="F5" xfId="1305" xr:uid="{00000000-0005-0000-0000-000018050000}"/>
    <cellStyle name="F6" xfId="1306" xr:uid="{00000000-0005-0000-0000-000019050000}"/>
    <cellStyle name="F7" xfId="1307" xr:uid="{00000000-0005-0000-0000-00001A050000}"/>
    <cellStyle name="F8" xfId="1308" xr:uid="{00000000-0005-0000-0000-00001B050000}"/>
    <cellStyle name="Fixed" xfId="1309" xr:uid="{00000000-0005-0000-0000-00001C050000}"/>
    <cellStyle name="g" xfId="1310" xr:uid="{00000000-0005-0000-0000-00001D050000}"/>
    <cellStyle name="Grey" xfId="1311" xr:uid="{00000000-0005-0000-0000-00001E050000}"/>
    <cellStyle name="H1" xfId="1312" xr:uid="{00000000-0005-0000-0000-00001F050000}"/>
    <cellStyle name="H2" xfId="1313" xr:uid="{00000000-0005-0000-0000-000020050000}"/>
    <cellStyle name="HEADER" xfId="1314" xr:uid="{00000000-0005-0000-0000-000021050000}"/>
    <cellStyle name="Header1" xfId="1315" xr:uid="{00000000-0005-0000-0000-000022050000}"/>
    <cellStyle name="Header2" xfId="1316" xr:uid="{00000000-0005-0000-0000-000023050000}"/>
    <cellStyle name="Heading 1" xfId="1317" xr:uid="{00000000-0005-0000-0000-000024050000}"/>
    <cellStyle name="Heading 2" xfId="1318" xr:uid="{00000000-0005-0000-0000-000025050000}"/>
    <cellStyle name="Heading1" xfId="1319" xr:uid="{00000000-0005-0000-0000-000026050000}"/>
    <cellStyle name="Heading2" xfId="1320" xr:uid="{00000000-0005-0000-0000-000027050000}"/>
    <cellStyle name="Hyperlink_NEGS" xfId="1321" xr:uid="{00000000-0005-0000-0000-000028050000}"/>
    <cellStyle name="Input [yellow]" xfId="1322" xr:uid="{00000000-0005-0000-0000-000029050000}"/>
    <cellStyle name="kg" xfId="1323" xr:uid="{00000000-0005-0000-0000-00002A050000}"/>
    <cellStyle name="ℓ" xfId="1324" xr:uid="{00000000-0005-0000-0000-00002B050000}"/>
    <cellStyle name="M" xfId="1325" xr:uid="{00000000-0005-0000-0000-00002C050000}"/>
    <cellStyle name="M2" xfId="1326" xr:uid="{00000000-0005-0000-0000-00002D050000}"/>
    <cellStyle name="M3" xfId="1327" xr:uid="{00000000-0005-0000-0000-00002E050000}"/>
    <cellStyle name="Midtitle" xfId="1328" xr:uid="{00000000-0005-0000-0000-00002F050000}"/>
    <cellStyle name="Milliers [0]_399GC10" xfId="1329" xr:uid="{00000000-0005-0000-0000-000030050000}"/>
    <cellStyle name="Milliers_399GC10" xfId="1330" xr:uid="{00000000-0005-0000-0000-000031050000}"/>
    <cellStyle name="Model" xfId="1331" xr:uid="{00000000-0005-0000-0000-000032050000}"/>
    <cellStyle name="Mon?aire [0]_399GC10" xfId="1332" xr:uid="{00000000-0005-0000-0000-000033050000}"/>
    <cellStyle name="Mon?aire_399GC10" xfId="1333" xr:uid="{00000000-0005-0000-0000-000034050000}"/>
    <cellStyle name="n" xfId="1334" xr:uid="{00000000-0005-0000-0000-000035050000}"/>
    <cellStyle name="normal" xfId="1335" xr:uid="{00000000-0005-0000-0000-000036050000}"/>
    <cellStyle name="Normal - Style1" xfId="1336" xr:uid="{00000000-0005-0000-0000-000037050000}"/>
    <cellStyle name="Normal - 유형1" xfId="1337" xr:uid="{00000000-0005-0000-0000-000038050000}"/>
    <cellStyle name="Normal_ SG&amp;A Bridge " xfId="1338" xr:uid="{00000000-0005-0000-0000-000039050000}"/>
    <cellStyle name="O" xfId="1339" xr:uid="{00000000-0005-0000-0000-00003A050000}"/>
    <cellStyle name="OD" xfId="1340" xr:uid="{00000000-0005-0000-0000-00003B050000}"/>
    <cellStyle name="Œ…?æ맖?e [0.00]_laroux" xfId="1341" xr:uid="{00000000-0005-0000-0000-00003C050000}"/>
    <cellStyle name="Œ…?æ맖?e_laroux" xfId="1342" xr:uid="{00000000-0005-0000-0000-00003D050000}"/>
    <cellStyle name="oh" xfId="1343" xr:uid="{00000000-0005-0000-0000-00003E050000}"/>
    <cellStyle name="Percent" xfId="1344" xr:uid="{00000000-0005-0000-0000-00003F050000}"/>
    <cellStyle name="Percent [2]" xfId="1345" xr:uid="{00000000-0005-0000-0000-000040050000}"/>
    <cellStyle name="Percent_(냉정부산)교량단가변수(수정)" xfId="1346" xr:uid="{00000000-0005-0000-0000-000041050000}"/>
    <cellStyle name="Q1" xfId="1347" xr:uid="{00000000-0005-0000-0000-000042050000}"/>
    <cellStyle name="Q4" xfId="1348" xr:uid="{00000000-0005-0000-0000-000043050000}"/>
    <cellStyle name="RevList" xfId="1349" xr:uid="{00000000-0005-0000-0000-000044050000}"/>
    <cellStyle name="s" xfId="1350" xr:uid="{00000000-0005-0000-0000-000045050000}"/>
    <cellStyle name="S " xfId="1351" xr:uid="{00000000-0005-0000-0000-000046050000}"/>
    <cellStyle name="sh" xfId="1352" xr:uid="{00000000-0005-0000-0000-000047050000}"/>
    <cellStyle name="ssh" xfId="1353" xr:uid="{00000000-0005-0000-0000-000048050000}"/>
    <cellStyle name="Standard_Anpassen der Amortisation" xfId="1354" xr:uid="{00000000-0005-0000-0000-000049050000}"/>
    <cellStyle name="subhead" xfId="1355" xr:uid="{00000000-0005-0000-0000-00004A050000}"/>
    <cellStyle name="Subtotal" xfId="1356" xr:uid="{00000000-0005-0000-0000-00004B050000}"/>
    <cellStyle name="t1" xfId="1357" xr:uid="{00000000-0005-0000-0000-00004C050000}"/>
    <cellStyle name="testtitle" xfId="1358" xr:uid="{00000000-0005-0000-0000-00004D050000}"/>
    <cellStyle name="Title" xfId="1359" xr:uid="{00000000-0005-0000-0000-00004E050000}"/>
    <cellStyle name="title [1]" xfId="1360" xr:uid="{00000000-0005-0000-0000-00004F050000}"/>
    <cellStyle name="title [2]" xfId="1361" xr:uid="{00000000-0005-0000-0000-000050050000}"/>
    <cellStyle name="TITLE_13.초기우수처리시설" xfId="1362" xr:uid="{00000000-0005-0000-0000-000051050000}"/>
    <cellStyle name="ton" xfId="1363" xr:uid="{00000000-0005-0000-0000-000052050000}"/>
    <cellStyle name="Total" xfId="1364" xr:uid="{00000000-0005-0000-0000-000053050000}"/>
    <cellStyle name="UM" xfId="1365" xr:uid="{00000000-0005-0000-0000-000054050000}"/>
    <cellStyle name="W?rung [0]_Compiling Utility Macros" xfId="1366" xr:uid="{00000000-0005-0000-0000-000055050000}"/>
    <cellStyle name="W?rung_Compiling Utility Macros" xfId="1367" xr:uid="{00000000-0005-0000-0000-000056050000}"/>
    <cellStyle name="yh01" xfId="1368" xr:uid="{00000000-0005-0000-0000-000057050000}"/>
    <cellStyle name="" xfId="1369" xr:uid="{00000000-0005-0000-0000-000058050000}"/>
    <cellStyle name="가운데" xfId="1370" xr:uid="{00000000-0005-0000-0000-000059050000}"/>
    <cellStyle name="개" xfId="1371" xr:uid="{00000000-0005-0000-0000-00005A050000}"/>
    <cellStyle name="개_02-포장-1" xfId="1372" xr:uid="{00000000-0005-0000-0000-00005B050000}"/>
    <cellStyle name="개소" xfId="1373" xr:uid="{00000000-0005-0000-0000-00005C050000}"/>
    <cellStyle name="고정소숫점" xfId="1374" xr:uid="{00000000-0005-0000-0000-00005D050000}"/>
    <cellStyle name="고정출력1" xfId="1375" xr:uid="{00000000-0005-0000-0000-00005E050000}"/>
    <cellStyle name="고정출력2" xfId="1376" xr:uid="{00000000-0005-0000-0000-00005F050000}"/>
    <cellStyle name="공사원가계산서(조경)" xfId="1377" xr:uid="{00000000-0005-0000-0000-000060050000}"/>
    <cellStyle name="날짜" xfId="1378" xr:uid="{00000000-0005-0000-0000-000061050000}"/>
    <cellStyle name="내역서" xfId="1379" xr:uid="{00000000-0005-0000-0000-000062050000}"/>
    <cellStyle name="달러" xfId="1380" xr:uid="{00000000-0005-0000-0000-000063050000}"/>
    <cellStyle name="뒤에 오는 하이퍼링크" xfId="1381" xr:uid="{00000000-0005-0000-0000-000064050000}"/>
    <cellStyle name="똿떓죶Ø괻 [0.00]_PRODUCT DETAIL Q1" xfId="1382" xr:uid="{00000000-0005-0000-0000-000065050000}"/>
    <cellStyle name="똿떓죶Ø괻_PRODUCT DETAIL Q1" xfId="1383" xr:uid="{00000000-0005-0000-0000-000066050000}"/>
    <cellStyle name="똿뗦먛귟 [0.00]_PRODUCT DETAIL Q1" xfId="1384" xr:uid="{00000000-0005-0000-0000-000067050000}"/>
    <cellStyle name="똿뗦먛귟_PRODUCT DETAIL Q1" xfId="1385" xr:uid="{00000000-0005-0000-0000-000068050000}"/>
    <cellStyle name="매" xfId="1386" xr:uid="{00000000-0005-0000-0000-000069050000}"/>
    <cellStyle name="매_02-포장-1" xfId="1387" xr:uid="{00000000-0005-0000-0000-00006A050000}"/>
    <cellStyle name="묮뎋 [0.00]_PRODUCT DETAIL Q1" xfId="1388" xr:uid="{00000000-0005-0000-0000-00006B050000}"/>
    <cellStyle name="묮뎋_PRODUCT DETAIL Q1" xfId="1389" xr:uid="{00000000-0005-0000-0000-00006C050000}"/>
    <cellStyle name="믅됞 [0.00]_PRODUCT DETAIL Q1" xfId="1390" xr:uid="{00000000-0005-0000-0000-00006D050000}"/>
    <cellStyle name="믅됞_PRODUCT DETAIL Q1" xfId="1391" xr:uid="{00000000-0005-0000-0000-00006E050000}"/>
    <cellStyle name="배분" xfId="1392" xr:uid="{00000000-0005-0000-0000-00006F050000}"/>
    <cellStyle name="백" xfId="1393" xr:uid="{00000000-0005-0000-0000-000070050000}"/>
    <cellStyle name="백_01.우수수량산출" xfId="1394" xr:uid="{00000000-0005-0000-0000-000071050000}"/>
    <cellStyle name="백_01-토공_02-배수공" xfId="1395" xr:uid="{00000000-0005-0000-0000-000072050000}"/>
    <cellStyle name="백_01-토공_02-배수공_설치일위대가표2007상반기" xfId="1396" xr:uid="{00000000-0005-0000-0000-000073050000}"/>
    <cellStyle name="백_02-배수공" xfId="1397" xr:uid="{00000000-0005-0000-0000-000074050000}"/>
    <cellStyle name="백_02-배수공_02-배수공" xfId="1398" xr:uid="{00000000-0005-0000-0000-000075050000}"/>
    <cellStyle name="백_02-배수공_02-배수공_설치일위대가표2007상반기" xfId="1399" xr:uid="{00000000-0005-0000-0000-000076050000}"/>
    <cellStyle name="백_02-배수공_설치일위대가표2007상반기" xfId="1400" xr:uid="{00000000-0005-0000-0000-000077050000}"/>
    <cellStyle name="백_03(1).맨홀(0808)" xfId="1401" xr:uid="{00000000-0005-0000-0000-000078050000}"/>
    <cellStyle name="백_03.맨홀(0808)" xfId="1402" xr:uid="{00000000-0005-0000-0000-000079050000}"/>
    <cellStyle name="백_04-포장공_02-배수공" xfId="1403" xr:uid="{00000000-0005-0000-0000-00007A050000}"/>
    <cellStyle name="백_04-포장공_02-배수공_설치일위대가표2007상반기" xfId="1404" xr:uid="{00000000-0005-0000-0000-00007B050000}"/>
    <cellStyle name="백_06-부대공_02-배수공" xfId="1405" xr:uid="{00000000-0005-0000-0000-00007C050000}"/>
    <cellStyle name="백_06-부대공_02-배수공_설치일위대가표2007상반기" xfId="1406" xr:uid="{00000000-0005-0000-0000-00007D050000}"/>
    <cellStyle name="백_09.PC BOX공" xfId="1407" xr:uid="{00000000-0005-0000-0000-00007E050000}"/>
    <cellStyle name="백_13.초기우수처리시설" xfId="1408" xr:uid="{00000000-0005-0000-0000-00007F050000}"/>
    <cellStyle name="백_3. 신광R~숭의R(배수공)" xfId="1409" xr:uid="{00000000-0005-0000-0000-000080050000}"/>
    <cellStyle name="백_깨기" xfId="1410" xr:uid="{00000000-0005-0000-0000-000081050000}"/>
    <cellStyle name="백_깨기_신광R~숭의R(폐기물)" xfId="1411" xr:uid="{00000000-0005-0000-0000-000082050000}"/>
    <cellStyle name="백_배수공" xfId="1412" xr:uid="{00000000-0005-0000-0000-000083050000}"/>
    <cellStyle name="백_솔빛마을연결도로(최종)" xfId="1413" xr:uid="{00000000-0005-0000-0000-000084050000}"/>
    <cellStyle name="백_수량산출서(수정)" xfId="1414" xr:uid="{00000000-0005-0000-0000-000085050000}"/>
    <cellStyle name="백_수량산출서(수정)_01-토공_02-배수공" xfId="1415" xr:uid="{00000000-0005-0000-0000-000086050000}"/>
    <cellStyle name="백_수량산출서(수정)_01-토공_02-배수공_설치일위대가표2007상반기" xfId="1416" xr:uid="{00000000-0005-0000-0000-000087050000}"/>
    <cellStyle name="백_수량산출서(수정)_02-배수공" xfId="1417" xr:uid="{00000000-0005-0000-0000-000088050000}"/>
    <cellStyle name="백_수량산출서(수정)_02-배수공_02-배수공" xfId="1418" xr:uid="{00000000-0005-0000-0000-000089050000}"/>
    <cellStyle name="백_수량산출서(수정)_02-배수공_02-배수공_설치일위대가표2007상반기" xfId="1419" xr:uid="{00000000-0005-0000-0000-00008A050000}"/>
    <cellStyle name="백_수량산출서(수정)_02-배수공_설치일위대가표2007상반기" xfId="1420" xr:uid="{00000000-0005-0000-0000-00008B050000}"/>
    <cellStyle name="백_수량산출서(수정)_04-포장공_02-배수공" xfId="1421" xr:uid="{00000000-0005-0000-0000-00008C050000}"/>
    <cellStyle name="백_수량산출서(수정)_04-포장공_02-배수공_설치일위대가표2007상반기" xfId="1422" xr:uid="{00000000-0005-0000-0000-00008D050000}"/>
    <cellStyle name="백_수량산출서(수정)_06-부대공_02-배수공" xfId="1423" xr:uid="{00000000-0005-0000-0000-00008E050000}"/>
    <cellStyle name="백_수량산출서(수정)_06-부대공_02-배수공_설치일위대가표2007상반기" xfId="1424" xr:uid="{00000000-0005-0000-0000-00008F050000}"/>
    <cellStyle name="백_수량산출서(수정)_3. 신광R~숭의R(배수공)" xfId="1425" xr:uid="{00000000-0005-0000-0000-000090050000}"/>
    <cellStyle name="백_수량산출서(수정)_깨기" xfId="1426" xr:uid="{00000000-0005-0000-0000-000091050000}"/>
    <cellStyle name="백_수량산출서(수정)_깨기_신광R~숭의R(폐기물)" xfId="1427" xr:uid="{00000000-0005-0000-0000-000092050000}"/>
    <cellStyle name="백_수량산출서(수정)_배수공" xfId="1428" xr:uid="{00000000-0005-0000-0000-000093050000}"/>
    <cellStyle name="백_수량산출서(수정)_솔빛마을연결도로(최종)" xfId="1429" xr:uid="{00000000-0005-0000-0000-000094050000}"/>
    <cellStyle name="백분율 [△1]" xfId="1430" xr:uid="{00000000-0005-0000-0000-000095050000}"/>
    <cellStyle name="백분율 [△2]" xfId="1431" xr:uid="{00000000-0005-0000-0000-000096050000}"/>
    <cellStyle name="백분율 [0]" xfId="1432" xr:uid="{00000000-0005-0000-0000-000097050000}"/>
    <cellStyle name="백분율 [2]" xfId="1433" xr:uid="{00000000-0005-0000-0000-000098050000}"/>
    <cellStyle name="백분율 2" xfId="1434" xr:uid="{00000000-0005-0000-0000-000099050000}"/>
    <cellStyle name="백분율［△1］" xfId="1435" xr:uid="{00000000-0005-0000-0000-00009A050000}"/>
    <cellStyle name="백분율［△2］" xfId="1436" xr:uid="{00000000-0005-0000-0000-00009B050000}"/>
    <cellStyle name="뷭?" xfId="1437" xr:uid="{00000000-0005-0000-0000-00009C050000}"/>
    <cellStyle name="선택영역" xfId="1438" xr:uid="{00000000-0005-0000-0000-00009D050000}"/>
    <cellStyle name="선택영역 가운데" xfId="1439" xr:uid="{00000000-0005-0000-0000-00009E050000}"/>
    <cellStyle name="선택영역_고원통1교교대토공수량" xfId="1440" xr:uid="{00000000-0005-0000-0000-00009F050000}"/>
    <cellStyle name="선택영역의 가운데" xfId="1441" xr:uid="{00000000-0005-0000-0000-0000A0050000}"/>
    <cellStyle name="선택영역의 가운데로" xfId="1442" xr:uid="{00000000-0005-0000-0000-0000A1050000}"/>
    <cellStyle name="선택영영" xfId="1443" xr:uid="{00000000-0005-0000-0000-0000A2050000}"/>
    <cellStyle name="소숫점0" xfId="1444" xr:uid="{00000000-0005-0000-0000-0000A3050000}"/>
    <cellStyle name="소숫점3" xfId="1445" xr:uid="{00000000-0005-0000-0000-0000A4050000}"/>
    <cellStyle name="수량산출" xfId="1446" xr:uid="{00000000-0005-0000-0000-0000A5050000}"/>
    <cellStyle name="숫자" xfId="1447" xr:uid="{00000000-0005-0000-0000-0000A6050000}"/>
    <cellStyle name="숫자(R)" xfId="1448" xr:uid="{00000000-0005-0000-0000-0000A7050000}"/>
    <cellStyle name="숫자_00종합" xfId="1449" xr:uid="{00000000-0005-0000-0000-0000A8050000}"/>
    <cellStyle name="숫자1" xfId="1450" xr:uid="{00000000-0005-0000-0000-0000A9050000}"/>
    <cellStyle name="숫자3" xfId="1451" xr:uid="{00000000-0005-0000-0000-0000AA050000}"/>
    <cellStyle name="숫자3R" xfId="1452" xr:uid="{00000000-0005-0000-0000-0000AB050000}"/>
    <cellStyle name="숫자3자리" xfId="1453" xr:uid="{00000000-0005-0000-0000-0000AC050000}"/>
    <cellStyle name="쉼표 [0] 2" xfId="1454" xr:uid="{00000000-0005-0000-0000-0000AE050000}"/>
    <cellStyle name="쉼표 [0] 2 2" xfId="1455" xr:uid="{00000000-0005-0000-0000-0000AF050000}"/>
    <cellStyle name="쉼표 [0] 2 2 2" xfId="1456" xr:uid="{00000000-0005-0000-0000-0000B0050000}"/>
    <cellStyle name="쉼표 [0] 2 2 5" xfId="1457" xr:uid="{00000000-0005-0000-0000-0000B1050000}"/>
    <cellStyle name="쉼표 [0] 3" xfId="1458" xr:uid="{00000000-0005-0000-0000-0000B2050000}"/>
    <cellStyle name="스타일 1" xfId="1459" xr:uid="{00000000-0005-0000-0000-0000B3050000}"/>
    <cellStyle name="스타일 2" xfId="1460" xr:uid="{00000000-0005-0000-0000-0000B4050000}"/>
    <cellStyle name="스타일 3" xfId="1461" xr:uid="{00000000-0005-0000-0000-0000B5050000}"/>
    <cellStyle name="스타일 4" xfId="1462" xr:uid="{00000000-0005-0000-0000-0000B6050000}"/>
    <cellStyle name="안건회계법인" xfId="1463" xr:uid="{00000000-0005-0000-0000-0000B7050000}"/>
    <cellStyle name="왼" xfId="1464" xr:uid="{00000000-0005-0000-0000-0000B8050000}"/>
    <cellStyle name="왼쪽2" xfId="1465" xr:uid="{00000000-0005-0000-0000-0000B9050000}"/>
    <cellStyle name="왼쪽5" xfId="1466" xr:uid="{00000000-0005-0000-0000-0000BA050000}"/>
    <cellStyle name="우괄호_박심배수구조물공" xfId="1467" xr:uid="{00000000-0005-0000-0000-0000BB050000}"/>
    <cellStyle name="우측양괄호" xfId="1468" xr:uid="{00000000-0005-0000-0000-0000BC050000}"/>
    <cellStyle name="원" xfId="1469" xr:uid="{00000000-0005-0000-0000-0000BD050000}"/>
    <cellStyle name="원_매내천" xfId="1470" xr:uid="{00000000-0005-0000-0000-0000BE050000}"/>
    <cellStyle name="원_부대공(1공구)" xfId="1471" xr:uid="{00000000-0005-0000-0000-0000BF050000}"/>
    <cellStyle name="유1" xfId="1472" xr:uid="{00000000-0005-0000-0000-0000C0050000}"/>
    <cellStyle name="일반" xfId="1473" xr:uid="{00000000-0005-0000-0000-0000C1050000}"/>
    <cellStyle name="자리수" xfId="1474" xr:uid="{00000000-0005-0000-0000-0000C2050000}"/>
    <cellStyle name="자리수0" xfId="1475" xr:uid="{00000000-0005-0000-0000-0000C3050000}"/>
    <cellStyle name="제곱" xfId="1476" xr:uid="{00000000-0005-0000-0000-0000C4050000}"/>
    <cellStyle name="좁게_구조물 BOQ" xfId="1477" xr:uid="{00000000-0005-0000-0000-0000C5050000}"/>
    <cellStyle name="좌괄호_박심배수구조물공" xfId="1478" xr:uid="{00000000-0005-0000-0000-0000C6050000}"/>
    <cellStyle name="좌측양괄호" xfId="1479" xr:uid="{00000000-0005-0000-0000-0000C7050000}"/>
    <cellStyle name="지정되지 않음" xfId="1480" xr:uid="{00000000-0005-0000-0000-0000C8050000}"/>
    <cellStyle name="콤" xfId="1481" xr:uid="{00000000-0005-0000-0000-0000C9050000}"/>
    <cellStyle name="콤_01.우수수량산출" xfId="1482" xr:uid="{00000000-0005-0000-0000-0000CA050000}"/>
    <cellStyle name="콤_01-토공_02-배수공" xfId="1483" xr:uid="{00000000-0005-0000-0000-0000CB050000}"/>
    <cellStyle name="콤_01-토공_02-배수공_설치일위대가표2007상반기" xfId="1484" xr:uid="{00000000-0005-0000-0000-0000CC050000}"/>
    <cellStyle name="콤_02-배수공" xfId="1485" xr:uid="{00000000-0005-0000-0000-0000CD050000}"/>
    <cellStyle name="콤_02-배수공_02-배수공" xfId="1486" xr:uid="{00000000-0005-0000-0000-0000CE050000}"/>
    <cellStyle name="콤_02-배수공_02-배수공_설치일위대가표2007상반기" xfId="1487" xr:uid="{00000000-0005-0000-0000-0000CF050000}"/>
    <cellStyle name="콤_02-배수공_설치일위대가표2007상반기" xfId="1488" xr:uid="{00000000-0005-0000-0000-0000D0050000}"/>
    <cellStyle name="콤_03(1).맨홀(0808)" xfId="1489" xr:uid="{00000000-0005-0000-0000-0000D1050000}"/>
    <cellStyle name="콤_03.맨홀(0808)" xfId="1490" xr:uid="{00000000-0005-0000-0000-0000D2050000}"/>
    <cellStyle name="콤_04-포장공_02-배수공" xfId="1491" xr:uid="{00000000-0005-0000-0000-0000D3050000}"/>
    <cellStyle name="콤_04-포장공_02-배수공_설치일위대가표2007상반기" xfId="1492" xr:uid="{00000000-0005-0000-0000-0000D4050000}"/>
    <cellStyle name="콤_06-부대공_02-배수공" xfId="1493" xr:uid="{00000000-0005-0000-0000-0000D5050000}"/>
    <cellStyle name="콤_06-부대공_02-배수공_설치일위대가표2007상반기" xfId="1494" xr:uid="{00000000-0005-0000-0000-0000D6050000}"/>
    <cellStyle name="콤_09.PC BOX공" xfId="1495" xr:uid="{00000000-0005-0000-0000-0000D7050000}"/>
    <cellStyle name="콤_13.초기우수처리시설" xfId="1496" xr:uid="{00000000-0005-0000-0000-0000D8050000}"/>
    <cellStyle name="콤_3. 신광R~숭의R(배수공)" xfId="1497" xr:uid="{00000000-0005-0000-0000-0000D9050000}"/>
    <cellStyle name="콤_깨기" xfId="1498" xr:uid="{00000000-0005-0000-0000-0000DA050000}"/>
    <cellStyle name="콤_깨기_신광R~숭의R(폐기물)" xfId="1499" xr:uid="{00000000-0005-0000-0000-0000DB050000}"/>
    <cellStyle name="콤_배수공" xfId="1500" xr:uid="{00000000-0005-0000-0000-0000DC050000}"/>
    <cellStyle name="콤_솔빛마을연결도로(최종)" xfId="1501" xr:uid="{00000000-0005-0000-0000-0000DD050000}"/>
    <cellStyle name="콤_수량산출서(수정)" xfId="1502" xr:uid="{00000000-0005-0000-0000-0000DE050000}"/>
    <cellStyle name="콤_수량산출서(수정)_01-토공_02-배수공" xfId="1503" xr:uid="{00000000-0005-0000-0000-0000DF050000}"/>
    <cellStyle name="콤_수량산출서(수정)_01-토공_02-배수공_설치일위대가표2007상반기" xfId="1504" xr:uid="{00000000-0005-0000-0000-0000E0050000}"/>
    <cellStyle name="콤_수량산출서(수정)_02-배수공" xfId="1505" xr:uid="{00000000-0005-0000-0000-0000E1050000}"/>
    <cellStyle name="콤_수량산출서(수정)_02-배수공_02-배수공" xfId="1506" xr:uid="{00000000-0005-0000-0000-0000E2050000}"/>
    <cellStyle name="콤_수량산출서(수정)_02-배수공_02-배수공_설치일위대가표2007상반기" xfId="1507" xr:uid="{00000000-0005-0000-0000-0000E3050000}"/>
    <cellStyle name="콤_수량산출서(수정)_02-배수공_설치일위대가표2007상반기" xfId="1508" xr:uid="{00000000-0005-0000-0000-0000E4050000}"/>
    <cellStyle name="콤_수량산출서(수정)_04-포장공_02-배수공" xfId="1509" xr:uid="{00000000-0005-0000-0000-0000E5050000}"/>
    <cellStyle name="콤_수량산출서(수정)_04-포장공_02-배수공_설치일위대가표2007상반기" xfId="1510" xr:uid="{00000000-0005-0000-0000-0000E6050000}"/>
    <cellStyle name="콤_수량산출서(수정)_06-부대공_02-배수공" xfId="1511" xr:uid="{00000000-0005-0000-0000-0000E7050000}"/>
    <cellStyle name="콤_수량산출서(수정)_06-부대공_02-배수공_설치일위대가표2007상반기" xfId="1512" xr:uid="{00000000-0005-0000-0000-0000E8050000}"/>
    <cellStyle name="콤_수량산출서(수정)_3. 신광R~숭의R(배수공)" xfId="1513" xr:uid="{00000000-0005-0000-0000-0000E9050000}"/>
    <cellStyle name="콤_수량산출서(수정)_깨기" xfId="1514" xr:uid="{00000000-0005-0000-0000-0000EA050000}"/>
    <cellStyle name="콤_수량산출서(수정)_깨기_신광R~숭의R(폐기물)" xfId="1515" xr:uid="{00000000-0005-0000-0000-0000EB050000}"/>
    <cellStyle name="콤_수량산출서(수정)_배수공" xfId="1516" xr:uid="{00000000-0005-0000-0000-0000EC050000}"/>
    <cellStyle name="콤_수량산출서(수정)_솔빛마을연결도로(최종)" xfId="1517" xr:uid="{00000000-0005-0000-0000-0000ED050000}"/>
    <cellStyle name="콤마 [" xfId="1518" xr:uid="{00000000-0005-0000-0000-0000EE050000}"/>
    <cellStyle name="콤마 [#]" xfId="1519" xr:uid="{00000000-0005-0000-0000-0000EF050000}"/>
    <cellStyle name="콤마 []" xfId="1520" xr:uid="{00000000-0005-0000-0000-0000F0050000}"/>
    <cellStyle name="콤마 [_13.초기우수처리시설" xfId="1521" xr:uid="{00000000-0005-0000-0000-0000F1050000}"/>
    <cellStyle name="콤마 [0.00]" xfId="1522" xr:uid="{00000000-0005-0000-0000-0000F2050000}"/>
    <cellStyle name="콤마 [0]_  종  합  " xfId="1523" xr:uid="{00000000-0005-0000-0000-0000F3050000}"/>
    <cellStyle name="콤마 [000]" xfId="1524" xr:uid="{00000000-0005-0000-0000-0000F4050000}"/>
    <cellStyle name="콤마 [1]" xfId="1525" xr:uid="{00000000-0005-0000-0000-0000F5050000}"/>
    <cellStyle name="콤마 [2]" xfId="1526" xr:uid="{00000000-0005-0000-0000-0000F6050000}"/>
    <cellStyle name="콤마 [금액]" xfId="1527" xr:uid="{00000000-0005-0000-0000-0000F7050000}"/>
    <cellStyle name="콤마 [소수]" xfId="1528" xr:uid="{00000000-0005-0000-0000-0000F8050000}"/>
    <cellStyle name="콤마 [수량]" xfId="1529" xr:uid="{00000000-0005-0000-0000-0000F9050000}"/>
    <cellStyle name="콤마[ ]" xfId="1530" xr:uid="{00000000-0005-0000-0000-0000FA050000}"/>
    <cellStyle name="콤마[*]" xfId="1531" xr:uid="{00000000-0005-0000-0000-0000FB050000}"/>
    <cellStyle name="콤마[,]" xfId="1532" xr:uid="{00000000-0005-0000-0000-0000FC050000}"/>
    <cellStyle name="콤마[.]" xfId="1533" xr:uid="{00000000-0005-0000-0000-0000FD050000}"/>
    <cellStyle name="콤마[0]" xfId="1534" xr:uid="{00000000-0005-0000-0000-0000FE050000}"/>
    <cellStyle name="콤마_  종  합  " xfId="1535" xr:uid="{00000000-0005-0000-0000-0000FF050000}"/>
    <cellStyle name="타이틀" xfId="1536" xr:uid="{00000000-0005-0000-0000-000000060000}"/>
    <cellStyle name="토공" xfId="1537" xr:uid="{00000000-0005-0000-0000-000001060000}"/>
    <cellStyle name="통" xfId="1538" xr:uid="{00000000-0005-0000-0000-000002060000}"/>
    <cellStyle name="통_01.우수수량산출" xfId="1539" xr:uid="{00000000-0005-0000-0000-000003060000}"/>
    <cellStyle name="통_01-토공_02-배수공" xfId="1540" xr:uid="{00000000-0005-0000-0000-000004060000}"/>
    <cellStyle name="통_01-토공_02-배수공_설치일위대가표2007상반기" xfId="1541" xr:uid="{00000000-0005-0000-0000-000005060000}"/>
    <cellStyle name="통_02-배수공" xfId="1542" xr:uid="{00000000-0005-0000-0000-000006060000}"/>
    <cellStyle name="통_02-배수공_02-배수공" xfId="1543" xr:uid="{00000000-0005-0000-0000-000007060000}"/>
    <cellStyle name="통_02-배수공_02-배수공_설치일위대가표2007상반기" xfId="1544" xr:uid="{00000000-0005-0000-0000-000008060000}"/>
    <cellStyle name="통_02-배수공_설치일위대가표2007상반기" xfId="1545" xr:uid="{00000000-0005-0000-0000-000009060000}"/>
    <cellStyle name="통_03(1).맨홀(0808)" xfId="1546" xr:uid="{00000000-0005-0000-0000-00000A060000}"/>
    <cellStyle name="통_03.맨홀(0808)" xfId="1547" xr:uid="{00000000-0005-0000-0000-00000B060000}"/>
    <cellStyle name="통_04-포장공_02-배수공" xfId="1548" xr:uid="{00000000-0005-0000-0000-00000C060000}"/>
    <cellStyle name="통_04-포장공_02-배수공_설치일위대가표2007상반기" xfId="1549" xr:uid="{00000000-0005-0000-0000-00000D060000}"/>
    <cellStyle name="통_06-부대공_02-배수공" xfId="1550" xr:uid="{00000000-0005-0000-0000-00000E060000}"/>
    <cellStyle name="통_06-부대공_02-배수공_설치일위대가표2007상반기" xfId="1551" xr:uid="{00000000-0005-0000-0000-00000F060000}"/>
    <cellStyle name="통_09.PC BOX공" xfId="1552" xr:uid="{00000000-0005-0000-0000-000010060000}"/>
    <cellStyle name="통_13.초기우수처리시설" xfId="1553" xr:uid="{00000000-0005-0000-0000-000011060000}"/>
    <cellStyle name="통_3. 신광R~숭의R(배수공)" xfId="1554" xr:uid="{00000000-0005-0000-0000-000012060000}"/>
    <cellStyle name="통_깨기" xfId="1555" xr:uid="{00000000-0005-0000-0000-000013060000}"/>
    <cellStyle name="통_깨기_신광R~숭의R(폐기물)" xfId="1556" xr:uid="{00000000-0005-0000-0000-000014060000}"/>
    <cellStyle name="통_배수공" xfId="1557" xr:uid="{00000000-0005-0000-0000-000015060000}"/>
    <cellStyle name="통_솔빛마을연결도로(최종)" xfId="1558" xr:uid="{00000000-0005-0000-0000-000016060000}"/>
    <cellStyle name="통_수량산출서(수정)" xfId="1559" xr:uid="{00000000-0005-0000-0000-000017060000}"/>
    <cellStyle name="통_수량산출서(수정)_01-토공_02-배수공" xfId="1560" xr:uid="{00000000-0005-0000-0000-000018060000}"/>
    <cellStyle name="통_수량산출서(수정)_01-토공_02-배수공_설치일위대가표2007상반기" xfId="1561" xr:uid="{00000000-0005-0000-0000-000019060000}"/>
    <cellStyle name="통_수량산출서(수정)_02-배수공" xfId="1562" xr:uid="{00000000-0005-0000-0000-00001A060000}"/>
    <cellStyle name="통_수량산출서(수정)_02-배수공_02-배수공" xfId="1563" xr:uid="{00000000-0005-0000-0000-00001B060000}"/>
    <cellStyle name="통_수량산출서(수정)_02-배수공_02-배수공_설치일위대가표2007상반기" xfId="1564" xr:uid="{00000000-0005-0000-0000-00001C060000}"/>
    <cellStyle name="통_수량산출서(수정)_02-배수공_설치일위대가표2007상반기" xfId="1565" xr:uid="{00000000-0005-0000-0000-00001D060000}"/>
    <cellStyle name="통_수량산출서(수정)_04-포장공_02-배수공" xfId="1566" xr:uid="{00000000-0005-0000-0000-00001E060000}"/>
    <cellStyle name="통_수량산출서(수정)_04-포장공_02-배수공_설치일위대가표2007상반기" xfId="1567" xr:uid="{00000000-0005-0000-0000-00001F060000}"/>
    <cellStyle name="통_수량산출서(수정)_06-부대공_02-배수공" xfId="1568" xr:uid="{00000000-0005-0000-0000-000020060000}"/>
    <cellStyle name="통_수량산출서(수정)_06-부대공_02-배수공_설치일위대가표2007상반기" xfId="1569" xr:uid="{00000000-0005-0000-0000-000021060000}"/>
    <cellStyle name="통_수량산출서(수정)_3. 신광R~숭의R(배수공)" xfId="1570" xr:uid="{00000000-0005-0000-0000-000022060000}"/>
    <cellStyle name="통_수량산출서(수정)_깨기" xfId="1571" xr:uid="{00000000-0005-0000-0000-000023060000}"/>
    <cellStyle name="통_수량산출서(수정)_깨기_신광R~숭의R(폐기물)" xfId="1572" xr:uid="{00000000-0005-0000-0000-000024060000}"/>
    <cellStyle name="통_수량산출서(수정)_배수공" xfId="1573" xr:uid="{00000000-0005-0000-0000-000025060000}"/>
    <cellStyle name="통_수량산출서(수정)_솔빛마을연결도로(최종)" xfId="1574" xr:uid="{00000000-0005-0000-0000-000026060000}"/>
    <cellStyle name="통화 [" xfId="1575" xr:uid="{00000000-0005-0000-0000-000027060000}"/>
    <cellStyle name="통화 [0] 2" xfId="1576" xr:uid="{00000000-0005-0000-0000-000028060000}"/>
    <cellStyle name="통화 [0㉝〸" xfId="1577" xr:uid="{00000000-0005-0000-0000-000029060000}"/>
    <cellStyle name="퍼센트" xfId="1578" xr:uid="{00000000-0005-0000-0000-00002A060000}"/>
    <cellStyle name="표" xfId="1579" xr:uid="{00000000-0005-0000-0000-00002B060000}"/>
    <cellStyle name="표(가는선,가운데,중앙)" xfId="1580" xr:uid="{00000000-0005-0000-0000-00002C060000}"/>
    <cellStyle name="표(가는선,왼쪽,중앙)" xfId="1581" xr:uid="{00000000-0005-0000-0000-00002D060000}"/>
    <cellStyle name="표(세로쓰기)" xfId="1582" xr:uid="{00000000-0005-0000-0000-00002E060000}"/>
    <cellStyle name="표_01.우수수량산출" xfId="1583" xr:uid="{00000000-0005-0000-0000-00002F060000}"/>
    <cellStyle name="표_01-토공_02-배수공" xfId="1584" xr:uid="{00000000-0005-0000-0000-000030060000}"/>
    <cellStyle name="표_01-토공_02-배수공_설치일위대가표2007상반기" xfId="1585" xr:uid="{00000000-0005-0000-0000-000031060000}"/>
    <cellStyle name="표_02-배수공" xfId="1586" xr:uid="{00000000-0005-0000-0000-000032060000}"/>
    <cellStyle name="표_02-배수공_02-배수공" xfId="1587" xr:uid="{00000000-0005-0000-0000-000033060000}"/>
    <cellStyle name="표_02-배수공_02-배수공_설치일위대가표2007상반기" xfId="1588" xr:uid="{00000000-0005-0000-0000-000034060000}"/>
    <cellStyle name="표_02-배수공_설치일위대가표2007상반기" xfId="1589" xr:uid="{00000000-0005-0000-0000-000035060000}"/>
    <cellStyle name="표_03(1).맨홀(0808)" xfId="1590" xr:uid="{00000000-0005-0000-0000-000036060000}"/>
    <cellStyle name="표_03.맨홀(0808)" xfId="1591" xr:uid="{00000000-0005-0000-0000-000037060000}"/>
    <cellStyle name="표_04-포장공_02-배수공" xfId="1592" xr:uid="{00000000-0005-0000-0000-000038060000}"/>
    <cellStyle name="표_04-포장공_02-배수공_설치일위대가표2007상반기" xfId="1593" xr:uid="{00000000-0005-0000-0000-000039060000}"/>
    <cellStyle name="표_06-부대공_02-배수공" xfId="1594" xr:uid="{00000000-0005-0000-0000-00003A060000}"/>
    <cellStyle name="표_06-부대공_02-배수공_설치일위대가표2007상반기" xfId="1595" xr:uid="{00000000-0005-0000-0000-00003B060000}"/>
    <cellStyle name="표_09.PC BOX공" xfId="1596" xr:uid="{00000000-0005-0000-0000-00003C060000}"/>
    <cellStyle name="표_13.초기우수처리시설" xfId="1597" xr:uid="{00000000-0005-0000-0000-00003D060000}"/>
    <cellStyle name="표_3. 신광R~숭의R(배수공)" xfId="1598" xr:uid="{00000000-0005-0000-0000-00003E060000}"/>
    <cellStyle name="표_BOQ및토공" xfId="1599" xr:uid="{00000000-0005-0000-0000-00003F060000}"/>
    <cellStyle name="표_깨기" xfId="1600" xr:uid="{00000000-0005-0000-0000-000040060000}"/>
    <cellStyle name="표_깨기_신광R~숭의R(폐기물)" xfId="1601" xr:uid="{00000000-0005-0000-0000-000041060000}"/>
    <cellStyle name="표_배수공" xfId="1602" xr:uid="{00000000-0005-0000-0000-000042060000}"/>
    <cellStyle name="표_솔빛마을연결도로(최종)" xfId="1603" xr:uid="{00000000-0005-0000-0000-000043060000}"/>
    <cellStyle name="표_수량산출서(수정)" xfId="1604" xr:uid="{00000000-0005-0000-0000-000044060000}"/>
    <cellStyle name="표_수량산출서(수정)_01-토공_02-배수공" xfId="1605" xr:uid="{00000000-0005-0000-0000-000045060000}"/>
    <cellStyle name="표_수량산출서(수정)_01-토공_02-배수공_설치일위대가표2007상반기" xfId="1606" xr:uid="{00000000-0005-0000-0000-000046060000}"/>
    <cellStyle name="표_수량산출서(수정)_02-배수공" xfId="1607" xr:uid="{00000000-0005-0000-0000-000047060000}"/>
    <cellStyle name="표_수량산출서(수정)_02-배수공_02-배수공" xfId="1608" xr:uid="{00000000-0005-0000-0000-000048060000}"/>
    <cellStyle name="표_수량산출서(수정)_02-배수공_02-배수공_설치일위대가표2007상반기" xfId="1609" xr:uid="{00000000-0005-0000-0000-000049060000}"/>
    <cellStyle name="표_수량산출서(수정)_02-배수공_설치일위대가표2007상반기" xfId="1610" xr:uid="{00000000-0005-0000-0000-00004A060000}"/>
    <cellStyle name="표_수량산출서(수정)_04-포장공_02-배수공" xfId="1611" xr:uid="{00000000-0005-0000-0000-00004B060000}"/>
    <cellStyle name="표_수량산출서(수정)_04-포장공_02-배수공_설치일위대가표2007상반기" xfId="1612" xr:uid="{00000000-0005-0000-0000-00004C060000}"/>
    <cellStyle name="표_수량산출서(수정)_06-부대공_02-배수공" xfId="1613" xr:uid="{00000000-0005-0000-0000-00004D060000}"/>
    <cellStyle name="표_수량산출서(수정)_06-부대공_02-배수공_설치일위대가표2007상반기" xfId="1614" xr:uid="{00000000-0005-0000-0000-00004E060000}"/>
    <cellStyle name="표_수량산출서(수정)_3. 신광R~숭의R(배수공)" xfId="1615" xr:uid="{00000000-0005-0000-0000-00004F060000}"/>
    <cellStyle name="표_수량산출서(수정)_깨기" xfId="1616" xr:uid="{00000000-0005-0000-0000-000050060000}"/>
    <cellStyle name="표_수량산출서(수정)_깨기_신광R~숭의R(폐기물)" xfId="1617" xr:uid="{00000000-0005-0000-0000-000051060000}"/>
    <cellStyle name="표_수량산출서(수정)_배수공" xfId="1618" xr:uid="{00000000-0005-0000-0000-000052060000}"/>
    <cellStyle name="표_수량산출서(수정)_솔빛마을연결도로(최종)" xfId="1619" xr:uid="{00000000-0005-0000-0000-000053060000}"/>
    <cellStyle name="표제목" xfId="1620" xr:uid="{00000000-0005-0000-0000-000054060000}"/>
    <cellStyle name="표준" xfId="0" builtinId="0"/>
    <cellStyle name="표준 2" xfId="1621" xr:uid="{00000000-0005-0000-0000-000056060000}"/>
    <cellStyle name="표준 2 12" xfId="1622" xr:uid="{00000000-0005-0000-0000-000057060000}"/>
    <cellStyle name="표준 2 2" xfId="1623" xr:uid="{00000000-0005-0000-0000-000058060000}"/>
    <cellStyle name="표준 2_2.자재집계표" xfId="1624" xr:uid="{00000000-0005-0000-0000-000059060000}"/>
    <cellStyle name="표준 3" xfId="1625" xr:uid="{00000000-0005-0000-0000-00005A060000}"/>
    <cellStyle name="표준 4" xfId="1626" xr:uid="{00000000-0005-0000-0000-00005B060000}"/>
    <cellStyle name="표준 5" xfId="1627" xr:uid="{00000000-0005-0000-0000-00005C060000}"/>
    <cellStyle name="표준 6" xfId="1628" xr:uid="{00000000-0005-0000-0000-00005D060000}"/>
    <cellStyle name="표준_02운수교가시설수량" xfId="1629" xr:uid="{00000000-0005-0000-0000-00005E060000}"/>
    <cellStyle name="표준_0822 선천공후 SHEET PILE공법" xfId="1630" xr:uid="{00000000-0005-0000-0000-00005F060000}"/>
    <cellStyle name="표준_ABUT-T" xfId="1631" xr:uid="{00000000-0005-0000-0000-000060060000}"/>
    <cellStyle name="標準_Akia(F）-8" xfId="1632" xr:uid="{00000000-0005-0000-0000-000061060000}"/>
    <cellStyle name="표준_RB-A-TO" xfId="1633" xr:uid="{00000000-0005-0000-0000-000062060000}"/>
    <cellStyle name="표준_수산2교_상부수량" xfId="1634" xr:uid="{00000000-0005-0000-0000-000063060000}"/>
    <cellStyle name="표준_전체토공수량" xfId="1635" xr:uid="{00000000-0005-0000-0000-000064060000}"/>
    <cellStyle name="합산" xfId="1636" xr:uid="{00000000-0005-0000-0000-000065060000}"/>
    <cellStyle name="화폐기호" xfId="1637" xr:uid="{00000000-0005-0000-0000-000066060000}"/>
    <cellStyle name="화폐기호0" xfId="1638" xr:uid="{00000000-0005-0000-0000-000067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87" name="Line 5">
          <a:extLst>
            <a:ext uri="{FF2B5EF4-FFF2-40B4-BE49-F238E27FC236}">
              <a16:creationId xmlns:a16="http://schemas.microsoft.com/office/drawing/2014/main" id="{E6C90CC8-4245-4F35-B008-5A86D168B4F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88" name="Line 9">
          <a:extLst>
            <a:ext uri="{FF2B5EF4-FFF2-40B4-BE49-F238E27FC236}">
              <a16:creationId xmlns:a16="http://schemas.microsoft.com/office/drawing/2014/main" id="{9F6260ED-E227-487E-812D-A0501F4E757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289" name="Line 21">
          <a:extLst>
            <a:ext uri="{FF2B5EF4-FFF2-40B4-BE49-F238E27FC236}">
              <a16:creationId xmlns:a16="http://schemas.microsoft.com/office/drawing/2014/main" id="{391CED70-DDC4-46C6-B99B-5D4E526E2E2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0" name="Line 22">
          <a:extLst>
            <a:ext uri="{FF2B5EF4-FFF2-40B4-BE49-F238E27FC236}">
              <a16:creationId xmlns:a16="http://schemas.microsoft.com/office/drawing/2014/main" id="{71F05CBF-44B2-41A6-B75E-E742D26E7B8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1" name="Line 23">
          <a:extLst>
            <a:ext uri="{FF2B5EF4-FFF2-40B4-BE49-F238E27FC236}">
              <a16:creationId xmlns:a16="http://schemas.microsoft.com/office/drawing/2014/main" id="{142CF349-D147-4666-9F43-FC0674E3EC3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292" name="Line 24">
          <a:extLst>
            <a:ext uri="{FF2B5EF4-FFF2-40B4-BE49-F238E27FC236}">
              <a16:creationId xmlns:a16="http://schemas.microsoft.com/office/drawing/2014/main" id="{B9B3D14F-0915-44A7-A71C-A4D37E78A7D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3" name="Line 29">
          <a:extLst>
            <a:ext uri="{FF2B5EF4-FFF2-40B4-BE49-F238E27FC236}">
              <a16:creationId xmlns:a16="http://schemas.microsoft.com/office/drawing/2014/main" id="{CDA811DB-1549-4DD2-8B11-AEEA80C9FD7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4" name="Line 33">
          <a:extLst>
            <a:ext uri="{FF2B5EF4-FFF2-40B4-BE49-F238E27FC236}">
              <a16:creationId xmlns:a16="http://schemas.microsoft.com/office/drawing/2014/main" id="{EAD1FF74-97DA-4FC7-854C-ECBFA37F15A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295" name="Line 45">
          <a:extLst>
            <a:ext uri="{FF2B5EF4-FFF2-40B4-BE49-F238E27FC236}">
              <a16:creationId xmlns:a16="http://schemas.microsoft.com/office/drawing/2014/main" id="{CC34703E-CD16-4E6F-998C-154C4027EE4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6" name="Line 46">
          <a:extLst>
            <a:ext uri="{FF2B5EF4-FFF2-40B4-BE49-F238E27FC236}">
              <a16:creationId xmlns:a16="http://schemas.microsoft.com/office/drawing/2014/main" id="{07A16692-EDF4-45A1-A2EC-89FF01B6347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7" name="Line 47">
          <a:extLst>
            <a:ext uri="{FF2B5EF4-FFF2-40B4-BE49-F238E27FC236}">
              <a16:creationId xmlns:a16="http://schemas.microsoft.com/office/drawing/2014/main" id="{57805E3C-B425-481A-87F8-7E488767009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298" name="Line 48">
          <a:extLst>
            <a:ext uri="{FF2B5EF4-FFF2-40B4-BE49-F238E27FC236}">
              <a16:creationId xmlns:a16="http://schemas.microsoft.com/office/drawing/2014/main" id="{1C03322D-B4A0-4D03-9F61-1EA7F2483E8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299" name="Line 53">
          <a:extLst>
            <a:ext uri="{FF2B5EF4-FFF2-40B4-BE49-F238E27FC236}">
              <a16:creationId xmlns:a16="http://schemas.microsoft.com/office/drawing/2014/main" id="{BAA0FC55-C11A-4898-9557-FF3361170BB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00" name="Line 57">
          <a:extLst>
            <a:ext uri="{FF2B5EF4-FFF2-40B4-BE49-F238E27FC236}">
              <a16:creationId xmlns:a16="http://schemas.microsoft.com/office/drawing/2014/main" id="{761571DE-BE6C-4E45-A428-A7FE139CAB5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01" name="Line 69">
          <a:extLst>
            <a:ext uri="{FF2B5EF4-FFF2-40B4-BE49-F238E27FC236}">
              <a16:creationId xmlns:a16="http://schemas.microsoft.com/office/drawing/2014/main" id="{38BEEFF9-2E4D-40F1-A830-1448BA3CA1E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02" name="Line 70">
          <a:extLst>
            <a:ext uri="{FF2B5EF4-FFF2-40B4-BE49-F238E27FC236}">
              <a16:creationId xmlns:a16="http://schemas.microsoft.com/office/drawing/2014/main" id="{021D0697-92E2-4EDC-8255-2BDF46B96F7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03" name="Line 71">
          <a:extLst>
            <a:ext uri="{FF2B5EF4-FFF2-40B4-BE49-F238E27FC236}">
              <a16:creationId xmlns:a16="http://schemas.microsoft.com/office/drawing/2014/main" id="{4A6D4D4F-DBB7-447E-B843-7D7447A87E3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04" name="Line 72">
          <a:extLst>
            <a:ext uri="{FF2B5EF4-FFF2-40B4-BE49-F238E27FC236}">
              <a16:creationId xmlns:a16="http://schemas.microsoft.com/office/drawing/2014/main" id="{172B8C9F-6477-44EC-9488-B87A148E0CD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390305" name="Line 97">
          <a:extLst>
            <a:ext uri="{FF2B5EF4-FFF2-40B4-BE49-F238E27FC236}">
              <a16:creationId xmlns:a16="http://schemas.microsoft.com/office/drawing/2014/main" id="{D057EE35-89EE-4F9C-B760-08CE74B298CA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06" name="Line 98">
          <a:extLst>
            <a:ext uri="{FF2B5EF4-FFF2-40B4-BE49-F238E27FC236}">
              <a16:creationId xmlns:a16="http://schemas.microsoft.com/office/drawing/2014/main" id="{81F69924-FE38-4F69-BDC1-79A4B5167F1B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07" name="Line 99">
          <a:extLst>
            <a:ext uri="{FF2B5EF4-FFF2-40B4-BE49-F238E27FC236}">
              <a16:creationId xmlns:a16="http://schemas.microsoft.com/office/drawing/2014/main" id="{CB9F6766-F6CA-42B3-9CEE-C28B51882DF3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08" name="Line 100">
          <a:extLst>
            <a:ext uri="{FF2B5EF4-FFF2-40B4-BE49-F238E27FC236}">
              <a16:creationId xmlns:a16="http://schemas.microsoft.com/office/drawing/2014/main" id="{B8EAD284-A6F1-40D7-A503-E5C5BCD2CA55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09" name="Line 101">
          <a:extLst>
            <a:ext uri="{FF2B5EF4-FFF2-40B4-BE49-F238E27FC236}">
              <a16:creationId xmlns:a16="http://schemas.microsoft.com/office/drawing/2014/main" id="{05E83334-EB6E-485E-9405-D31C85436A4D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10" name="Line 102">
          <a:extLst>
            <a:ext uri="{FF2B5EF4-FFF2-40B4-BE49-F238E27FC236}">
              <a16:creationId xmlns:a16="http://schemas.microsoft.com/office/drawing/2014/main" id="{B22C9FDA-6E01-43E6-B2EA-326AB2584DD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1" name="Line 103">
          <a:extLst>
            <a:ext uri="{FF2B5EF4-FFF2-40B4-BE49-F238E27FC236}">
              <a16:creationId xmlns:a16="http://schemas.microsoft.com/office/drawing/2014/main" id="{D332CE39-77E0-42D0-B598-D0B1899D4E9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2" name="Line 104">
          <a:extLst>
            <a:ext uri="{FF2B5EF4-FFF2-40B4-BE49-F238E27FC236}">
              <a16:creationId xmlns:a16="http://schemas.microsoft.com/office/drawing/2014/main" id="{2DE0B71E-E266-4FCA-9926-C902DA5E614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3" name="Line 105">
          <a:extLst>
            <a:ext uri="{FF2B5EF4-FFF2-40B4-BE49-F238E27FC236}">
              <a16:creationId xmlns:a16="http://schemas.microsoft.com/office/drawing/2014/main" id="{75BC50C2-68A3-45FF-B7BE-D0D6BD0B389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4" name="Line 106">
          <a:extLst>
            <a:ext uri="{FF2B5EF4-FFF2-40B4-BE49-F238E27FC236}">
              <a16:creationId xmlns:a16="http://schemas.microsoft.com/office/drawing/2014/main" id="{E22A0066-F907-4F38-9055-3ECDB9A5038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315" name="Line 107">
          <a:extLst>
            <a:ext uri="{FF2B5EF4-FFF2-40B4-BE49-F238E27FC236}">
              <a16:creationId xmlns:a16="http://schemas.microsoft.com/office/drawing/2014/main" id="{E0730FB4-FEC5-4D3C-BC58-2F56C84E513E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6" name="Line 108">
          <a:extLst>
            <a:ext uri="{FF2B5EF4-FFF2-40B4-BE49-F238E27FC236}">
              <a16:creationId xmlns:a16="http://schemas.microsoft.com/office/drawing/2014/main" id="{055E1C8D-66C9-4939-826F-974FA3BDE3C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17" name="Line 109">
          <a:extLst>
            <a:ext uri="{FF2B5EF4-FFF2-40B4-BE49-F238E27FC236}">
              <a16:creationId xmlns:a16="http://schemas.microsoft.com/office/drawing/2014/main" id="{272EB3DD-45C9-4C49-A635-D3E31D001F5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8" name="Line 110">
          <a:extLst>
            <a:ext uri="{FF2B5EF4-FFF2-40B4-BE49-F238E27FC236}">
              <a16:creationId xmlns:a16="http://schemas.microsoft.com/office/drawing/2014/main" id="{D0245FF9-21A8-4573-90DE-D901B9543C15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19" name="Line 111">
          <a:extLst>
            <a:ext uri="{FF2B5EF4-FFF2-40B4-BE49-F238E27FC236}">
              <a16:creationId xmlns:a16="http://schemas.microsoft.com/office/drawing/2014/main" id="{7F3A8CBD-C9B1-4B0B-80A8-8AB909F30449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20" name="Line 112">
          <a:extLst>
            <a:ext uri="{FF2B5EF4-FFF2-40B4-BE49-F238E27FC236}">
              <a16:creationId xmlns:a16="http://schemas.microsoft.com/office/drawing/2014/main" id="{25AB7541-E358-43E2-8A75-AB1401D31AC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21" name="Line 113">
          <a:extLst>
            <a:ext uri="{FF2B5EF4-FFF2-40B4-BE49-F238E27FC236}">
              <a16:creationId xmlns:a16="http://schemas.microsoft.com/office/drawing/2014/main" id="{501600AE-71EC-4811-8EB5-3590544D582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2" name="Line 114">
          <a:extLst>
            <a:ext uri="{FF2B5EF4-FFF2-40B4-BE49-F238E27FC236}">
              <a16:creationId xmlns:a16="http://schemas.microsoft.com/office/drawing/2014/main" id="{EC02366E-4955-4582-ABF8-892E9A68AEC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390323" name="Line 115">
          <a:extLst>
            <a:ext uri="{FF2B5EF4-FFF2-40B4-BE49-F238E27FC236}">
              <a16:creationId xmlns:a16="http://schemas.microsoft.com/office/drawing/2014/main" id="{E55F9C4C-C57E-46EC-931F-0758F3FA7789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4" name="Line 116">
          <a:extLst>
            <a:ext uri="{FF2B5EF4-FFF2-40B4-BE49-F238E27FC236}">
              <a16:creationId xmlns:a16="http://schemas.microsoft.com/office/drawing/2014/main" id="{ECAFE78C-1CD6-427A-B577-C361F4EC267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5" name="Line 117">
          <a:extLst>
            <a:ext uri="{FF2B5EF4-FFF2-40B4-BE49-F238E27FC236}">
              <a16:creationId xmlns:a16="http://schemas.microsoft.com/office/drawing/2014/main" id="{90BD8884-CC58-40FF-8AE5-E1373DC775E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6" name="Line 118">
          <a:extLst>
            <a:ext uri="{FF2B5EF4-FFF2-40B4-BE49-F238E27FC236}">
              <a16:creationId xmlns:a16="http://schemas.microsoft.com/office/drawing/2014/main" id="{3D577C9D-11B4-49E2-B69B-BB5F150D182A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7" name="Line 119">
          <a:extLst>
            <a:ext uri="{FF2B5EF4-FFF2-40B4-BE49-F238E27FC236}">
              <a16:creationId xmlns:a16="http://schemas.microsoft.com/office/drawing/2014/main" id="{F3B79713-A2E7-4933-ACE6-7FD5FA81B85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28" name="Line 120">
          <a:extLst>
            <a:ext uri="{FF2B5EF4-FFF2-40B4-BE49-F238E27FC236}">
              <a16:creationId xmlns:a16="http://schemas.microsoft.com/office/drawing/2014/main" id="{05901135-2EC4-400C-88E7-535DEB09AD08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29" name="Line 121">
          <a:extLst>
            <a:ext uri="{FF2B5EF4-FFF2-40B4-BE49-F238E27FC236}">
              <a16:creationId xmlns:a16="http://schemas.microsoft.com/office/drawing/2014/main" id="{9632BFFF-AA38-4E5A-B31E-916D59C1AB6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0" name="Line 122">
          <a:extLst>
            <a:ext uri="{FF2B5EF4-FFF2-40B4-BE49-F238E27FC236}">
              <a16:creationId xmlns:a16="http://schemas.microsoft.com/office/drawing/2014/main" id="{E62F83F2-8E2A-47AE-84FD-A2DA84B2A9A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1" name="Line 123">
          <a:extLst>
            <a:ext uri="{FF2B5EF4-FFF2-40B4-BE49-F238E27FC236}">
              <a16:creationId xmlns:a16="http://schemas.microsoft.com/office/drawing/2014/main" id="{DDAC4CF0-5CD5-4B9F-8D9D-49E4A34A296F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2" name="Line 124">
          <a:extLst>
            <a:ext uri="{FF2B5EF4-FFF2-40B4-BE49-F238E27FC236}">
              <a16:creationId xmlns:a16="http://schemas.microsoft.com/office/drawing/2014/main" id="{B2C971AF-D68A-403D-A9DE-63B8B16C6B4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333" name="Line 125">
          <a:extLst>
            <a:ext uri="{FF2B5EF4-FFF2-40B4-BE49-F238E27FC236}">
              <a16:creationId xmlns:a16="http://schemas.microsoft.com/office/drawing/2014/main" id="{FEA62A5A-A9C1-4DF7-A673-7F66049ED5A1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4" name="Line 126">
          <a:extLst>
            <a:ext uri="{FF2B5EF4-FFF2-40B4-BE49-F238E27FC236}">
              <a16:creationId xmlns:a16="http://schemas.microsoft.com/office/drawing/2014/main" id="{3593EA67-FC32-4FAA-A724-C3D3F36CC25E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35" name="Line 127">
          <a:extLst>
            <a:ext uri="{FF2B5EF4-FFF2-40B4-BE49-F238E27FC236}">
              <a16:creationId xmlns:a16="http://schemas.microsoft.com/office/drawing/2014/main" id="{3B1BCA2E-F152-4E56-BBBD-13486338D173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6" name="Line 128">
          <a:extLst>
            <a:ext uri="{FF2B5EF4-FFF2-40B4-BE49-F238E27FC236}">
              <a16:creationId xmlns:a16="http://schemas.microsoft.com/office/drawing/2014/main" id="{A02762F8-C7E3-46ED-A06F-435943FDCB2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7" name="Line 129">
          <a:extLst>
            <a:ext uri="{FF2B5EF4-FFF2-40B4-BE49-F238E27FC236}">
              <a16:creationId xmlns:a16="http://schemas.microsoft.com/office/drawing/2014/main" id="{C89461DF-EE7F-4739-8353-3514A4D6E69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8" name="Line 130">
          <a:extLst>
            <a:ext uri="{FF2B5EF4-FFF2-40B4-BE49-F238E27FC236}">
              <a16:creationId xmlns:a16="http://schemas.microsoft.com/office/drawing/2014/main" id="{7318EAC2-DE9E-4D55-81F6-E1E67AC0E58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39" name="Line 131">
          <a:extLst>
            <a:ext uri="{FF2B5EF4-FFF2-40B4-BE49-F238E27FC236}">
              <a16:creationId xmlns:a16="http://schemas.microsoft.com/office/drawing/2014/main" id="{D2AAD75D-8CE3-4036-96E6-E6D46F4FD6C5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40" name="Line 132">
          <a:extLst>
            <a:ext uri="{FF2B5EF4-FFF2-40B4-BE49-F238E27FC236}">
              <a16:creationId xmlns:a16="http://schemas.microsoft.com/office/drawing/2014/main" id="{5E4ECD79-4FE1-4125-9E4C-AB9DD4C5406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41" name="Line 133">
          <a:extLst>
            <a:ext uri="{FF2B5EF4-FFF2-40B4-BE49-F238E27FC236}">
              <a16:creationId xmlns:a16="http://schemas.microsoft.com/office/drawing/2014/main" id="{C4BC7905-7D47-4488-932A-412282EB1A8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42" name="Line 134">
          <a:extLst>
            <a:ext uri="{FF2B5EF4-FFF2-40B4-BE49-F238E27FC236}">
              <a16:creationId xmlns:a16="http://schemas.microsoft.com/office/drawing/2014/main" id="{212E0099-53A8-42C0-8AC5-43ADF304D5B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43" name="Line 135">
          <a:extLst>
            <a:ext uri="{FF2B5EF4-FFF2-40B4-BE49-F238E27FC236}">
              <a16:creationId xmlns:a16="http://schemas.microsoft.com/office/drawing/2014/main" id="{4429B2D8-C7B5-40AF-9241-9691FB1E571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44" name="Line 136">
          <a:extLst>
            <a:ext uri="{FF2B5EF4-FFF2-40B4-BE49-F238E27FC236}">
              <a16:creationId xmlns:a16="http://schemas.microsoft.com/office/drawing/2014/main" id="{4AA31668-6816-493C-B015-0C96C44E3403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45" name="Line 137">
          <a:extLst>
            <a:ext uri="{FF2B5EF4-FFF2-40B4-BE49-F238E27FC236}">
              <a16:creationId xmlns:a16="http://schemas.microsoft.com/office/drawing/2014/main" id="{6753E01D-EE12-4C97-A5DE-0C85559AAB0F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346" name="Line 138">
          <a:extLst>
            <a:ext uri="{FF2B5EF4-FFF2-40B4-BE49-F238E27FC236}">
              <a16:creationId xmlns:a16="http://schemas.microsoft.com/office/drawing/2014/main" id="{8BFC72CF-0B80-4047-8DC5-B4DC3D420F40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47" name="Line 139">
          <a:extLst>
            <a:ext uri="{FF2B5EF4-FFF2-40B4-BE49-F238E27FC236}">
              <a16:creationId xmlns:a16="http://schemas.microsoft.com/office/drawing/2014/main" id="{D89F11B9-5E8F-4274-B193-D3AC4C03B4F9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48" name="Line 140">
          <a:extLst>
            <a:ext uri="{FF2B5EF4-FFF2-40B4-BE49-F238E27FC236}">
              <a16:creationId xmlns:a16="http://schemas.microsoft.com/office/drawing/2014/main" id="{38A76A69-1384-481D-9F12-78EAA12F726A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49" name="Line 141">
          <a:extLst>
            <a:ext uri="{FF2B5EF4-FFF2-40B4-BE49-F238E27FC236}">
              <a16:creationId xmlns:a16="http://schemas.microsoft.com/office/drawing/2014/main" id="{31DAEDA6-1459-4A4B-8EC6-B0CB48CF46B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50" name="Line 142">
          <a:extLst>
            <a:ext uri="{FF2B5EF4-FFF2-40B4-BE49-F238E27FC236}">
              <a16:creationId xmlns:a16="http://schemas.microsoft.com/office/drawing/2014/main" id="{19AED0E4-B7E0-44DA-9235-1A16AB82ABC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51" name="Line 143">
          <a:extLst>
            <a:ext uri="{FF2B5EF4-FFF2-40B4-BE49-F238E27FC236}">
              <a16:creationId xmlns:a16="http://schemas.microsoft.com/office/drawing/2014/main" id="{7E0975CC-75C3-4699-A839-7432B5690C0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52" name="Line 144">
          <a:extLst>
            <a:ext uri="{FF2B5EF4-FFF2-40B4-BE49-F238E27FC236}">
              <a16:creationId xmlns:a16="http://schemas.microsoft.com/office/drawing/2014/main" id="{2FDC14FE-3311-46B5-A758-9EF58CB7EAE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53" name="Line 145">
          <a:extLst>
            <a:ext uri="{FF2B5EF4-FFF2-40B4-BE49-F238E27FC236}">
              <a16:creationId xmlns:a16="http://schemas.microsoft.com/office/drawing/2014/main" id="{A7DC5A3A-DA11-47CD-A2AC-78722619DB5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54" name="Line 146">
          <a:extLst>
            <a:ext uri="{FF2B5EF4-FFF2-40B4-BE49-F238E27FC236}">
              <a16:creationId xmlns:a16="http://schemas.microsoft.com/office/drawing/2014/main" id="{4774BEB7-1928-4BEC-83B0-3FEA8DC3A1D7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355" name="Line 147">
          <a:extLst>
            <a:ext uri="{FF2B5EF4-FFF2-40B4-BE49-F238E27FC236}">
              <a16:creationId xmlns:a16="http://schemas.microsoft.com/office/drawing/2014/main" id="{FB42D881-0E4E-4DFF-B822-87FD310A3D3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356" name="Line 148">
          <a:extLst>
            <a:ext uri="{FF2B5EF4-FFF2-40B4-BE49-F238E27FC236}">
              <a16:creationId xmlns:a16="http://schemas.microsoft.com/office/drawing/2014/main" id="{999AA659-9306-45DE-986B-000B0B3E30F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357" name="Line 149">
          <a:extLst>
            <a:ext uri="{FF2B5EF4-FFF2-40B4-BE49-F238E27FC236}">
              <a16:creationId xmlns:a16="http://schemas.microsoft.com/office/drawing/2014/main" id="{58D271DE-5A84-4EA3-A7D3-234B6008EABD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58" name="Line 150">
          <a:extLst>
            <a:ext uri="{FF2B5EF4-FFF2-40B4-BE49-F238E27FC236}">
              <a16:creationId xmlns:a16="http://schemas.microsoft.com/office/drawing/2014/main" id="{7FFCA101-BDD4-4A36-BF73-D74697E82FC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59" name="Line 151">
          <a:extLst>
            <a:ext uri="{FF2B5EF4-FFF2-40B4-BE49-F238E27FC236}">
              <a16:creationId xmlns:a16="http://schemas.microsoft.com/office/drawing/2014/main" id="{F72396E0-DC1A-401B-A367-51B430E8195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60" name="Line 152">
          <a:extLst>
            <a:ext uri="{FF2B5EF4-FFF2-40B4-BE49-F238E27FC236}">
              <a16:creationId xmlns:a16="http://schemas.microsoft.com/office/drawing/2014/main" id="{7BEDFBD5-BC23-4F9C-A4D6-3EFCC1F05DD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61" name="Line 153">
          <a:extLst>
            <a:ext uri="{FF2B5EF4-FFF2-40B4-BE49-F238E27FC236}">
              <a16:creationId xmlns:a16="http://schemas.microsoft.com/office/drawing/2014/main" id="{1CE3EE1A-DE95-4295-A56A-CBB5A8D8CB8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62" name="Line 154">
          <a:extLst>
            <a:ext uri="{FF2B5EF4-FFF2-40B4-BE49-F238E27FC236}">
              <a16:creationId xmlns:a16="http://schemas.microsoft.com/office/drawing/2014/main" id="{607A7B3C-831F-45E3-90A2-BD9502075D4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63" name="Line 155">
          <a:extLst>
            <a:ext uri="{FF2B5EF4-FFF2-40B4-BE49-F238E27FC236}">
              <a16:creationId xmlns:a16="http://schemas.microsoft.com/office/drawing/2014/main" id="{052CB224-F32A-4420-80FD-3898E293041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64" name="Line 156">
          <a:extLst>
            <a:ext uri="{FF2B5EF4-FFF2-40B4-BE49-F238E27FC236}">
              <a16:creationId xmlns:a16="http://schemas.microsoft.com/office/drawing/2014/main" id="{D174C535-8581-4177-8BAD-ED46E4699EA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65" name="Line 157">
          <a:extLst>
            <a:ext uri="{FF2B5EF4-FFF2-40B4-BE49-F238E27FC236}">
              <a16:creationId xmlns:a16="http://schemas.microsoft.com/office/drawing/2014/main" id="{3C826924-1239-41EA-B909-0814EBD089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66" name="Line 158">
          <a:extLst>
            <a:ext uri="{FF2B5EF4-FFF2-40B4-BE49-F238E27FC236}">
              <a16:creationId xmlns:a16="http://schemas.microsoft.com/office/drawing/2014/main" id="{A6157B4F-C63E-48D6-9BF9-0CCFD3EFE30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367" name="Line 159">
          <a:extLst>
            <a:ext uri="{FF2B5EF4-FFF2-40B4-BE49-F238E27FC236}">
              <a16:creationId xmlns:a16="http://schemas.microsoft.com/office/drawing/2014/main" id="{A7CA0061-2E3E-49EC-B665-B5D0814DC861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68" name="Line 160">
          <a:extLst>
            <a:ext uri="{FF2B5EF4-FFF2-40B4-BE49-F238E27FC236}">
              <a16:creationId xmlns:a16="http://schemas.microsoft.com/office/drawing/2014/main" id="{39F27917-A132-451A-9FD1-D1BD5DD36E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69" name="Line 161">
          <a:extLst>
            <a:ext uri="{FF2B5EF4-FFF2-40B4-BE49-F238E27FC236}">
              <a16:creationId xmlns:a16="http://schemas.microsoft.com/office/drawing/2014/main" id="{85EF7D57-950D-4BB1-9FD8-438EB8CC449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70" name="Line 162">
          <a:extLst>
            <a:ext uri="{FF2B5EF4-FFF2-40B4-BE49-F238E27FC236}">
              <a16:creationId xmlns:a16="http://schemas.microsoft.com/office/drawing/2014/main" id="{D0C5AB8C-BEFF-412E-8EA1-8E2F06E9637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71" name="Line 163">
          <a:extLst>
            <a:ext uri="{FF2B5EF4-FFF2-40B4-BE49-F238E27FC236}">
              <a16:creationId xmlns:a16="http://schemas.microsoft.com/office/drawing/2014/main" id="{59E0823E-C8AD-46A2-B1E6-F1B258568CC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72" name="Line 164">
          <a:extLst>
            <a:ext uri="{FF2B5EF4-FFF2-40B4-BE49-F238E27FC236}">
              <a16:creationId xmlns:a16="http://schemas.microsoft.com/office/drawing/2014/main" id="{7285FDED-C294-4C9B-882C-D365C4E2729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73" name="Line 165">
          <a:extLst>
            <a:ext uri="{FF2B5EF4-FFF2-40B4-BE49-F238E27FC236}">
              <a16:creationId xmlns:a16="http://schemas.microsoft.com/office/drawing/2014/main" id="{A72C9F92-3DB4-4FF7-BD90-0B4A97807C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74" name="Line 166">
          <a:extLst>
            <a:ext uri="{FF2B5EF4-FFF2-40B4-BE49-F238E27FC236}">
              <a16:creationId xmlns:a16="http://schemas.microsoft.com/office/drawing/2014/main" id="{66BE6EF6-CBD3-426B-8052-AD98AC9E301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375" name="Line 167">
          <a:extLst>
            <a:ext uri="{FF2B5EF4-FFF2-40B4-BE49-F238E27FC236}">
              <a16:creationId xmlns:a16="http://schemas.microsoft.com/office/drawing/2014/main" id="{FE205B58-E83D-47CA-A5CC-D84C409139F9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76" name="Line 168">
          <a:extLst>
            <a:ext uri="{FF2B5EF4-FFF2-40B4-BE49-F238E27FC236}">
              <a16:creationId xmlns:a16="http://schemas.microsoft.com/office/drawing/2014/main" id="{7F2FD691-504A-4AC5-AAAE-5BC99EACA68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77" name="Line 169">
          <a:extLst>
            <a:ext uri="{FF2B5EF4-FFF2-40B4-BE49-F238E27FC236}">
              <a16:creationId xmlns:a16="http://schemas.microsoft.com/office/drawing/2014/main" id="{A9B2C0E5-AEDC-473B-88A4-3E514555642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78" name="Line 170">
          <a:extLst>
            <a:ext uri="{FF2B5EF4-FFF2-40B4-BE49-F238E27FC236}">
              <a16:creationId xmlns:a16="http://schemas.microsoft.com/office/drawing/2014/main" id="{ECF9B33F-CB20-4E69-A73B-6E1E0440165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79" name="Line 171">
          <a:extLst>
            <a:ext uri="{FF2B5EF4-FFF2-40B4-BE49-F238E27FC236}">
              <a16:creationId xmlns:a16="http://schemas.microsoft.com/office/drawing/2014/main" id="{D03EBA98-D844-4FAC-AD5F-0F5E0029826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80" name="Line 172">
          <a:extLst>
            <a:ext uri="{FF2B5EF4-FFF2-40B4-BE49-F238E27FC236}">
              <a16:creationId xmlns:a16="http://schemas.microsoft.com/office/drawing/2014/main" id="{A1B740FD-A304-4F8F-B3C6-05B3C150474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1" name="Line 173">
          <a:extLst>
            <a:ext uri="{FF2B5EF4-FFF2-40B4-BE49-F238E27FC236}">
              <a16:creationId xmlns:a16="http://schemas.microsoft.com/office/drawing/2014/main" id="{2180C76D-3476-4A4E-A470-28E8C79CA43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2" name="Line 174">
          <a:extLst>
            <a:ext uri="{FF2B5EF4-FFF2-40B4-BE49-F238E27FC236}">
              <a16:creationId xmlns:a16="http://schemas.microsoft.com/office/drawing/2014/main" id="{399B6FD3-C21A-4DF3-8F9A-10A809A23A9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3" name="Line 175">
          <a:extLst>
            <a:ext uri="{FF2B5EF4-FFF2-40B4-BE49-F238E27FC236}">
              <a16:creationId xmlns:a16="http://schemas.microsoft.com/office/drawing/2014/main" id="{1BFD1394-F325-46F1-BAA5-23B21F8E893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4" name="Line 176">
          <a:extLst>
            <a:ext uri="{FF2B5EF4-FFF2-40B4-BE49-F238E27FC236}">
              <a16:creationId xmlns:a16="http://schemas.microsoft.com/office/drawing/2014/main" id="{96E67D17-79A3-4869-AAA8-36D9F543DAD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385" name="Line 177">
          <a:extLst>
            <a:ext uri="{FF2B5EF4-FFF2-40B4-BE49-F238E27FC236}">
              <a16:creationId xmlns:a16="http://schemas.microsoft.com/office/drawing/2014/main" id="{7164D424-1FCA-469B-8EAB-6487223FA295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6" name="Line 178">
          <a:extLst>
            <a:ext uri="{FF2B5EF4-FFF2-40B4-BE49-F238E27FC236}">
              <a16:creationId xmlns:a16="http://schemas.microsoft.com/office/drawing/2014/main" id="{BD65D4EF-6694-47AF-BE30-AFA767AEAA8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87" name="Line 179">
          <a:extLst>
            <a:ext uri="{FF2B5EF4-FFF2-40B4-BE49-F238E27FC236}">
              <a16:creationId xmlns:a16="http://schemas.microsoft.com/office/drawing/2014/main" id="{CCAD69E5-26E2-44E3-9983-8C705ED7608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8" name="Line 180">
          <a:extLst>
            <a:ext uri="{FF2B5EF4-FFF2-40B4-BE49-F238E27FC236}">
              <a16:creationId xmlns:a16="http://schemas.microsoft.com/office/drawing/2014/main" id="{7AD498BB-D652-44A9-810C-287CDE176D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89" name="Line 181">
          <a:extLst>
            <a:ext uri="{FF2B5EF4-FFF2-40B4-BE49-F238E27FC236}">
              <a16:creationId xmlns:a16="http://schemas.microsoft.com/office/drawing/2014/main" id="{3B2D15C9-FAE5-4731-87D6-0C4C22E1706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0" name="Line 182">
          <a:extLst>
            <a:ext uri="{FF2B5EF4-FFF2-40B4-BE49-F238E27FC236}">
              <a16:creationId xmlns:a16="http://schemas.microsoft.com/office/drawing/2014/main" id="{C34F952A-4121-46E6-9D76-95525E68750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1" name="Line 183">
          <a:extLst>
            <a:ext uri="{FF2B5EF4-FFF2-40B4-BE49-F238E27FC236}">
              <a16:creationId xmlns:a16="http://schemas.microsoft.com/office/drawing/2014/main" id="{19C145D2-F6EB-424E-8104-5CDB41A887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92" name="Line 184">
          <a:extLst>
            <a:ext uri="{FF2B5EF4-FFF2-40B4-BE49-F238E27FC236}">
              <a16:creationId xmlns:a16="http://schemas.microsoft.com/office/drawing/2014/main" id="{C45AF5DA-E126-4F54-86BB-1553A99E1A4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3" name="Line 185">
          <a:extLst>
            <a:ext uri="{FF2B5EF4-FFF2-40B4-BE49-F238E27FC236}">
              <a16:creationId xmlns:a16="http://schemas.microsoft.com/office/drawing/2014/main" id="{3F7C22C6-631F-4258-9004-B601E70CAEA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4" name="Line 186">
          <a:extLst>
            <a:ext uri="{FF2B5EF4-FFF2-40B4-BE49-F238E27FC236}">
              <a16:creationId xmlns:a16="http://schemas.microsoft.com/office/drawing/2014/main" id="{61FE2D8E-A6FD-4771-B0A8-4BADB14ABE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5" name="Line 187">
          <a:extLst>
            <a:ext uri="{FF2B5EF4-FFF2-40B4-BE49-F238E27FC236}">
              <a16:creationId xmlns:a16="http://schemas.microsoft.com/office/drawing/2014/main" id="{46A28217-8F0C-4538-801B-33DB987EC24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396" name="Line 188">
          <a:extLst>
            <a:ext uri="{FF2B5EF4-FFF2-40B4-BE49-F238E27FC236}">
              <a16:creationId xmlns:a16="http://schemas.microsoft.com/office/drawing/2014/main" id="{5A18BC64-EF5F-4170-8700-54AA6BFD2517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7" name="Line 189">
          <a:extLst>
            <a:ext uri="{FF2B5EF4-FFF2-40B4-BE49-F238E27FC236}">
              <a16:creationId xmlns:a16="http://schemas.microsoft.com/office/drawing/2014/main" id="{EF80B56C-1B78-4400-B035-2F4C962E542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398" name="Line 190">
          <a:extLst>
            <a:ext uri="{FF2B5EF4-FFF2-40B4-BE49-F238E27FC236}">
              <a16:creationId xmlns:a16="http://schemas.microsoft.com/office/drawing/2014/main" id="{8ADBA3C4-FD88-4885-B7A7-90149040ED3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399" name="Line 191">
          <a:extLst>
            <a:ext uri="{FF2B5EF4-FFF2-40B4-BE49-F238E27FC236}">
              <a16:creationId xmlns:a16="http://schemas.microsoft.com/office/drawing/2014/main" id="{B80DC6DB-6141-444F-B2FB-A1E5EEE13D6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00" name="Line 192">
          <a:extLst>
            <a:ext uri="{FF2B5EF4-FFF2-40B4-BE49-F238E27FC236}">
              <a16:creationId xmlns:a16="http://schemas.microsoft.com/office/drawing/2014/main" id="{D5E7A279-D74E-4C44-86DF-DAD80F6D1F6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01" name="Line 193">
          <a:extLst>
            <a:ext uri="{FF2B5EF4-FFF2-40B4-BE49-F238E27FC236}">
              <a16:creationId xmlns:a16="http://schemas.microsoft.com/office/drawing/2014/main" id="{3B07D06A-328B-4721-98DE-5DD1545A8A1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02" name="Line 194">
          <a:extLst>
            <a:ext uri="{FF2B5EF4-FFF2-40B4-BE49-F238E27FC236}">
              <a16:creationId xmlns:a16="http://schemas.microsoft.com/office/drawing/2014/main" id="{688BEEA8-E60D-411C-BE8B-FB827D3F19A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03" name="Line 195">
          <a:extLst>
            <a:ext uri="{FF2B5EF4-FFF2-40B4-BE49-F238E27FC236}">
              <a16:creationId xmlns:a16="http://schemas.microsoft.com/office/drawing/2014/main" id="{3F2A9338-C3EB-4ECA-BEEF-3793CFA2ED2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04" name="Line 196">
          <a:extLst>
            <a:ext uri="{FF2B5EF4-FFF2-40B4-BE49-F238E27FC236}">
              <a16:creationId xmlns:a16="http://schemas.microsoft.com/office/drawing/2014/main" id="{629D35AD-876A-43DC-8871-D2A0E06ED17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05" name="Line 197">
          <a:extLst>
            <a:ext uri="{FF2B5EF4-FFF2-40B4-BE49-F238E27FC236}">
              <a16:creationId xmlns:a16="http://schemas.microsoft.com/office/drawing/2014/main" id="{27F81A1A-2FD3-4032-B4F7-B25C8CCDE52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06" name="Line 198">
          <a:extLst>
            <a:ext uri="{FF2B5EF4-FFF2-40B4-BE49-F238E27FC236}">
              <a16:creationId xmlns:a16="http://schemas.microsoft.com/office/drawing/2014/main" id="{3D5A5ABA-101A-4EED-8EDA-1984917553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407" name="Line 199">
          <a:extLst>
            <a:ext uri="{FF2B5EF4-FFF2-40B4-BE49-F238E27FC236}">
              <a16:creationId xmlns:a16="http://schemas.microsoft.com/office/drawing/2014/main" id="{2A5CA726-7BB3-431C-9648-1071DA31638A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08" name="Line 200">
          <a:extLst>
            <a:ext uri="{FF2B5EF4-FFF2-40B4-BE49-F238E27FC236}">
              <a16:creationId xmlns:a16="http://schemas.microsoft.com/office/drawing/2014/main" id="{3B2D58D7-1A62-4EB3-970C-99886E7D69C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09" name="Line 201">
          <a:extLst>
            <a:ext uri="{FF2B5EF4-FFF2-40B4-BE49-F238E27FC236}">
              <a16:creationId xmlns:a16="http://schemas.microsoft.com/office/drawing/2014/main" id="{40CB75C5-0565-402A-844E-5BEE6E88E3F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10" name="Line 202">
          <a:extLst>
            <a:ext uri="{FF2B5EF4-FFF2-40B4-BE49-F238E27FC236}">
              <a16:creationId xmlns:a16="http://schemas.microsoft.com/office/drawing/2014/main" id="{5F5A0E29-601F-4E3A-BBBF-A4B12FFBE4C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11" name="Line 203">
          <a:extLst>
            <a:ext uri="{FF2B5EF4-FFF2-40B4-BE49-F238E27FC236}">
              <a16:creationId xmlns:a16="http://schemas.microsoft.com/office/drawing/2014/main" id="{B672DD2B-62FC-4535-A520-EEC790294F0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12" name="Line 204">
          <a:extLst>
            <a:ext uri="{FF2B5EF4-FFF2-40B4-BE49-F238E27FC236}">
              <a16:creationId xmlns:a16="http://schemas.microsoft.com/office/drawing/2014/main" id="{0A7A1FC8-E706-4B05-9482-B97ADC894B5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13" name="Line 205">
          <a:extLst>
            <a:ext uri="{FF2B5EF4-FFF2-40B4-BE49-F238E27FC236}">
              <a16:creationId xmlns:a16="http://schemas.microsoft.com/office/drawing/2014/main" id="{2AE85D2A-5F19-408A-ACB4-BEAF980EBCE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14" name="Line 206">
          <a:extLst>
            <a:ext uri="{FF2B5EF4-FFF2-40B4-BE49-F238E27FC236}">
              <a16:creationId xmlns:a16="http://schemas.microsoft.com/office/drawing/2014/main" id="{48876774-8AE8-40B3-A5FA-002079F1FCB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15" name="Line 207">
          <a:extLst>
            <a:ext uri="{FF2B5EF4-FFF2-40B4-BE49-F238E27FC236}">
              <a16:creationId xmlns:a16="http://schemas.microsoft.com/office/drawing/2014/main" id="{1BE1DDBE-1FF3-4C4E-9620-A7B9846DB6D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16" name="Line 208">
          <a:extLst>
            <a:ext uri="{FF2B5EF4-FFF2-40B4-BE49-F238E27FC236}">
              <a16:creationId xmlns:a16="http://schemas.microsoft.com/office/drawing/2014/main" id="{117EF932-0DD3-4B10-AC74-A5D16B24AF4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17" name="Line 209">
          <a:extLst>
            <a:ext uri="{FF2B5EF4-FFF2-40B4-BE49-F238E27FC236}">
              <a16:creationId xmlns:a16="http://schemas.microsoft.com/office/drawing/2014/main" id="{E05CEFAF-9F0D-4F68-99F7-03A84BF97B4F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18" name="Line 210">
          <a:extLst>
            <a:ext uri="{FF2B5EF4-FFF2-40B4-BE49-F238E27FC236}">
              <a16:creationId xmlns:a16="http://schemas.microsoft.com/office/drawing/2014/main" id="{A228AA76-1426-45E9-8DC8-C74DE85DF5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19" name="Line 211">
          <a:extLst>
            <a:ext uri="{FF2B5EF4-FFF2-40B4-BE49-F238E27FC236}">
              <a16:creationId xmlns:a16="http://schemas.microsoft.com/office/drawing/2014/main" id="{0EF166F9-5674-4D61-A86E-2E80CFDDC33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20" name="Line 212">
          <a:extLst>
            <a:ext uri="{FF2B5EF4-FFF2-40B4-BE49-F238E27FC236}">
              <a16:creationId xmlns:a16="http://schemas.microsoft.com/office/drawing/2014/main" id="{A3A589BC-974A-48D9-AA5E-3B6DE6CB30F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21" name="Line 213">
          <a:extLst>
            <a:ext uri="{FF2B5EF4-FFF2-40B4-BE49-F238E27FC236}">
              <a16:creationId xmlns:a16="http://schemas.microsoft.com/office/drawing/2014/main" id="{261B383B-3ECB-4D71-81BB-BC870C42487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22" name="Line 214">
          <a:extLst>
            <a:ext uri="{FF2B5EF4-FFF2-40B4-BE49-F238E27FC236}">
              <a16:creationId xmlns:a16="http://schemas.microsoft.com/office/drawing/2014/main" id="{89E47C3E-4C77-4D08-8035-DE8ED0908B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23" name="Line 215">
          <a:extLst>
            <a:ext uri="{FF2B5EF4-FFF2-40B4-BE49-F238E27FC236}">
              <a16:creationId xmlns:a16="http://schemas.microsoft.com/office/drawing/2014/main" id="{CC7693FA-4151-4931-B34A-6F7BB4DBDA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24" name="Line 216">
          <a:extLst>
            <a:ext uri="{FF2B5EF4-FFF2-40B4-BE49-F238E27FC236}">
              <a16:creationId xmlns:a16="http://schemas.microsoft.com/office/drawing/2014/main" id="{450107CA-3F06-4169-BEBB-A21DA490CD2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425" name="Line 217">
          <a:extLst>
            <a:ext uri="{FF2B5EF4-FFF2-40B4-BE49-F238E27FC236}">
              <a16:creationId xmlns:a16="http://schemas.microsoft.com/office/drawing/2014/main" id="{FCCFB41D-7ED0-4122-9159-EDCA92778E6D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26" name="Line 218">
          <a:extLst>
            <a:ext uri="{FF2B5EF4-FFF2-40B4-BE49-F238E27FC236}">
              <a16:creationId xmlns:a16="http://schemas.microsoft.com/office/drawing/2014/main" id="{8547DD93-CEF0-45F5-97C6-6188237FBE1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27" name="Line 219">
          <a:extLst>
            <a:ext uri="{FF2B5EF4-FFF2-40B4-BE49-F238E27FC236}">
              <a16:creationId xmlns:a16="http://schemas.microsoft.com/office/drawing/2014/main" id="{B9692ED2-23BE-4520-8534-2D42E68EEB4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28" name="Line 220">
          <a:extLst>
            <a:ext uri="{FF2B5EF4-FFF2-40B4-BE49-F238E27FC236}">
              <a16:creationId xmlns:a16="http://schemas.microsoft.com/office/drawing/2014/main" id="{BC8697DA-67C5-42C7-8E63-1B5C3ED4749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29" name="Line 221">
          <a:extLst>
            <a:ext uri="{FF2B5EF4-FFF2-40B4-BE49-F238E27FC236}">
              <a16:creationId xmlns:a16="http://schemas.microsoft.com/office/drawing/2014/main" id="{9D7C37BC-A9F0-4533-B41C-5E31BC1A9EF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30" name="Line 222">
          <a:extLst>
            <a:ext uri="{FF2B5EF4-FFF2-40B4-BE49-F238E27FC236}">
              <a16:creationId xmlns:a16="http://schemas.microsoft.com/office/drawing/2014/main" id="{EA9F08CE-1E10-4B7A-966C-17EFF47A94C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1" name="Line 223">
          <a:extLst>
            <a:ext uri="{FF2B5EF4-FFF2-40B4-BE49-F238E27FC236}">
              <a16:creationId xmlns:a16="http://schemas.microsoft.com/office/drawing/2014/main" id="{495A6F22-52C4-41D2-B14C-DFB9C923760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2" name="Line 224">
          <a:extLst>
            <a:ext uri="{FF2B5EF4-FFF2-40B4-BE49-F238E27FC236}">
              <a16:creationId xmlns:a16="http://schemas.microsoft.com/office/drawing/2014/main" id="{B27D239C-CB6C-4335-8968-D6E81DEBBE2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3" name="Line 225">
          <a:extLst>
            <a:ext uri="{FF2B5EF4-FFF2-40B4-BE49-F238E27FC236}">
              <a16:creationId xmlns:a16="http://schemas.microsoft.com/office/drawing/2014/main" id="{62FA3820-5925-4DEE-AC6F-1FE7DD41237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4" name="Line 226">
          <a:extLst>
            <a:ext uri="{FF2B5EF4-FFF2-40B4-BE49-F238E27FC236}">
              <a16:creationId xmlns:a16="http://schemas.microsoft.com/office/drawing/2014/main" id="{CD8A823D-41A3-47A0-897D-8BA12024056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35" name="Line 227">
          <a:extLst>
            <a:ext uri="{FF2B5EF4-FFF2-40B4-BE49-F238E27FC236}">
              <a16:creationId xmlns:a16="http://schemas.microsoft.com/office/drawing/2014/main" id="{776048F8-B14B-4989-8FD8-634BE4311413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6" name="Line 228">
          <a:extLst>
            <a:ext uri="{FF2B5EF4-FFF2-40B4-BE49-F238E27FC236}">
              <a16:creationId xmlns:a16="http://schemas.microsoft.com/office/drawing/2014/main" id="{55E3F304-D1EA-44AD-89C8-33E35512BC4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37" name="Line 229">
          <a:extLst>
            <a:ext uri="{FF2B5EF4-FFF2-40B4-BE49-F238E27FC236}">
              <a16:creationId xmlns:a16="http://schemas.microsoft.com/office/drawing/2014/main" id="{8E7D308D-37CF-4D6D-AFE9-35D4A954053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8" name="Line 230">
          <a:extLst>
            <a:ext uri="{FF2B5EF4-FFF2-40B4-BE49-F238E27FC236}">
              <a16:creationId xmlns:a16="http://schemas.microsoft.com/office/drawing/2014/main" id="{163F6C6D-EFE9-4D78-BB3F-74FB90EB7A9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39" name="Line 231">
          <a:extLst>
            <a:ext uri="{FF2B5EF4-FFF2-40B4-BE49-F238E27FC236}">
              <a16:creationId xmlns:a16="http://schemas.microsoft.com/office/drawing/2014/main" id="{D45C259D-6A19-4218-B49D-4AB6568F184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0" name="Line 232">
          <a:extLst>
            <a:ext uri="{FF2B5EF4-FFF2-40B4-BE49-F238E27FC236}">
              <a16:creationId xmlns:a16="http://schemas.microsoft.com/office/drawing/2014/main" id="{B6B342A1-8273-426E-99BA-50D48364196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1" name="Line 233">
          <a:extLst>
            <a:ext uri="{FF2B5EF4-FFF2-40B4-BE49-F238E27FC236}">
              <a16:creationId xmlns:a16="http://schemas.microsoft.com/office/drawing/2014/main" id="{6D17AB7A-5CD4-4DA0-B893-AF759597D62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42" name="Line 234">
          <a:extLst>
            <a:ext uri="{FF2B5EF4-FFF2-40B4-BE49-F238E27FC236}">
              <a16:creationId xmlns:a16="http://schemas.microsoft.com/office/drawing/2014/main" id="{DE831146-CC9A-41CE-96F8-33D9C8DAA34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3" name="Line 235">
          <a:extLst>
            <a:ext uri="{FF2B5EF4-FFF2-40B4-BE49-F238E27FC236}">
              <a16:creationId xmlns:a16="http://schemas.microsoft.com/office/drawing/2014/main" id="{37210267-D332-44E7-A673-7F8564BF2FA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4" name="Line 236">
          <a:extLst>
            <a:ext uri="{FF2B5EF4-FFF2-40B4-BE49-F238E27FC236}">
              <a16:creationId xmlns:a16="http://schemas.microsoft.com/office/drawing/2014/main" id="{E622828E-CD66-4CE4-82E6-C0FBA3DFCF8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5" name="Line 237">
          <a:extLst>
            <a:ext uri="{FF2B5EF4-FFF2-40B4-BE49-F238E27FC236}">
              <a16:creationId xmlns:a16="http://schemas.microsoft.com/office/drawing/2014/main" id="{425EFD25-F34E-413A-9479-95BC5601908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46" name="Line 238">
          <a:extLst>
            <a:ext uri="{FF2B5EF4-FFF2-40B4-BE49-F238E27FC236}">
              <a16:creationId xmlns:a16="http://schemas.microsoft.com/office/drawing/2014/main" id="{D21866E1-8DDE-493B-B940-8760A40543F5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7" name="Line 239">
          <a:extLst>
            <a:ext uri="{FF2B5EF4-FFF2-40B4-BE49-F238E27FC236}">
              <a16:creationId xmlns:a16="http://schemas.microsoft.com/office/drawing/2014/main" id="{A5CAF37E-4236-4977-ADA2-855FC70111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48" name="Line 240">
          <a:extLst>
            <a:ext uri="{FF2B5EF4-FFF2-40B4-BE49-F238E27FC236}">
              <a16:creationId xmlns:a16="http://schemas.microsoft.com/office/drawing/2014/main" id="{30C3F0B6-827C-41C4-BCDE-FA4FBB35441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49" name="Line 241">
          <a:extLst>
            <a:ext uri="{FF2B5EF4-FFF2-40B4-BE49-F238E27FC236}">
              <a16:creationId xmlns:a16="http://schemas.microsoft.com/office/drawing/2014/main" id="{1B40C56C-3369-47B7-A572-4B749136EF6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50" name="Line 242">
          <a:extLst>
            <a:ext uri="{FF2B5EF4-FFF2-40B4-BE49-F238E27FC236}">
              <a16:creationId xmlns:a16="http://schemas.microsoft.com/office/drawing/2014/main" id="{7DA03ECE-D09E-4186-88BD-8315BF22A20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51" name="Line 243">
          <a:extLst>
            <a:ext uri="{FF2B5EF4-FFF2-40B4-BE49-F238E27FC236}">
              <a16:creationId xmlns:a16="http://schemas.microsoft.com/office/drawing/2014/main" id="{EF3C0991-BA4A-432D-BAC6-6E466D0A74D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52" name="Line 244">
          <a:extLst>
            <a:ext uri="{FF2B5EF4-FFF2-40B4-BE49-F238E27FC236}">
              <a16:creationId xmlns:a16="http://schemas.microsoft.com/office/drawing/2014/main" id="{165BE571-5397-4C22-8776-8D61C43C01B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53" name="Line 245">
          <a:extLst>
            <a:ext uri="{FF2B5EF4-FFF2-40B4-BE49-F238E27FC236}">
              <a16:creationId xmlns:a16="http://schemas.microsoft.com/office/drawing/2014/main" id="{8ACA1C37-617C-4660-A591-DBFDF689340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54" name="Line 246">
          <a:extLst>
            <a:ext uri="{FF2B5EF4-FFF2-40B4-BE49-F238E27FC236}">
              <a16:creationId xmlns:a16="http://schemas.microsoft.com/office/drawing/2014/main" id="{752B6849-7CE2-4ECD-81D6-402A8BEACB8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55" name="Line 247">
          <a:extLst>
            <a:ext uri="{FF2B5EF4-FFF2-40B4-BE49-F238E27FC236}">
              <a16:creationId xmlns:a16="http://schemas.microsoft.com/office/drawing/2014/main" id="{A5EB31D0-8189-42CA-9EF0-60F411D51F8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56" name="Line 248">
          <a:extLst>
            <a:ext uri="{FF2B5EF4-FFF2-40B4-BE49-F238E27FC236}">
              <a16:creationId xmlns:a16="http://schemas.microsoft.com/office/drawing/2014/main" id="{BCA90ACD-1385-48AF-9CBA-446CBD51808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457" name="Line 249">
          <a:extLst>
            <a:ext uri="{FF2B5EF4-FFF2-40B4-BE49-F238E27FC236}">
              <a16:creationId xmlns:a16="http://schemas.microsoft.com/office/drawing/2014/main" id="{CEBEFF7F-6015-407B-AD04-013F7428ACC1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58" name="Line 250">
          <a:extLst>
            <a:ext uri="{FF2B5EF4-FFF2-40B4-BE49-F238E27FC236}">
              <a16:creationId xmlns:a16="http://schemas.microsoft.com/office/drawing/2014/main" id="{C3609CDE-207C-481D-802F-3C0BA0C93FF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59" name="Line 251">
          <a:extLst>
            <a:ext uri="{FF2B5EF4-FFF2-40B4-BE49-F238E27FC236}">
              <a16:creationId xmlns:a16="http://schemas.microsoft.com/office/drawing/2014/main" id="{56E847C6-1115-4FEA-8434-8CF3A07487C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60" name="Line 252">
          <a:extLst>
            <a:ext uri="{FF2B5EF4-FFF2-40B4-BE49-F238E27FC236}">
              <a16:creationId xmlns:a16="http://schemas.microsoft.com/office/drawing/2014/main" id="{E8C56910-0ADB-4B2D-8CCE-8F7F60C2C25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61" name="Line 253">
          <a:extLst>
            <a:ext uri="{FF2B5EF4-FFF2-40B4-BE49-F238E27FC236}">
              <a16:creationId xmlns:a16="http://schemas.microsoft.com/office/drawing/2014/main" id="{DE281540-D4B2-404E-A6AF-9F8B491C1C1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62" name="Line 254">
          <a:extLst>
            <a:ext uri="{FF2B5EF4-FFF2-40B4-BE49-F238E27FC236}">
              <a16:creationId xmlns:a16="http://schemas.microsoft.com/office/drawing/2014/main" id="{6851C338-2C42-41B6-9F28-D8881498E96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63" name="Line 255">
          <a:extLst>
            <a:ext uri="{FF2B5EF4-FFF2-40B4-BE49-F238E27FC236}">
              <a16:creationId xmlns:a16="http://schemas.microsoft.com/office/drawing/2014/main" id="{30316DA6-93AC-4D49-AF77-15A73C2D6A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64" name="Line 256">
          <a:extLst>
            <a:ext uri="{FF2B5EF4-FFF2-40B4-BE49-F238E27FC236}">
              <a16:creationId xmlns:a16="http://schemas.microsoft.com/office/drawing/2014/main" id="{7C9A6118-B2AE-4C6F-BDA4-3FB6EC2BA88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65" name="Line 257">
          <a:extLst>
            <a:ext uri="{FF2B5EF4-FFF2-40B4-BE49-F238E27FC236}">
              <a16:creationId xmlns:a16="http://schemas.microsoft.com/office/drawing/2014/main" id="{E7738CB9-AFEB-4EEA-9A2E-6E8205D43EF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66" name="Line 258">
          <a:extLst>
            <a:ext uri="{FF2B5EF4-FFF2-40B4-BE49-F238E27FC236}">
              <a16:creationId xmlns:a16="http://schemas.microsoft.com/office/drawing/2014/main" id="{6F9B5177-9AD7-467C-9EC3-81DC362A453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67" name="Line 259">
          <a:extLst>
            <a:ext uri="{FF2B5EF4-FFF2-40B4-BE49-F238E27FC236}">
              <a16:creationId xmlns:a16="http://schemas.microsoft.com/office/drawing/2014/main" id="{0EE670C9-F561-498E-9330-8B8D0642BCC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68" name="Line 260">
          <a:extLst>
            <a:ext uri="{FF2B5EF4-FFF2-40B4-BE49-F238E27FC236}">
              <a16:creationId xmlns:a16="http://schemas.microsoft.com/office/drawing/2014/main" id="{1362EA4B-34B1-4569-90BF-A57F87A33B7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69" name="Line 261">
          <a:extLst>
            <a:ext uri="{FF2B5EF4-FFF2-40B4-BE49-F238E27FC236}">
              <a16:creationId xmlns:a16="http://schemas.microsoft.com/office/drawing/2014/main" id="{1E85001C-EE4F-4FF4-A247-87926D30836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70" name="Line 262">
          <a:extLst>
            <a:ext uri="{FF2B5EF4-FFF2-40B4-BE49-F238E27FC236}">
              <a16:creationId xmlns:a16="http://schemas.microsoft.com/office/drawing/2014/main" id="{70792C0F-8982-41E0-A7D9-137803CC72D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71" name="Line 263">
          <a:extLst>
            <a:ext uri="{FF2B5EF4-FFF2-40B4-BE49-F238E27FC236}">
              <a16:creationId xmlns:a16="http://schemas.microsoft.com/office/drawing/2014/main" id="{BE4FA6A6-E1E8-448D-8C91-2DFBE9F42E7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72" name="Line 264">
          <a:extLst>
            <a:ext uri="{FF2B5EF4-FFF2-40B4-BE49-F238E27FC236}">
              <a16:creationId xmlns:a16="http://schemas.microsoft.com/office/drawing/2014/main" id="{510CFDBB-3CD1-4586-9A07-5AE0137B154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73" name="Line 265">
          <a:extLst>
            <a:ext uri="{FF2B5EF4-FFF2-40B4-BE49-F238E27FC236}">
              <a16:creationId xmlns:a16="http://schemas.microsoft.com/office/drawing/2014/main" id="{045A15F3-E07B-4233-976E-637E41C3206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74" name="Line 266">
          <a:extLst>
            <a:ext uri="{FF2B5EF4-FFF2-40B4-BE49-F238E27FC236}">
              <a16:creationId xmlns:a16="http://schemas.microsoft.com/office/drawing/2014/main" id="{234F568F-DA9A-4C2A-A935-2215B14B1C3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475" name="Line 267">
          <a:extLst>
            <a:ext uri="{FF2B5EF4-FFF2-40B4-BE49-F238E27FC236}">
              <a16:creationId xmlns:a16="http://schemas.microsoft.com/office/drawing/2014/main" id="{81E09F7B-B4B6-44B4-803D-D8F5703937B3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76" name="Line 268">
          <a:extLst>
            <a:ext uri="{FF2B5EF4-FFF2-40B4-BE49-F238E27FC236}">
              <a16:creationId xmlns:a16="http://schemas.microsoft.com/office/drawing/2014/main" id="{3545F22D-F2AF-4130-A3FC-BCB8829E369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77" name="Line 269">
          <a:extLst>
            <a:ext uri="{FF2B5EF4-FFF2-40B4-BE49-F238E27FC236}">
              <a16:creationId xmlns:a16="http://schemas.microsoft.com/office/drawing/2014/main" id="{12C744EF-863F-4668-AE3C-01297E82EB4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78" name="Line 270">
          <a:extLst>
            <a:ext uri="{FF2B5EF4-FFF2-40B4-BE49-F238E27FC236}">
              <a16:creationId xmlns:a16="http://schemas.microsoft.com/office/drawing/2014/main" id="{D0910A6C-53E1-4598-B355-900E0DD5AA7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79" name="Line 271">
          <a:extLst>
            <a:ext uri="{FF2B5EF4-FFF2-40B4-BE49-F238E27FC236}">
              <a16:creationId xmlns:a16="http://schemas.microsoft.com/office/drawing/2014/main" id="{EFC409B6-B6A7-47DE-AFAC-9F5B3C01F92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80" name="Line 272">
          <a:extLst>
            <a:ext uri="{FF2B5EF4-FFF2-40B4-BE49-F238E27FC236}">
              <a16:creationId xmlns:a16="http://schemas.microsoft.com/office/drawing/2014/main" id="{4F23C73B-EE5D-4CF4-8E53-289E26B14F1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1" name="Line 273">
          <a:extLst>
            <a:ext uri="{FF2B5EF4-FFF2-40B4-BE49-F238E27FC236}">
              <a16:creationId xmlns:a16="http://schemas.microsoft.com/office/drawing/2014/main" id="{C341DFEB-B376-4D4D-B17A-00BBDAE9254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2" name="Line 274">
          <a:extLst>
            <a:ext uri="{FF2B5EF4-FFF2-40B4-BE49-F238E27FC236}">
              <a16:creationId xmlns:a16="http://schemas.microsoft.com/office/drawing/2014/main" id="{CD853267-AD57-44E5-98E0-A9A01B861ED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3" name="Line 275">
          <a:extLst>
            <a:ext uri="{FF2B5EF4-FFF2-40B4-BE49-F238E27FC236}">
              <a16:creationId xmlns:a16="http://schemas.microsoft.com/office/drawing/2014/main" id="{A623682F-D910-4B9B-80F5-D1A30E5A8FB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4" name="Line 276">
          <a:extLst>
            <a:ext uri="{FF2B5EF4-FFF2-40B4-BE49-F238E27FC236}">
              <a16:creationId xmlns:a16="http://schemas.microsoft.com/office/drawing/2014/main" id="{6F1C1953-D86F-4E75-9884-D269BEF82D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85" name="Line 277">
          <a:extLst>
            <a:ext uri="{FF2B5EF4-FFF2-40B4-BE49-F238E27FC236}">
              <a16:creationId xmlns:a16="http://schemas.microsoft.com/office/drawing/2014/main" id="{74EE4F9C-DEFA-4EB7-8656-64490E5B20A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6" name="Line 278">
          <a:extLst>
            <a:ext uri="{FF2B5EF4-FFF2-40B4-BE49-F238E27FC236}">
              <a16:creationId xmlns:a16="http://schemas.microsoft.com/office/drawing/2014/main" id="{822E5839-42F8-4A41-80BC-070DEC17FF8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87" name="Line 279">
          <a:extLst>
            <a:ext uri="{FF2B5EF4-FFF2-40B4-BE49-F238E27FC236}">
              <a16:creationId xmlns:a16="http://schemas.microsoft.com/office/drawing/2014/main" id="{D0F4C1E9-4E89-4A55-A4E4-81F7C8AF07B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8" name="Line 280">
          <a:extLst>
            <a:ext uri="{FF2B5EF4-FFF2-40B4-BE49-F238E27FC236}">
              <a16:creationId xmlns:a16="http://schemas.microsoft.com/office/drawing/2014/main" id="{3EC4E08D-E8F6-4675-AB60-C96E0EACB84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89" name="Line 281">
          <a:extLst>
            <a:ext uri="{FF2B5EF4-FFF2-40B4-BE49-F238E27FC236}">
              <a16:creationId xmlns:a16="http://schemas.microsoft.com/office/drawing/2014/main" id="{6C7FD9AD-3B0F-48C1-B39F-6059150D83B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0" name="Line 282">
          <a:extLst>
            <a:ext uri="{FF2B5EF4-FFF2-40B4-BE49-F238E27FC236}">
              <a16:creationId xmlns:a16="http://schemas.microsoft.com/office/drawing/2014/main" id="{B3F4FB30-FCC0-4ECF-B6A0-57A945C1E1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1" name="Line 283">
          <a:extLst>
            <a:ext uri="{FF2B5EF4-FFF2-40B4-BE49-F238E27FC236}">
              <a16:creationId xmlns:a16="http://schemas.microsoft.com/office/drawing/2014/main" id="{AB0F6964-C211-4D75-A2DC-E1F05D6178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92" name="Line 284">
          <a:extLst>
            <a:ext uri="{FF2B5EF4-FFF2-40B4-BE49-F238E27FC236}">
              <a16:creationId xmlns:a16="http://schemas.microsoft.com/office/drawing/2014/main" id="{E11568C5-9737-42B0-BACE-39FEFAB647A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3" name="Line 285">
          <a:extLst>
            <a:ext uri="{FF2B5EF4-FFF2-40B4-BE49-F238E27FC236}">
              <a16:creationId xmlns:a16="http://schemas.microsoft.com/office/drawing/2014/main" id="{7C04FDCA-816C-493E-8134-EEB78285904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4" name="Line 286">
          <a:extLst>
            <a:ext uri="{FF2B5EF4-FFF2-40B4-BE49-F238E27FC236}">
              <a16:creationId xmlns:a16="http://schemas.microsoft.com/office/drawing/2014/main" id="{973C016A-9ECA-4D3B-BD6B-D96969FE6F9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5" name="Line 287">
          <a:extLst>
            <a:ext uri="{FF2B5EF4-FFF2-40B4-BE49-F238E27FC236}">
              <a16:creationId xmlns:a16="http://schemas.microsoft.com/office/drawing/2014/main" id="{6F443964-2B29-4769-A938-9882FBD969C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496" name="Line 288">
          <a:extLst>
            <a:ext uri="{FF2B5EF4-FFF2-40B4-BE49-F238E27FC236}">
              <a16:creationId xmlns:a16="http://schemas.microsoft.com/office/drawing/2014/main" id="{51775B5F-58FC-4F0B-A1C9-B0BDFA2CF82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7" name="Line 289">
          <a:extLst>
            <a:ext uri="{FF2B5EF4-FFF2-40B4-BE49-F238E27FC236}">
              <a16:creationId xmlns:a16="http://schemas.microsoft.com/office/drawing/2014/main" id="{C1870FA0-D90C-4818-83D5-451EBB039D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498" name="Line 290">
          <a:extLst>
            <a:ext uri="{FF2B5EF4-FFF2-40B4-BE49-F238E27FC236}">
              <a16:creationId xmlns:a16="http://schemas.microsoft.com/office/drawing/2014/main" id="{2C6D45C3-0682-4A53-98F9-A9742946897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499" name="Line 291">
          <a:extLst>
            <a:ext uri="{FF2B5EF4-FFF2-40B4-BE49-F238E27FC236}">
              <a16:creationId xmlns:a16="http://schemas.microsoft.com/office/drawing/2014/main" id="{5FB60137-79CC-4A78-96C5-DAA90255DA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00" name="Line 292">
          <a:extLst>
            <a:ext uri="{FF2B5EF4-FFF2-40B4-BE49-F238E27FC236}">
              <a16:creationId xmlns:a16="http://schemas.microsoft.com/office/drawing/2014/main" id="{1F02E54D-C393-42E4-8A48-558C1F280E3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01" name="Line 293">
          <a:extLst>
            <a:ext uri="{FF2B5EF4-FFF2-40B4-BE49-F238E27FC236}">
              <a16:creationId xmlns:a16="http://schemas.microsoft.com/office/drawing/2014/main" id="{4391D92D-8548-4374-8775-45DDC586F00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02" name="Line 294">
          <a:extLst>
            <a:ext uri="{FF2B5EF4-FFF2-40B4-BE49-F238E27FC236}">
              <a16:creationId xmlns:a16="http://schemas.microsoft.com/office/drawing/2014/main" id="{96F15C9F-771B-488C-BD76-6C6AF8164A0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03" name="Line 295">
          <a:extLst>
            <a:ext uri="{FF2B5EF4-FFF2-40B4-BE49-F238E27FC236}">
              <a16:creationId xmlns:a16="http://schemas.microsoft.com/office/drawing/2014/main" id="{702A0683-1BB0-4A72-A6C6-1F3360AE04C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04" name="Line 296">
          <a:extLst>
            <a:ext uri="{FF2B5EF4-FFF2-40B4-BE49-F238E27FC236}">
              <a16:creationId xmlns:a16="http://schemas.microsoft.com/office/drawing/2014/main" id="{8A0DB3D2-1B89-4BAE-8B98-DB91FC7B217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05" name="Line 297">
          <a:extLst>
            <a:ext uri="{FF2B5EF4-FFF2-40B4-BE49-F238E27FC236}">
              <a16:creationId xmlns:a16="http://schemas.microsoft.com/office/drawing/2014/main" id="{B5942AD0-7184-4A09-BA04-0C3362F27C3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06" name="Line 298">
          <a:extLst>
            <a:ext uri="{FF2B5EF4-FFF2-40B4-BE49-F238E27FC236}">
              <a16:creationId xmlns:a16="http://schemas.microsoft.com/office/drawing/2014/main" id="{1694320D-3B8C-4AD7-8214-455B101C677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507" name="Line 299">
          <a:extLst>
            <a:ext uri="{FF2B5EF4-FFF2-40B4-BE49-F238E27FC236}">
              <a16:creationId xmlns:a16="http://schemas.microsoft.com/office/drawing/2014/main" id="{8512CF79-4BE8-459A-832C-23EA8E3BFAEF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08" name="Line 300">
          <a:extLst>
            <a:ext uri="{FF2B5EF4-FFF2-40B4-BE49-F238E27FC236}">
              <a16:creationId xmlns:a16="http://schemas.microsoft.com/office/drawing/2014/main" id="{0E8212DB-90C2-4B65-989B-1B10F17AB3E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09" name="Line 301">
          <a:extLst>
            <a:ext uri="{FF2B5EF4-FFF2-40B4-BE49-F238E27FC236}">
              <a16:creationId xmlns:a16="http://schemas.microsoft.com/office/drawing/2014/main" id="{9C78693B-FFD9-4CC2-A792-22E02824907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10" name="Line 302">
          <a:extLst>
            <a:ext uri="{FF2B5EF4-FFF2-40B4-BE49-F238E27FC236}">
              <a16:creationId xmlns:a16="http://schemas.microsoft.com/office/drawing/2014/main" id="{6B5CDFBB-878C-4C8C-AA77-1183D20568D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11" name="Line 303">
          <a:extLst>
            <a:ext uri="{FF2B5EF4-FFF2-40B4-BE49-F238E27FC236}">
              <a16:creationId xmlns:a16="http://schemas.microsoft.com/office/drawing/2014/main" id="{C52C1D46-855B-4945-A016-D8C47247AC6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12" name="Line 304">
          <a:extLst>
            <a:ext uri="{FF2B5EF4-FFF2-40B4-BE49-F238E27FC236}">
              <a16:creationId xmlns:a16="http://schemas.microsoft.com/office/drawing/2014/main" id="{4F031F29-A0EB-4D43-91C2-6732279B3CB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13" name="Line 305">
          <a:extLst>
            <a:ext uri="{FF2B5EF4-FFF2-40B4-BE49-F238E27FC236}">
              <a16:creationId xmlns:a16="http://schemas.microsoft.com/office/drawing/2014/main" id="{2C0FF20D-4FCB-43C8-9ED0-5586C6A0680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14" name="Line 306">
          <a:extLst>
            <a:ext uri="{FF2B5EF4-FFF2-40B4-BE49-F238E27FC236}">
              <a16:creationId xmlns:a16="http://schemas.microsoft.com/office/drawing/2014/main" id="{EEF1D596-8C00-4C73-8539-409EDA31B9A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15" name="Line 307">
          <a:extLst>
            <a:ext uri="{FF2B5EF4-FFF2-40B4-BE49-F238E27FC236}">
              <a16:creationId xmlns:a16="http://schemas.microsoft.com/office/drawing/2014/main" id="{88281367-D680-43D5-A35C-0D59961F154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16" name="Line 308">
          <a:extLst>
            <a:ext uri="{FF2B5EF4-FFF2-40B4-BE49-F238E27FC236}">
              <a16:creationId xmlns:a16="http://schemas.microsoft.com/office/drawing/2014/main" id="{50B5CD50-D0C0-468E-A454-26608647316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17" name="Line 309">
          <a:extLst>
            <a:ext uri="{FF2B5EF4-FFF2-40B4-BE49-F238E27FC236}">
              <a16:creationId xmlns:a16="http://schemas.microsoft.com/office/drawing/2014/main" id="{5F0E5710-B118-414A-9DBC-981DB7174E9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18" name="Line 310">
          <a:extLst>
            <a:ext uri="{FF2B5EF4-FFF2-40B4-BE49-F238E27FC236}">
              <a16:creationId xmlns:a16="http://schemas.microsoft.com/office/drawing/2014/main" id="{2F7398AA-7380-4245-823B-AEB9A1DA068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19" name="Line 311">
          <a:extLst>
            <a:ext uri="{FF2B5EF4-FFF2-40B4-BE49-F238E27FC236}">
              <a16:creationId xmlns:a16="http://schemas.microsoft.com/office/drawing/2014/main" id="{1E178E11-C71D-4311-B026-620DCC707A9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20" name="Line 312">
          <a:extLst>
            <a:ext uri="{FF2B5EF4-FFF2-40B4-BE49-F238E27FC236}">
              <a16:creationId xmlns:a16="http://schemas.microsoft.com/office/drawing/2014/main" id="{346B5E06-5F6E-4428-9422-2AE53D855C5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21" name="Line 313">
          <a:extLst>
            <a:ext uri="{FF2B5EF4-FFF2-40B4-BE49-F238E27FC236}">
              <a16:creationId xmlns:a16="http://schemas.microsoft.com/office/drawing/2014/main" id="{7C839EC7-CB9F-4697-A121-04DAA666E53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22" name="Line 314">
          <a:extLst>
            <a:ext uri="{FF2B5EF4-FFF2-40B4-BE49-F238E27FC236}">
              <a16:creationId xmlns:a16="http://schemas.microsoft.com/office/drawing/2014/main" id="{3D7A2895-D04D-48BC-96F1-714B298356A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23" name="Line 315">
          <a:extLst>
            <a:ext uri="{FF2B5EF4-FFF2-40B4-BE49-F238E27FC236}">
              <a16:creationId xmlns:a16="http://schemas.microsoft.com/office/drawing/2014/main" id="{D16BEC37-42BF-400C-9360-6B0F65464D1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24" name="Line 316">
          <a:extLst>
            <a:ext uri="{FF2B5EF4-FFF2-40B4-BE49-F238E27FC236}">
              <a16:creationId xmlns:a16="http://schemas.microsoft.com/office/drawing/2014/main" id="{8695D22B-3F78-474C-A211-C35B5D50023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525" name="Line 317">
          <a:extLst>
            <a:ext uri="{FF2B5EF4-FFF2-40B4-BE49-F238E27FC236}">
              <a16:creationId xmlns:a16="http://schemas.microsoft.com/office/drawing/2014/main" id="{B6EEF9E6-DB31-486D-92B9-DF5F92D1ACC1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26" name="Line 318">
          <a:extLst>
            <a:ext uri="{FF2B5EF4-FFF2-40B4-BE49-F238E27FC236}">
              <a16:creationId xmlns:a16="http://schemas.microsoft.com/office/drawing/2014/main" id="{38B652B8-90DB-43D8-A295-7683C97ADB7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27" name="Line 319">
          <a:extLst>
            <a:ext uri="{FF2B5EF4-FFF2-40B4-BE49-F238E27FC236}">
              <a16:creationId xmlns:a16="http://schemas.microsoft.com/office/drawing/2014/main" id="{67CA93F2-0FBE-4AF3-AA0B-29E6877618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28" name="Line 320">
          <a:extLst>
            <a:ext uri="{FF2B5EF4-FFF2-40B4-BE49-F238E27FC236}">
              <a16:creationId xmlns:a16="http://schemas.microsoft.com/office/drawing/2014/main" id="{AB985848-9B21-44D8-907C-63F6EA85754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29" name="Line 321">
          <a:extLst>
            <a:ext uri="{FF2B5EF4-FFF2-40B4-BE49-F238E27FC236}">
              <a16:creationId xmlns:a16="http://schemas.microsoft.com/office/drawing/2014/main" id="{6C9C391E-F622-4BA7-A341-7F6B9849D41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30" name="Line 322">
          <a:extLst>
            <a:ext uri="{FF2B5EF4-FFF2-40B4-BE49-F238E27FC236}">
              <a16:creationId xmlns:a16="http://schemas.microsoft.com/office/drawing/2014/main" id="{DBA9D9C8-A0D4-41EA-BEEF-8ACA58B53E5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1" name="Line 323">
          <a:extLst>
            <a:ext uri="{FF2B5EF4-FFF2-40B4-BE49-F238E27FC236}">
              <a16:creationId xmlns:a16="http://schemas.microsoft.com/office/drawing/2014/main" id="{FA08D9D3-1551-4A68-8409-B2184FCA755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2" name="Line 324">
          <a:extLst>
            <a:ext uri="{FF2B5EF4-FFF2-40B4-BE49-F238E27FC236}">
              <a16:creationId xmlns:a16="http://schemas.microsoft.com/office/drawing/2014/main" id="{9127BF26-0BDE-443B-9DA0-1A0606952E5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3" name="Line 325">
          <a:extLst>
            <a:ext uri="{FF2B5EF4-FFF2-40B4-BE49-F238E27FC236}">
              <a16:creationId xmlns:a16="http://schemas.microsoft.com/office/drawing/2014/main" id="{0627CD39-AFA2-4A11-9307-88D6A84E69E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4" name="Line 326">
          <a:extLst>
            <a:ext uri="{FF2B5EF4-FFF2-40B4-BE49-F238E27FC236}">
              <a16:creationId xmlns:a16="http://schemas.microsoft.com/office/drawing/2014/main" id="{BD7EA514-2266-45E1-904E-B11DB96849C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35" name="Line 327">
          <a:extLst>
            <a:ext uri="{FF2B5EF4-FFF2-40B4-BE49-F238E27FC236}">
              <a16:creationId xmlns:a16="http://schemas.microsoft.com/office/drawing/2014/main" id="{87DAD90C-4447-4378-877B-35B86A5294C3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6" name="Line 328">
          <a:extLst>
            <a:ext uri="{FF2B5EF4-FFF2-40B4-BE49-F238E27FC236}">
              <a16:creationId xmlns:a16="http://schemas.microsoft.com/office/drawing/2014/main" id="{4A74B183-E499-4F1D-AFE3-6E60EFC77C4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37" name="Line 329">
          <a:extLst>
            <a:ext uri="{FF2B5EF4-FFF2-40B4-BE49-F238E27FC236}">
              <a16:creationId xmlns:a16="http://schemas.microsoft.com/office/drawing/2014/main" id="{C2A6CFD1-FC5A-4E23-B856-59E1B1A4623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8" name="Line 330">
          <a:extLst>
            <a:ext uri="{FF2B5EF4-FFF2-40B4-BE49-F238E27FC236}">
              <a16:creationId xmlns:a16="http://schemas.microsoft.com/office/drawing/2014/main" id="{57FC7C5B-F0E7-4A6B-A436-32B9FD91A61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39" name="Line 331">
          <a:extLst>
            <a:ext uri="{FF2B5EF4-FFF2-40B4-BE49-F238E27FC236}">
              <a16:creationId xmlns:a16="http://schemas.microsoft.com/office/drawing/2014/main" id="{B56774B3-ED6C-43FD-97B9-016FF0AF025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0" name="Line 332">
          <a:extLst>
            <a:ext uri="{FF2B5EF4-FFF2-40B4-BE49-F238E27FC236}">
              <a16:creationId xmlns:a16="http://schemas.microsoft.com/office/drawing/2014/main" id="{67FFEA84-D71E-4DE4-A577-06A27CF865F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1" name="Line 333">
          <a:extLst>
            <a:ext uri="{FF2B5EF4-FFF2-40B4-BE49-F238E27FC236}">
              <a16:creationId xmlns:a16="http://schemas.microsoft.com/office/drawing/2014/main" id="{A156E3CD-49F4-479B-BE26-BBAE93AE5EE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42" name="Line 334">
          <a:extLst>
            <a:ext uri="{FF2B5EF4-FFF2-40B4-BE49-F238E27FC236}">
              <a16:creationId xmlns:a16="http://schemas.microsoft.com/office/drawing/2014/main" id="{3ABA2015-9DDC-43B1-8C24-2D17600ADAF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3" name="Line 335">
          <a:extLst>
            <a:ext uri="{FF2B5EF4-FFF2-40B4-BE49-F238E27FC236}">
              <a16:creationId xmlns:a16="http://schemas.microsoft.com/office/drawing/2014/main" id="{025682ED-BC76-44F3-8F94-6077A9F8300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4" name="Line 336">
          <a:extLst>
            <a:ext uri="{FF2B5EF4-FFF2-40B4-BE49-F238E27FC236}">
              <a16:creationId xmlns:a16="http://schemas.microsoft.com/office/drawing/2014/main" id="{D830839B-2B85-487A-8613-B8F6E5CCB6A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5" name="Line 337">
          <a:extLst>
            <a:ext uri="{FF2B5EF4-FFF2-40B4-BE49-F238E27FC236}">
              <a16:creationId xmlns:a16="http://schemas.microsoft.com/office/drawing/2014/main" id="{4ED1E3EF-A8DF-4C54-8FBB-B5CE4F9CDE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46" name="Line 338">
          <a:extLst>
            <a:ext uri="{FF2B5EF4-FFF2-40B4-BE49-F238E27FC236}">
              <a16:creationId xmlns:a16="http://schemas.microsoft.com/office/drawing/2014/main" id="{B7035FFD-994C-47FF-BC2A-862FCA191BD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7" name="Line 339">
          <a:extLst>
            <a:ext uri="{FF2B5EF4-FFF2-40B4-BE49-F238E27FC236}">
              <a16:creationId xmlns:a16="http://schemas.microsoft.com/office/drawing/2014/main" id="{94AE7422-4124-4B33-A33B-54C3F73CE7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48" name="Line 340">
          <a:extLst>
            <a:ext uri="{FF2B5EF4-FFF2-40B4-BE49-F238E27FC236}">
              <a16:creationId xmlns:a16="http://schemas.microsoft.com/office/drawing/2014/main" id="{9BB8998F-66B4-419B-B6CA-9921AA51E0A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49" name="Line 341">
          <a:extLst>
            <a:ext uri="{FF2B5EF4-FFF2-40B4-BE49-F238E27FC236}">
              <a16:creationId xmlns:a16="http://schemas.microsoft.com/office/drawing/2014/main" id="{A620977F-955A-4E2B-8A31-AC50B21CE6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50" name="Line 342">
          <a:extLst>
            <a:ext uri="{FF2B5EF4-FFF2-40B4-BE49-F238E27FC236}">
              <a16:creationId xmlns:a16="http://schemas.microsoft.com/office/drawing/2014/main" id="{5566D88A-9A0A-4C85-A6FE-B55A483262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51" name="Line 343">
          <a:extLst>
            <a:ext uri="{FF2B5EF4-FFF2-40B4-BE49-F238E27FC236}">
              <a16:creationId xmlns:a16="http://schemas.microsoft.com/office/drawing/2014/main" id="{405EDCF1-FD22-459E-B271-BD63AFD1FE9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52" name="Line 344">
          <a:extLst>
            <a:ext uri="{FF2B5EF4-FFF2-40B4-BE49-F238E27FC236}">
              <a16:creationId xmlns:a16="http://schemas.microsoft.com/office/drawing/2014/main" id="{BDA95165-FA92-4702-BD6C-F4834D92758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53" name="Line 345">
          <a:extLst>
            <a:ext uri="{FF2B5EF4-FFF2-40B4-BE49-F238E27FC236}">
              <a16:creationId xmlns:a16="http://schemas.microsoft.com/office/drawing/2014/main" id="{DAE7A157-0206-474C-BCFE-72ACB1F2C55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54" name="Line 346">
          <a:extLst>
            <a:ext uri="{FF2B5EF4-FFF2-40B4-BE49-F238E27FC236}">
              <a16:creationId xmlns:a16="http://schemas.microsoft.com/office/drawing/2014/main" id="{FF157F86-190A-4C54-A49D-AE50AC718C3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55" name="Line 347">
          <a:extLst>
            <a:ext uri="{FF2B5EF4-FFF2-40B4-BE49-F238E27FC236}">
              <a16:creationId xmlns:a16="http://schemas.microsoft.com/office/drawing/2014/main" id="{3EC2A6BC-CC4C-4C98-99FE-EE8558797BE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56" name="Line 348">
          <a:extLst>
            <a:ext uri="{FF2B5EF4-FFF2-40B4-BE49-F238E27FC236}">
              <a16:creationId xmlns:a16="http://schemas.microsoft.com/office/drawing/2014/main" id="{DFEE114C-3EDF-434A-A770-44822666C55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557" name="Line 349">
          <a:extLst>
            <a:ext uri="{FF2B5EF4-FFF2-40B4-BE49-F238E27FC236}">
              <a16:creationId xmlns:a16="http://schemas.microsoft.com/office/drawing/2014/main" id="{633E2B0B-3875-4ED9-B9EC-9060AD8BCB17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58" name="Line 350">
          <a:extLst>
            <a:ext uri="{FF2B5EF4-FFF2-40B4-BE49-F238E27FC236}">
              <a16:creationId xmlns:a16="http://schemas.microsoft.com/office/drawing/2014/main" id="{5AD9BF1B-9112-43A6-9247-48A199D9DE1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59" name="Line 351">
          <a:extLst>
            <a:ext uri="{FF2B5EF4-FFF2-40B4-BE49-F238E27FC236}">
              <a16:creationId xmlns:a16="http://schemas.microsoft.com/office/drawing/2014/main" id="{02CF472E-307A-4F13-9444-3833028E869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60" name="Line 352">
          <a:extLst>
            <a:ext uri="{FF2B5EF4-FFF2-40B4-BE49-F238E27FC236}">
              <a16:creationId xmlns:a16="http://schemas.microsoft.com/office/drawing/2014/main" id="{2C0F0C28-B354-4104-BB4E-6A3181C0644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61" name="Line 353">
          <a:extLst>
            <a:ext uri="{FF2B5EF4-FFF2-40B4-BE49-F238E27FC236}">
              <a16:creationId xmlns:a16="http://schemas.microsoft.com/office/drawing/2014/main" id="{E5B47552-DFF0-4C49-82F0-3B86E5ED9D1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62" name="Line 354">
          <a:extLst>
            <a:ext uri="{FF2B5EF4-FFF2-40B4-BE49-F238E27FC236}">
              <a16:creationId xmlns:a16="http://schemas.microsoft.com/office/drawing/2014/main" id="{0EEE34FE-0BE9-49B6-9ECE-102AD37A842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63" name="Line 355">
          <a:extLst>
            <a:ext uri="{FF2B5EF4-FFF2-40B4-BE49-F238E27FC236}">
              <a16:creationId xmlns:a16="http://schemas.microsoft.com/office/drawing/2014/main" id="{A80CB528-4895-42A7-BFB6-22938DD21C4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64" name="Line 356">
          <a:extLst>
            <a:ext uri="{FF2B5EF4-FFF2-40B4-BE49-F238E27FC236}">
              <a16:creationId xmlns:a16="http://schemas.microsoft.com/office/drawing/2014/main" id="{30B41F2A-D27D-4B45-B1F6-148657B8059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65" name="Line 357">
          <a:extLst>
            <a:ext uri="{FF2B5EF4-FFF2-40B4-BE49-F238E27FC236}">
              <a16:creationId xmlns:a16="http://schemas.microsoft.com/office/drawing/2014/main" id="{7DA54D8D-9DE9-4E74-BE3F-6BF870E8DAC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66" name="Line 358">
          <a:extLst>
            <a:ext uri="{FF2B5EF4-FFF2-40B4-BE49-F238E27FC236}">
              <a16:creationId xmlns:a16="http://schemas.microsoft.com/office/drawing/2014/main" id="{403D21A7-47C3-46F1-B613-489F5F990F8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67" name="Line 359">
          <a:extLst>
            <a:ext uri="{FF2B5EF4-FFF2-40B4-BE49-F238E27FC236}">
              <a16:creationId xmlns:a16="http://schemas.microsoft.com/office/drawing/2014/main" id="{CE36EC86-D9F9-4DEC-8BA1-D083EB5B4C8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68" name="Line 360">
          <a:extLst>
            <a:ext uri="{FF2B5EF4-FFF2-40B4-BE49-F238E27FC236}">
              <a16:creationId xmlns:a16="http://schemas.microsoft.com/office/drawing/2014/main" id="{A27B7A59-EEAA-4D37-A004-D64BC2A7982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69" name="Line 361">
          <a:extLst>
            <a:ext uri="{FF2B5EF4-FFF2-40B4-BE49-F238E27FC236}">
              <a16:creationId xmlns:a16="http://schemas.microsoft.com/office/drawing/2014/main" id="{14DDF20E-5232-49D6-8223-61083F82C97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70" name="Line 362">
          <a:extLst>
            <a:ext uri="{FF2B5EF4-FFF2-40B4-BE49-F238E27FC236}">
              <a16:creationId xmlns:a16="http://schemas.microsoft.com/office/drawing/2014/main" id="{0E6404B9-B5CB-4E97-B529-8D19E32E48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71" name="Line 363">
          <a:extLst>
            <a:ext uri="{FF2B5EF4-FFF2-40B4-BE49-F238E27FC236}">
              <a16:creationId xmlns:a16="http://schemas.microsoft.com/office/drawing/2014/main" id="{A12CCA64-C571-469C-A3A5-86695188625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72" name="Line 364">
          <a:extLst>
            <a:ext uri="{FF2B5EF4-FFF2-40B4-BE49-F238E27FC236}">
              <a16:creationId xmlns:a16="http://schemas.microsoft.com/office/drawing/2014/main" id="{A7D5998B-E7BD-441E-BBEB-0079BAB452D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73" name="Line 365">
          <a:extLst>
            <a:ext uri="{FF2B5EF4-FFF2-40B4-BE49-F238E27FC236}">
              <a16:creationId xmlns:a16="http://schemas.microsoft.com/office/drawing/2014/main" id="{4CCE0338-1106-4FE0-81AE-9DEEBF22DA9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74" name="Line 366">
          <a:extLst>
            <a:ext uri="{FF2B5EF4-FFF2-40B4-BE49-F238E27FC236}">
              <a16:creationId xmlns:a16="http://schemas.microsoft.com/office/drawing/2014/main" id="{D8E10E2C-1A36-4BFC-94AC-F940B3ACC6E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575" name="Line 367">
          <a:extLst>
            <a:ext uri="{FF2B5EF4-FFF2-40B4-BE49-F238E27FC236}">
              <a16:creationId xmlns:a16="http://schemas.microsoft.com/office/drawing/2014/main" id="{BA9F68D8-DBE0-46CE-B4A2-2FCDC8CCC2BC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76" name="Line 368">
          <a:extLst>
            <a:ext uri="{FF2B5EF4-FFF2-40B4-BE49-F238E27FC236}">
              <a16:creationId xmlns:a16="http://schemas.microsoft.com/office/drawing/2014/main" id="{531B3ADD-DF8D-4300-89E6-C32D4F64986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77" name="Line 369">
          <a:extLst>
            <a:ext uri="{FF2B5EF4-FFF2-40B4-BE49-F238E27FC236}">
              <a16:creationId xmlns:a16="http://schemas.microsoft.com/office/drawing/2014/main" id="{3C7017FA-47D2-43AC-91EB-E475CDEC699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78" name="Line 370">
          <a:extLst>
            <a:ext uri="{FF2B5EF4-FFF2-40B4-BE49-F238E27FC236}">
              <a16:creationId xmlns:a16="http://schemas.microsoft.com/office/drawing/2014/main" id="{7F598DDB-B41E-4705-B2F6-D036E2A5485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79" name="Line 371">
          <a:extLst>
            <a:ext uri="{FF2B5EF4-FFF2-40B4-BE49-F238E27FC236}">
              <a16:creationId xmlns:a16="http://schemas.microsoft.com/office/drawing/2014/main" id="{528A3451-F2C4-490E-B267-ECA27FF975E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80" name="Line 372">
          <a:extLst>
            <a:ext uri="{FF2B5EF4-FFF2-40B4-BE49-F238E27FC236}">
              <a16:creationId xmlns:a16="http://schemas.microsoft.com/office/drawing/2014/main" id="{FE7C3030-A929-47B0-BD7E-617757E4F57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1" name="Line 373">
          <a:extLst>
            <a:ext uri="{FF2B5EF4-FFF2-40B4-BE49-F238E27FC236}">
              <a16:creationId xmlns:a16="http://schemas.microsoft.com/office/drawing/2014/main" id="{1165BE95-9CEF-4D3B-8E4F-EF0A2943D2C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2" name="Line 374">
          <a:extLst>
            <a:ext uri="{FF2B5EF4-FFF2-40B4-BE49-F238E27FC236}">
              <a16:creationId xmlns:a16="http://schemas.microsoft.com/office/drawing/2014/main" id="{D438D44A-69D9-439F-851D-D5E66F06133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3" name="Line 375">
          <a:extLst>
            <a:ext uri="{FF2B5EF4-FFF2-40B4-BE49-F238E27FC236}">
              <a16:creationId xmlns:a16="http://schemas.microsoft.com/office/drawing/2014/main" id="{6FA2C1E4-82A7-479D-B712-C11DBFA4A2E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4" name="Line 376">
          <a:extLst>
            <a:ext uri="{FF2B5EF4-FFF2-40B4-BE49-F238E27FC236}">
              <a16:creationId xmlns:a16="http://schemas.microsoft.com/office/drawing/2014/main" id="{D54661BB-FFDC-4372-B2E2-A5F247CA697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85" name="Line 377">
          <a:extLst>
            <a:ext uri="{FF2B5EF4-FFF2-40B4-BE49-F238E27FC236}">
              <a16:creationId xmlns:a16="http://schemas.microsoft.com/office/drawing/2014/main" id="{CEAF2942-A45F-41C3-B529-7A12371D67E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6" name="Line 378">
          <a:extLst>
            <a:ext uri="{FF2B5EF4-FFF2-40B4-BE49-F238E27FC236}">
              <a16:creationId xmlns:a16="http://schemas.microsoft.com/office/drawing/2014/main" id="{D48A5E8F-85F9-4267-8B8A-9B38CB37732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87" name="Line 379">
          <a:extLst>
            <a:ext uri="{FF2B5EF4-FFF2-40B4-BE49-F238E27FC236}">
              <a16:creationId xmlns:a16="http://schemas.microsoft.com/office/drawing/2014/main" id="{4FDE511F-CE7F-430D-81B8-A3E6C6B8010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8" name="Line 380">
          <a:extLst>
            <a:ext uri="{FF2B5EF4-FFF2-40B4-BE49-F238E27FC236}">
              <a16:creationId xmlns:a16="http://schemas.microsoft.com/office/drawing/2014/main" id="{FE90870A-FA3A-45CD-B313-D2A8161D803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89" name="Line 381">
          <a:extLst>
            <a:ext uri="{FF2B5EF4-FFF2-40B4-BE49-F238E27FC236}">
              <a16:creationId xmlns:a16="http://schemas.microsoft.com/office/drawing/2014/main" id="{1B1531B6-B1F4-4CE1-8736-3CC0C1F8A84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0" name="Line 382">
          <a:extLst>
            <a:ext uri="{FF2B5EF4-FFF2-40B4-BE49-F238E27FC236}">
              <a16:creationId xmlns:a16="http://schemas.microsoft.com/office/drawing/2014/main" id="{B61BE422-AD9A-4C63-9799-CCBB9605672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1" name="Line 383">
          <a:extLst>
            <a:ext uri="{FF2B5EF4-FFF2-40B4-BE49-F238E27FC236}">
              <a16:creationId xmlns:a16="http://schemas.microsoft.com/office/drawing/2014/main" id="{A41C094D-AE94-4584-BE06-DFBD862BC2C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92" name="Line 384">
          <a:extLst>
            <a:ext uri="{FF2B5EF4-FFF2-40B4-BE49-F238E27FC236}">
              <a16:creationId xmlns:a16="http://schemas.microsoft.com/office/drawing/2014/main" id="{D77B6D3E-6D72-4FA4-B99A-D795C63DE26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3" name="Line 385">
          <a:extLst>
            <a:ext uri="{FF2B5EF4-FFF2-40B4-BE49-F238E27FC236}">
              <a16:creationId xmlns:a16="http://schemas.microsoft.com/office/drawing/2014/main" id="{9DD38767-7A0A-4A82-9F8F-993155B1CB6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4" name="Line 386">
          <a:extLst>
            <a:ext uri="{FF2B5EF4-FFF2-40B4-BE49-F238E27FC236}">
              <a16:creationId xmlns:a16="http://schemas.microsoft.com/office/drawing/2014/main" id="{41EA2F82-45DF-431C-8F42-7F6484D2794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5" name="Line 387">
          <a:extLst>
            <a:ext uri="{FF2B5EF4-FFF2-40B4-BE49-F238E27FC236}">
              <a16:creationId xmlns:a16="http://schemas.microsoft.com/office/drawing/2014/main" id="{9072515E-0375-4E04-A08C-0E731EE0196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596" name="Line 388">
          <a:extLst>
            <a:ext uri="{FF2B5EF4-FFF2-40B4-BE49-F238E27FC236}">
              <a16:creationId xmlns:a16="http://schemas.microsoft.com/office/drawing/2014/main" id="{60E20E0C-63DE-40EC-8086-AEB2D14C9BE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7" name="Line 389">
          <a:extLst>
            <a:ext uri="{FF2B5EF4-FFF2-40B4-BE49-F238E27FC236}">
              <a16:creationId xmlns:a16="http://schemas.microsoft.com/office/drawing/2014/main" id="{C7E8D3A2-9F7C-4E4A-BC4B-9B58189FEF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598" name="Line 390">
          <a:extLst>
            <a:ext uri="{FF2B5EF4-FFF2-40B4-BE49-F238E27FC236}">
              <a16:creationId xmlns:a16="http://schemas.microsoft.com/office/drawing/2014/main" id="{19BBA11D-B0E6-4C53-8AE8-7D95DD649BF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599" name="Line 391">
          <a:extLst>
            <a:ext uri="{FF2B5EF4-FFF2-40B4-BE49-F238E27FC236}">
              <a16:creationId xmlns:a16="http://schemas.microsoft.com/office/drawing/2014/main" id="{C656F0E5-012E-4784-BE46-E3550D8146E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00" name="Line 392">
          <a:extLst>
            <a:ext uri="{FF2B5EF4-FFF2-40B4-BE49-F238E27FC236}">
              <a16:creationId xmlns:a16="http://schemas.microsoft.com/office/drawing/2014/main" id="{9E2E4264-A3AF-45FB-A9E9-D4444238434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01" name="Line 393">
          <a:extLst>
            <a:ext uri="{FF2B5EF4-FFF2-40B4-BE49-F238E27FC236}">
              <a16:creationId xmlns:a16="http://schemas.microsoft.com/office/drawing/2014/main" id="{07BD5C25-CDA3-4078-9106-910F4757DE6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02" name="Line 394">
          <a:extLst>
            <a:ext uri="{FF2B5EF4-FFF2-40B4-BE49-F238E27FC236}">
              <a16:creationId xmlns:a16="http://schemas.microsoft.com/office/drawing/2014/main" id="{DDDC5994-0152-4D51-80DF-805EEF7E8A9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03" name="Line 395">
          <a:extLst>
            <a:ext uri="{FF2B5EF4-FFF2-40B4-BE49-F238E27FC236}">
              <a16:creationId xmlns:a16="http://schemas.microsoft.com/office/drawing/2014/main" id="{435DB515-C6B6-49D4-90A5-09719749464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04" name="Line 396">
          <a:extLst>
            <a:ext uri="{FF2B5EF4-FFF2-40B4-BE49-F238E27FC236}">
              <a16:creationId xmlns:a16="http://schemas.microsoft.com/office/drawing/2014/main" id="{6375FA3E-E470-4789-B6DA-5604C8602F8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05" name="Line 397">
          <a:extLst>
            <a:ext uri="{FF2B5EF4-FFF2-40B4-BE49-F238E27FC236}">
              <a16:creationId xmlns:a16="http://schemas.microsoft.com/office/drawing/2014/main" id="{5478D4C0-18C3-42D2-BA7B-4FD5C4390DB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06" name="Line 398">
          <a:extLst>
            <a:ext uri="{FF2B5EF4-FFF2-40B4-BE49-F238E27FC236}">
              <a16:creationId xmlns:a16="http://schemas.microsoft.com/office/drawing/2014/main" id="{8B63EA3C-CBBD-403F-8FED-D934293DBD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607" name="Line 399">
          <a:extLst>
            <a:ext uri="{FF2B5EF4-FFF2-40B4-BE49-F238E27FC236}">
              <a16:creationId xmlns:a16="http://schemas.microsoft.com/office/drawing/2014/main" id="{4BCE540F-768B-4373-AE78-B6B4E5F00BE4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08" name="Line 400">
          <a:extLst>
            <a:ext uri="{FF2B5EF4-FFF2-40B4-BE49-F238E27FC236}">
              <a16:creationId xmlns:a16="http://schemas.microsoft.com/office/drawing/2014/main" id="{3804B691-5E16-4AA3-9561-6D8B4160884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09" name="Line 401">
          <a:extLst>
            <a:ext uri="{FF2B5EF4-FFF2-40B4-BE49-F238E27FC236}">
              <a16:creationId xmlns:a16="http://schemas.microsoft.com/office/drawing/2014/main" id="{879E0619-14F7-4C65-9EA0-F872B9EEC67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10" name="Line 402">
          <a:extLst>
            <a:ext uri="{FF2B5EF4-FFF2-40B4-BE49-F238E27FC236}">
              <a16:creationId xmlns:a16="http://schemas.microsoft.com/office/drawing/2014/main" id="{77B7B897-40BE-4CB0-8691-E673320E1DF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11" name="Line 403">
          <a:extLst>
            <a:ext uri="{FF2B5EF4-FFF2-40B4-BE49-F238E27FC236}">
              <a16:creationId xmlns:a16="http://schemas.microsoft.com/office/drawing/2014/main" id="{2234F34B-AB28-42E1-AAD0-3F1294EEF23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12" name="Line 404">
          <a:extLst>
            <a:ext uri="{FF2B5EF4-FFF2-40B4-BE49-F238E27FC236}">
              <a16:creationId xmlns:a16="http://schemas.microsoft.com/office/drawing/2014/main" id="{56053336-9502-4D2C-AAA2-82C0966C743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13" name="Line 405">
          <a:extLst>
            <a:ext uri="{FF2B5EF4-FFF2-40B4-BE49-F238E27FC236}">
              <a16:creationId xmlns:a16="http://schemas.microsoft.com/office/drawing/2014/main" id="{DC1E0391-AB95-46A3-B40A-2D48B423CFE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14" name="Line 406">
          <a:extLst>
            <a:ext uri="{FF2B5EF4-FFF2-40B4-BE49-F238E27FC236}">
              <a16:creationId xmlns:a16="http://schemas.microsoft.com/office/drawing/2014/main" id="{7A5EA68D-5AE4-47B3-B242-73B4D347F55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15" name="Line 407">
          <a:extLst>
            <a:ext uri="{FF2B5EF4-FFF2-40B4-BE49-F238E27FC236}">
              <a16:creationId xmlns:a16="http://schemas.microsoft.com/office/drawing/2014/main" id="{9ADBECA0-283B-4EEB-B664-8FA3561F515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16" name="Line 408">
          <a:extLst>
            <a:ext uri="{FF2B5EF4-FFF2-40B4-BE49-F238E27FC236}">
              <a16:creationId xmlns:a16="http://schemas.microsoft.com/office/drawing/2014/main" id="{99D25C96-CE18-4094-87BA-A57145A1D5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17" name="Line 409">
          <a:extLst>
            <a:ext uri="{FF2B5EF4-FFF2-40B4-BE49-F238E27FC236}">
              <a16:creationId xmlns:a16="http://schemas.microsoft.com/office/drawing/2014/main" id="{C0D4AA88-2FF4-4EC4-B981-A7561047E405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18" name="Line 410">
          <a:extLst>
            <a:ext uri="{FF2B5EF4-FFF2-40B4-BE49-F238E27FC236}">
              <a16:creationId xmlns:a16="http://schemas.microsoft.com/office/drawing/2014/main" id="{A9E8523C-55E7-4833-A287-8965B7C24C1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19" name="Line 411">
          <a:extLst>
            <a:ext uri="{FF2B5EF4-FFF2-40B4-BE49-F238E27FC236}">
              <a16:creationId xmlns:a16="http://schemas.microsoft.com/office/drawing/2014/main" id="{516F898A-2798-4B12-AD7D-2CA890DCB0C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20" name="Line 412">
          <a:extLst>
            <a:ext uri="{FF2B5EF4-FFF2-40B4-BE49-F238E27FC236}">
              <a16:creationId xmlns:a16="http://schemas.microsoft.com/office/drawing/2014/main" id="{BCDEB340-77BA-440E-93A8-B2DBE590D2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21" name="Line 413">
          <a:extLst>
            <a:ext uri="{FF2B5EF4-FFF2-40B4-BE49-F238E27FC236}">
              <a16:creationId xmlns:a16="http://schemas.microsoft.com/office/drawing/2014/main" id="{2D40A25F-9BE3-427E-B407-3A79E675A25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22" name="Line 414">
          <a:extLst>
            <a:ext uri="{FF2B5EF4-FFF2-40B4-BE49-F238E27FC236}">
              <a16:creationId xmlns:a16="http://schemas.microsoft.com/office/drawing/2014/main" id="{51DF80A1-28EA-4683-B840-D0F2E6D5762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23" name="Line 415">
          <a:extLst>
            <a:ext uri="{FF2B5EF4-FFF2-40B4-BE49-F238E27FC236}">
              <a16:creationId xmlns:a16="http://schemas.microsoft.com/office/drawing/2014/main" id="{00716574-4F3E-4420-9F2C-CA54BD26453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24" name="Line 416">
          <a:extLst>
            <a:ext uri="{FF2B5EF4-FFF2-40B4-BE49-F238E27FC236}">
              <a16:creationId xmlns:a16="http://schemas.microsoft.com/office/drawing/2014/main" id="{C104F4BD-035C-4F49-B105-133F3FA03B1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625" name="Line 417">
          <a:extLst>
            <a:ext uri="{FF2B5EF4-FFF2-40B4-BE49-F238E27FC236}">
              <a16:creationId xmlns:a16="http://schemas.microsoft.com/office/drawing/2014/main" id="{1CBAB02F-8DA3-44B6-B1F9-28599BA34DD8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26" name="Line 418">
          <a:extLst>
            <a:ext uri="{FF2B5EF4-FFF2-40B4-BE49-F238E27FC236}">
              <a16:creationId xmlns:a16="http://schemas.microsoft.com/office/drawing/2014/main" id="{E3380F44-8A6F-4F71-A65D-1FBBDFB5393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27" name="Line 419">
          <a:extLst>
            <a:ext uri="{FF2B5EF4-FFF2-40B4-BE49-F238E27FC236}">
              <a16:creationId xmlns:a16="http://schemas.microsoft.com/office/drawing/2014/main" id="{27DCE330-A11E-411B-9C6E-7771EB3144F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28" name="Line 420">
          <a:extLst>
            <a:ext uri="{FF2B5EF4-FFF2-40B4-BE49-F238E27FC236}">
              <a16:creationId xmlns:a16="http://schemas.microsoft.com/office/drawing/2014/main" id="{4937ECE7-D392-445A-8880-2E1243FEE59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29" name="Line 421">
          <a:extLst>
            <a:ext uri="{FF2B5EF4-FFF2-40B4-BE49-F238E27FC236}">
              <a16:creationId xmlns:a16="http://schemas.microsoft.com/office/drawing/2014/main" id="{2ACBBA72-E428-48F8-82FF-80C01F2C0AC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30" name="Line 422">
          <a:extLst>
            <a:ext uri="{FF2B5EF4-FFF2-40B4-BE49-F238E27FC236}">
              <a16:creationId xmlns:a16="http://schemas.microsoft.com/office/drawing/2014/main" id="{CB2ACC2C-E8C0-4150-BD90-BD2299B744D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1" name="Line 423">
          <a:extLst>
            <a:ext uri="{FF2B5EF4-FFF2-40B4-BE49-F238E27FC236}">
              <a16:creationId xmlns:a16="http://schemas.microsoft.com/office/drawing/2014/main" id="{F5AAB87C-BB70-4017-BAF1-616FF0D955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2" name="Line 424">
          <a:extLst>
            <a:ext uri="{FF2B5EF4-FFF2-40B4-BE49-F238E27FC236}">
              <a16:creationId xmlns:a16="http://schemas.microsoft.com/office/drawing/2014/main" id="{E1AA8ECC-63D8-4D7A-84C1-692CC7F8463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3" name="Line 425">
          <a:extLst>
            <a:ext uri="{FF2B5EF4-FFF2-40B4-BE49-F238E27FC236}">
              <a16:creationId xmlns:a16="http://schemas.microsoft.com/office/drawing/2014/main" id="{B988BDE9-170D-4E79-83F8-2A1CFB640F6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4" name="Line 426">
          <a:extLst>
            <a:ext uri="{FF2B5EF4-FFF2-40B4-BE49-F238E27FC236}">
              <a16:creationId xmlns:a16="http://schemas.microsoft.com/office/drawing/2014/main" id="{15D55848-7DE6-4A21-BA41-ADA1676F4F0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35" name="Line 427">
          <a:extLst>
            <a:ext uri="{FF2B5EF4-FFF2-40B4-BE49-F238E27FC236}">
              <a16:creationId xmlns:a16="http://schemas.microsoft.com/office/drawing/2014/main" id="{79FBA2B3-710D-4CA8-9C06-815E95427C38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6" name="Line 428">
          <a:extLst>
            <a:ext uri="{FF2B5EF4-FFF2-40B4-BE49-F238E27FC236}">
              <a16:creationId xmlns:a16="http://schemas.microsoft.com/office/drawing/2014/main" id="{A3C24C7B-5269-4DC3-9FCD-C6C12C121E4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37" name="Line 429">
          <a:extLst>
            <a:ext uri="{FF2B5EF4-FFF2-40B4-BE49-F238E27FC236}">
              <a16:creationId xmlns:a16="http://schemas.microsoft.com/office/drawing/2014/main" id="{6BA1B779-E889-4AE0-A73D-9BD7DD0B5D5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8" name="Line 430">
          <a:extLst>
            <a:ext uri="{FF2B5EF4-FFF2-40B4-BE49-F238E27FC236}">
              <a16:creationId xmlns:a16="http://schemas.microsoft.com/office/drawing/2014/main" id="{248B5059-50E3-4D7A-A593-A129AC34E4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39" name="Line 431">
          <a:extLst>
            <a:ext uri="{FF2B5EF4-FFF2-40B4-BE49-F238E27FC236}">
              <a16:creationId xmlns:a16="http://schemas.microsoft.com/office/drawing/2014/main" id="{AABE6F37-2BB5-4C00-B5D4-692165C029B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0" name="Line 432">
          <a:extLst>
            <a:ext uri="{FF2B5EF4-FFF2-40B4-BE49-F238E27FC236}">
              <a16:creationId xmlns:a16="http://schemas.microsoft.com/office/drawing/2014/main" id="{7CCD8964-FF55-47C5-A62A-5AD44DF0631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1" name="Line 433">
          <a:extLst>
            <a:ext uri="{FF2B5EF4-FFF2-40B4-BE49-F238E27FC236}">
              <a16:creationId xmlns:a16="http://schemas.microsoft.com/office/drawing/2014/main" id="{21DFABAD-85BC-4792-8F09-0D4BE07F1AC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42" name="Line 434">
          <a:extLst>
            <a:ext uri="{FF2B5EF4-FFF2-40B4-BE49-F238E27FC236}">
              <a16:creationId xmlns:a16="http://schemas.microsoft.com/office/drawing/2014/main" id="{E61F21A8-33B9-415B-AF53-531151BA772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3" name="Line 435">
          <a:extLst>
            <a:ext uri="{FF2B5EF4-FFF2-40B4-BE49-F238E27FC236}">
              <a16:creationId xmlns:a16="http://schemas.microsoft.com/office/drawing/2014/main" id="{F69938B8-265F-4D7F-B24A-CE0A9E645F8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4" name="Line 436">
          <a:extLst>
            <a:ext uri="{FF2B5EF4-FFF2-40B4-BE49-F238E27FC236}">
              <a16:creationId xmlns:a16="http://schemas.microsoft.com/office/drawing/2014/main" id="{E5671588-9EB2-4A05-901A-9AE6C7C5EB5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5" name="Line 437">
          <a:extLst>
            <a:ext uri="{FF2B5EF4-FFF2-40B4-BE49-F238E27FC236}">
              <a16:creationId xmlns:a16="http://schemas.microsoft.com/office/drawing/2014/main" id="{A9EDC5DC-110C-42F5-A47C-7CAEB040E8A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46" name="Line 438">
          <a:extLst>
            <a:ext uri="{FF2B5EF4-FFF2-40B4-BE49-F238E27FC236}">
              <a16:creationId xmlns:a16="http://schemas.microsoft.com/office/drawing/2014/main" id="{2273C10A-7D58-47E7-89E9-FCD148F10D9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7" name="Line 439">
          <a:extLst>
            <a:ext uri="{FF2B5EF4-FFF2-40B4-BE49-F238E27FC236}">
              <a16:creationId xmlns:a16="http://schemas.microsoft.com/office/drawing/2014/main" id="{5C8E8FF3-661A-4C46-ABB1-132352DA69F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48" name="Line 440">
          <a:extLst>
            <a:ext uri="{FF2B5EF4-FFF2-40B4-BE49-F238E27FC236}">
              <a16:creationId xmlns:a16="http://schemas.microsoft.com/office/drawing/2014/main" id="{93AFC6DF-8221-4D53-8298-32BB420EAC7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49" name="Line 441">
          <a:extLst>
            <a:ext uri="{FF2B5EF4-FFF2-40B4-BE49-F238E27FC236}">
              <a16:creationId xmlns:a16="http://schemas.microsoft.com/office/drawing/2014/main" id="{9984B264-0F28-4438-A471-87898D28F5E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50" name="Line 442">
          <a:extLst>
            <a:ext uri="{FF2B5EF4-FFF2-40B4-BE49-F238E27FC236}">
              <a16:creationId xmlns:a16="http://schemas.microsoft.com/office/drawing/2014/main" id="{1EC4DDF0-F577-46C9-9068-3E495D5483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51" name="Line 443">
          <a:extLst>
            <a:ext uri="{FF2B5EF4-FFF2-40B4-BE49-F238E27FC236}">
              <a16:creationId xmlns:a16="http://schemas.microsoft.com/office/drawing/2014/main" id="{FF52F47B-4B91-47FC-B141-94B0E257A6C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52" name="Line 444">
          <a:extLst>
            <a:ext uri="{FF2B5EF4-FFF2-40B4-BE49-F238E27FC236}">
              <a16:creationId xmlns:a16="http://schemas.microsoft.com/office/drawing/2014/main" id="{29760708-C03A-424B-9A0F-265FF31ED60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53" name="Line 445">
          <a:extLst>
            <a:ext uri="{FF2B5EF4-FFF2-40B4-BE49-F238E27FC236}">
              <a16:creationId xmlns:a16="http://schemas.microsoft.com/office/drawing/2014/main" id="{AE0A15FC-5454-4DCA-8D60-F4DA2CCEA30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54" name="Line 446">
          <a:extLst>
            <a:ext uri="{FF2B5EF4-FFF2-40B4-BE49-F238E27FC236}">
              <a16:creationId xmlns:a16="http://schemas.microsoft.com/office/drawing/2014/main" id="{D60AE3CA-A468-4EF9-8C53-EB8D1BF5CAD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55" name="Line 447">
          <a:extLst>
            <a:ext uri="{FF2B5EF4-FFF2-40B4-BE49-F238E27FC236}">
              <a16:creationId xmlns:a16="http://schemas.microsoft.com/office/drawing/2014/main" id="{EA6E8B04-04E6-4A8C-8CEF-F10C6F09B0A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56" name="Line 448">
          <a:extLst>
            <a:ext uri="{FF2B5EF4-FFF2-40B4-BE49-F238E27FC236}">
              <a16:creationId xmlns:a16="http://schemas.microsoft.com/office/drawing/2014/main" id="{809AAFFD-157E-44FD-8071-AA8F84D3537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657" name="Line 449">
          <a:extLst>
            <a:ext uri="{FF2B5EF4-FFF2-40B4-BE49-F238E27FC236}">
              <a16:creationId xmlns:a16="http://schemas.microsoft.com/office/drawing/2014/main" id="{8B66DCC7-01A1-4DCD-BB92-E2D69498BDCA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58" name="Line 450">
          <a:extLst>
            <a:ext uri="{FF2B5EF4-FFF2-40B4-BE49-F238E27FC236}">
              <a16:creationId xmlns:a16="http://schemas.microsoft.com/office/drawing/2014/main" id="{21739400-45F6-4E1F-89DD-6296144C685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59" name="Line 451">
          <a:extLst>
            <a:ext uri="{FF2B5EF4-FFF2-40B4-BE49-F238E27FC236}">
              <a16:creationId xmlns:a16="http://schemas.microsoft.com/office/drawing/2014/main" id="{D05CFF7A-D4AE-4568-B6C7-85600102D59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60" name="Line 452">
          <a:extLst>
            <a:ext uri="{FF2B5EF4-FFF2-40B4-BE49-F238E27FC236}">
              <a16:creationId xmlns:a16="http://schemas.microsoft.com/office/drawing/2014/main" id="{298FE756-EDB4-4ECB-A973-1E66FA78610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61" name="Line 453">
          <a:extLst>
            <a:ext uri="{FF2B5EF4-FFF2-40B4-BE49-F238E27FC236}">
              <a16:creationId xmlns:a16="http://schemas.microsoft.com/office/drawing/2014/main" id="{1978FB02-47A0-40DA-9A3F-FF361146D4D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62" name="Line 454">
          <a:extLst>
            <a:ext uri="{FF2B5EF4-FFF2-40B4-BE49-F238E27FC236}">
              <a16:creationId xmlns:a16="http://schemas.microsoft.com/office/drawing/2014/main" id="{E1B635E6-7E60-4C88-9195-6F7DEA2F48B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63" name="Line 455">
          <a:extLst>
            <a:ext uri="{FF2B5EF4-FFF2-40B4-BE49-F238E27FC236}">
              <a16:creationId xmlns:a16="http://schemas.microsoft.com/office/drawing/2014/main" id="{081583C3-F30D-409C-A399-B8D63AD43A5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64" name="Line 456">
          <a:extLst>
            <a:ext uri="{FF2B5EF4-FFF2-40B4-BE49-F238E27FC236}">
              <a16:creationId xmlns:a16="http://schemas.microsoft.com/office/drawing/2014/main" id="{B11F1AC6-F3BA-404E-8FCB-9C2F968A466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65" name="Line 457">
          <a:extLst>
            <a:ext uri="{FF2B5EF4-FFF2-40B4-BE49-F238E27FC236}">
              <a16:creationId xmlns:a16="http://schemas.microsoft.com/office/drawing/2014/main" id="{64C61AE6-0E6E-4FBE-8759-DD6409AD962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66" name="Line 458">
          <a:extLst>
            <a:ext uri="{FF2B5EF4-FFF2-40B4-BE49-F238E27FC236}">
              <a16:creationId xmlns:a16="http://schemas.microsoft.com/office/drawing/2014/main" id="{8B25C729-5D23-4F47-B5E2-C6CB942958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67" name="Line 459">
          <a:extLst>
            <a:ext uri="{FF2B5EF4-FFF2-40B4-BE49-F238E27FC236}">
              <a16:creationId xmlns:a16="http://schemas.microsoft.com/office/drawing/2014/main" id="{C9E2C73F-5EB8-4FA7-8419-DB0C253F71C8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68" name="Line 460">
          <a:extLst>
            <a:ext uri="{FF2B5EF4-FFF2-40B4-BE49-F238E27FC236}">
              <a16:creationId xmlns:a16="http://schemas.microsoft.com/office/drawing/2014/main" id="{89766F5F-299E-4419-B7D5-DC094BB864F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69" name="Line 461">
          <a:extLst>
            <a:ext uri="{FF2B5EF4-FFF2-40B4-BE49-F238E27FC236}">
              <a16:creationId xmlns:a16="http://schemas.microsoft.com/office/drawing/2014/main" id="{597E83CA-197B-4247-805B-D9639C5D10B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70" name="Line 462">
          <a:extLst>
            <a:ext uri="{FF2B5EF4-FFF2-40B4-BE49-F238E27FC236}">
              <a16:creationId xmlns:a16="http://schemas.microsoft.com/office/drawing/2014/main" id="{CBBBBEA3-8802-434C-B5EC-9B0D6B66C8F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71" name="Line 463">
          <a:extLst>
            <a:ext uri="{FF2B5EF4-FFF2-40B4-BE49-F238E27FC236}">
              <a16:creationId xmlns:a16="http://schemas.microsoft.com/office/drawing/2014/main" id="{E8AAE245-17A5-46EB-94CB-402B1B60AD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72" name="Line 464">
          <a:extLst>
            <a:ext uri="{FF2B5EF4-FFF2-40B4-BE49-F238E27FC236}">
              <a16:creationId xmlns:a16="http://schemas.microsoft.com/office/drawing/2014/main" id="{3061DE83-E745-4D72-B246-6CF55EEF745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73" name="Line 465">
          <a:extLst>
            <a:ext uri="{FF2B5EF4-FFF2-40B4-BE49-F238E27FC236}">
              <a16:creationId xmlns:a16="http://schemas.microsoft.com/office/drawing/2014/main" id="{51B84E6A-A878-4881-B765-ECE47275BEC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74" name="Line 466">
          <a:extLst>
            <a:ext uri="{FF2B5EF4-FFF2-40B4-BE49-F238E27FC236}">
              <a16:creationId xmlns:a16="http://schemas.microsoft.com/office/drawing/2014/main" id="{78402537-1729-4D14-8C4C-69BCD2DBF01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675" name="Line 467">
          <a:extLst>
            <a:ext uri="{FF2B5EF4-FFF2-40B4-BE49-F238E27FC236}">
              <a16:creationId xmlns:a16="http://schemas.microsoft.com/office/drawing/2014/main" id="{BE3771AE-953E-4ED0-A3E3-64B9FFD26E92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76" name="Line 468">
          <a:extLst>
            <a:ext uri="{FF2B5EF4-FFF2-40B4-BE49-F238E27FC236}">
              <a16:creationId xmlns:a16="http://schemas.microsoft.com/office/drawing/2014/main" id="{0C38FEFD-9A75-4107-972D-6B57C4CBA3F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77" name="Line 469">
          <a:extLst>
            <a:ext uri="{FF2B5EF4-FFF2-40B4-BE49-F238E27FC236}">
              <a16:creationId xmlns:a16="http://schemas.microsoft.com/office/drawing/2014/main" id="{3EFC7D59-5459-44CE-85F7-BB0D7120822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78" name="Line 470">
          <a:extLst>
            <a:ext uri="{FF2B5EF4-FFF2-40B4-BE49-F238E27FC236}">
              <a16:creationId xmlns:a16="http://schemas.microsoft.com/office/drawing/2014/main" id="{AC210461-99EE-454D-9B65-6B8D7ACF300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79" name="Line 471">
          <a:extLst>
            <a:ext uri="{FF2B5EF4-FFF2-40B4-BE49-F238E27FC236}">
              <a16:creationId xmlns:a16="http://schemas.microsoft.com/office/drawing/2014/main" id="{F1329F86-7CD8-4B0E-A4CF-C899497BA84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80" name="Line 472">
          <a:extLst>
            <a:ext uri="{FF2B5EF4-FFF2-40B4-BE49-F238E27FC236}">
              <a16:creationId xmlns:a16="http://schemas.microsoft.com/office/drawing/2014/main" id="{7128529B-F4AA-4EA7-94D2-CD41E2D5563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1" name="Line 473">
          <a:extLst>
            <a:ext uri="{FF2B5EF4-FFF2-40B4-BE49-F238E27FC236}">
              <a16:creationId xmlns:a16="http://schemas.microsoft.com/office/drawing/2014/main" id="{212A23C6-1BBE-4EF5-B089-F2FD14B40C9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2" name="Line 474">
          <a:extLst>
            <a:ext uri="{FF2B5EF4-FFF2-40B4-BE49-F238E27FC236}">
              <a16:creationId xmlns:a16="http://schemas.microsoft.com/office/drawing/2014/main" id="{AB29E3CE-B140-4B06-964A-FD100FC474E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3" name="Line 475">
          <a:extLst>
            <a:ext uri="{FF2B5EF4-FFF2-40B4-BE49-F238E27FC236}">
              <a16:creationId xmlns:a16="http://schemas.microsoft.com/office/drawing/2014/main" id="{64FED9BE-3AE9-4E04-A0EF-8389E1319F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4" name="Line 476">
          <a:extLst>
            <a:ext uri="{FF2B5EF4-FFF2-40B4-BE49-F238E27FC236}">
              <a16:creationId xmlns:a16="http://schemas.microsoft.com/office/drawing/2014/main" id="{D249110F-CB60-4021-9C08-2DDA2DA98A9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85" name="Line 477">
          <a:extLst>
            <a:ext uri="{FF2B5EF4-FFF2-40B4-BE49-F238E27FC236}">
              <a16:creationId xmlns:a16="http://schemas.microsoft.com/office/drawing/2014/main" id="{C2FEBDB4-13A6-4E06-97C0-8F52FBB2F3C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6" name="Line 478">
          <a:extLst>
            <a:ext uri="{FF2B5EF4-FFF2-40B4-BE49-F238E27FC236}">
              <a16:creationId xmlns:a16="http://schemas.microsoft.com/office/drawing/2014/main" id="{3581AB4E-02A6-47A0-BF24-0A167215590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87" name="Line 479">
          <a:extLst>
            <a:ext uri="{FF2B5EF4-FFF2-40B4-BE49-F238E27FC236}">
              <a16:creationId xmlns:a16="http://schemas.microsoft.com/office/drawing/2014/main" id="{0EE1B831-2707-435E-8029-37F872008F1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8" name="Line 480">
          <a:extLst>
            <a:ext uri="{FF2B5EF4-FFF2-40B4-BE49-F238E27FC236}">
              <a16:creationId xmlns:a16="http://schemas.microsoft.com/office/drawing/2014/main" id="{97BE2330-1F83-4BC7-B53E-1A5DB426764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89" name="Line 481">
          <a:extLst>
            <a:ext uri="{FF2B5EF4-FFF2-40B4-BE49-F238E27FC236}">
              <a16:creationId xmlns:a16="http://schemas.microsoft.com/office/drawing/2014/main" id="{ACA3C702-0A7A-4554-8D6A-56DCBAC015B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0" name="Line 482">
          <a:extLst>
            <a:ext uri="{FF2B5EF4-FFF2-40B4-BE49-F238E27FC236}">
              <a16:creationId xmlns:a16="http://schemas.microsoft.com/office/drawing/2014/main" id="{B2586317-618F-458F-9E11-9366D88EFE1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1" name="Line 483">
          <a:extLst>
            <a:ext uri="{FF2B5EF4-FFF2-40B4-BE49-F238E27FC236}">
              <a16:creationId xmlns:a16="http://schemas.microsoft.com/office/drawing/2014/main" id="{96B63F76-EDBA-419E-9E48-2896E2A422F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92" name="Line 484">
          <a:extLst>
            <a:ext uri="{FF2B5EF4-FFF2-40B4-BE49-F238E27FC236}">
              <a16:creationId xmlns:a16="http://schemas.microsoft.com/office/drawing/2014/main" id="{7D83B704-BC68-4AA0-95F9-1857A2E2BD9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3" name="Line 485">
          <a:extLst>
            <a:ext uri="{FF2B5EF4-FFF2-40B4-BE49-F238E27FC236}">
              <a16:creationId xmlns:a16="http://schemas.microsoft.com/office/drawing/2014/main" id="{99AFDCF1-4EF8-46E8-B35E-8B2ACBBCE62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4" name="Line 486">
          <a:extLst>
            <a:ext uri="{FF2B5EF4-FFF2-40B4-BE49-F238E27FC236}">
              <a16:creationId xmlns:a16="http://schemas.microsoft.com/office/drawing/2014/main" id="{BB12210C-74EB-42EC-9A65-30E557CA920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5" name="Line 487">
          <a:extLst>
            <a:ext uri="{FF2B5EF4-FFF2-40B4-BE49-F238E27FC236}">
              <a16:creationId xmlns:a16="http://schemas.microsoft.com/office/drawing/2014/main" id="{C3707192-5A89-4BDC-A1DB-A3491D527F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696" name="Line 488">
          <a:extLst>
            <a:ext uri="{FF2B5EF4-FFF2-40B4-BE49-F238E27FC236}">
              <a16:creationId xmlns:a16="http://schemas.microsoft.com/office/drawing/2014/main" id="{2C52CD25-4208-4263-B1C5-4E95C9BF7D66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7" name="Line 489">
          <a:extLst>
            <a:ext uri="{FF2B5EF4-FFF2-40B4-BE49-F238E27FC236}">
              <a16:creationId xmlns:a16="http://schemas.microsoft.com/office/drawing/2014/main" id="{A7347820-29D1-4CDA-A607-C42628F321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698" name="Line 490">
          <a:extLst>
            <a:ext uri="{FF2B5EF4-FFF2-40B4-BE49-F238E27FC236}">
              <a16:creationId xmlns:a16="http://schemas.microsoft.com/office/drawing/2014/main" id="{E5E3A6F8-17CA-4E44-944C-D6430FB2593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699" name="Line 491">
          <a:extLst>
            <a:ext uri="{FF2B5EF4-FFF2-40B4-BE49-F238E27FC236}">
              <a16:creationId xmlns:a16="http://schemas.microsoft.com/office/drawing/2014/main" id="{473402C9-F524-48E6-883D-48515622EE1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00" name="Line 492">
          <a:extLst>
            <a:ext uri="{FF2B5EF4-FFF2-40B4-BE49-F238E27FC236}">
              <a16:creationId xmlns:a16="http://schemas.microsoft.com/office/drawing/2014/main" id="{FA976522-DE22-4CB0-8493-8BC3BB2E23E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01" name="Line 493">
          <a:extLst>
            <a:ext uri="{FF2B5EF4-FFF2-40B4-BE49-F238E27FC236}">
              <a16:creationId xmlns:a16="http://schemas.microsoft.com/office/drawing/2014/main" id="{A71194B4-C156-48A8-8A89-AB21388F2E4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02" name="Line 494">
          <a:extLst>
            <a:ext uri="{FF2B5EF4-FFF2-40B4-BE49-F238E27FC236}">
              <a16:creationId xmlns:a16="http://schemas.microsoft.com/office/drawing/2014/main" id="{D002ECA3-7BFF-4283-B2F8-2E72CFBA06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03" name="Line 495">
          <a:extLst>
            <a:ext uri="{FF2B5EF4-FFF2-40B4-BE49-F238E27FC236}">
              <a16:creationId xmlns:a16="http://schemas.microsoft.com/office/drawing/2014/main" id="{4FE2A38E-1028-4895-B548-E30B67E300F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04" name="Line 496">
          <a:extLst>
            <a:ext uri="{FF2B5EF4-FFF2-40B4-BE49-F238E27FC236}">
              <a16:creationId xmlns:a16="http://schemas.microsoft.com/office/drawing/2014/main" id="{0B4B39FF-07C4-4695-A85C-DE317952587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05" name="Line 497">
          <a:extLst>
            <a:ext uri="{FF2B5EF4-FFF2-40B4-BE49-F238E27FC236}">
              <a16:creationId xmlns:a16="http://schemas.microsoft.com/office/drawing/2014/main" id="{BB393D73-1A77-4AA2-A2A3-B61952581CA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06" name="Line 498">
          <a:extLst>
            <a:ext uri="{FF2B5EF4-FFF2-40B4-BE49-F238E27FC236}">
              <a16:creationId xmlns:a16="http://schemas.microsoft.com/office/drawing/2014/main" id="{93F15BC7-EAA1-4129-B7E4-D63083EEB89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707" name="Line 499">
          <a:extLst>
            <a:ext uri="{FF2B5EF4-FFF2-40B4-BE49-F238E27FC236}">
              <a16:creationId xmlns:a16="http://schemas.microsoft.com/office/drawing/2014/main" id="{AB206838-E90E-45C5-8C10-670EF552D949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08" name="Line 500">
          <a:extLst>
            <a:ext uri="{FF2B5EF4-FFF2-40B4-BE49-F238E27FC236}">
              <a16:creationId xmlns:a16="http://schemas.microsoft.com/office/drawing/2014/main" id="{F81D6F78-900F-4222-9332-32C6F173865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09" name="Line 501">
          <a:extLst>
            <a:ext uri="{FF2B5EF4-FFF2-40B4-BE49-F238E27FC236}">
              <a16:creationId xmlns:a16="http://schemas.microsoft.com/office/drawing/2014/main" id="{653DF83D-0450-4D5C-B45A-52BD99DFD44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10" name="Line 502">
          <a:extLst>
            <a:ext uri="{FF2B5EF4-FFF2-40B4-BE49-F238E27FC236}">
              <a16:creationId xmlns:a16="http://schemas.microsoft.com/office/drawing/2014/main" id="{9BDD9F00-AD9C-41EB-BBBB-9F3B239E1A6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11" name="Line 503">
          <a:extLst>
            <a:ext uri="{FF2B5EF4-FFF2-40B4-BE49-F238E27FC236}">
              <a16:creationId xmlns:a16="http://schemas.microsoft.com/office/drawing/2014/main" id="{8C831239-9BEA-4888-81B6-D1FDCFBAD55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12" name="Line 504">
          <a:extLst>
            <a:ext uri="{FF2B5EF4-FFF2-40B4-BE49-F238E27FC236}">
              <a16:creationId xmlns:a16="http://schemas.microsoft.com/office/drawing/2014/main" id="{37AB8302-168A-4126-B528-FEC6C3C42FD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13" name="Line 505">
          <a:extLst>
            <a:ext uri="{FF2B5EF4-FFF2-40B4-BE49-F238E27FC236}">
              <a16:creationId xmlns:a16="http://schemas.microsoft.com/office/drawing/2014/main" id="{B0907D0A-8025-473B-B466-98CA255B733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14" name="Line 506">
          <a:extLst>
            <a:ext uri="{FF2B5EF4-FFF2-40B4-BE49-F238E27FC236}">
              <a16:creationId xmlns:a16="http://schemas.microsoft.com/office/drawing/2014/main" id="{A3DB9D01-A57D-4E8F-95F1-204CA50203F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15" name="Line 507">
          <a:extLst>
            <a:ext uri="{FF2B5EF4-FFF2-40B4-BE49-F238E27FC236}">
              <a16:creationId xmlns:a16="http://schemas.microsoft.com/office/drawing/2014/main" id="{D8E37908-BF08-43DD-BDC1-03C32F99B9A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16" name="Line 508">
          <a:extLst>
            <a:ext uri="{FF2B5EF4-FFF2-40B4-BE49-F238E27FC236}">
              <a16:creationId xmlns:a16="http://schemas.microsoft.com/office/drawing/2014/main" id="{4D8EF3D6-BDF0-408E-98A7-9A9A1D2EEBF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17" name="Line 509">
          <a:extLst>
            <a:ext uri="{FF2B5EF4-FFF2-40B4-BE49-F238E27FC236}">
              <a16:creationId xmlns:a16="http://schemas.microsoft.com/office/drawing/2014/main" id="{00DD7CB2-9A29-42E7-ACDF-3625ACC00DF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18" name="Line 510">
          <a:extLst>
            <a:ext uri="{FF2B5EF4-FFF2-40B4-BE49-F238E27FC236}">
              <a16:creationId xmlns:a16="http://schemas.microsoft.com/office/drawing/2014/main" id="{1268E488-DF1F-4E2E-A70F-ED9CD95F7B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19" name="Line 511">
          <a:extLst>
            <a:ext uri="{FF2B5EF4-FFF2-40B4-BE49-F238E27FC236}">
              <a16:creationId xmlns:a16="http://schemas.microsoft.com/office/drawing/2014/main" id="{5DE65EDC-932A-4DF3-A3F9-F7E95E23E25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20" name="Line 512">
          <a:extLst>
            <a:ext uri="{FF2B5EF4-FFF2-40B4-BE49-F238E27FC236}">
              <a16:creationId xmlns:a16="http://schemas.microsoft.com/office/drawing/2014/main" id="{098A5246-3EF6-4701-8CB5-E9A4787DCBA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21" name="Line 513">
          <a:extLst>
            <a:ext uri="{FF2B5EF4-FFF2-40B4-BE49-F238E27FC236}">
              <a16:creationId xmlns:a16="http://schemas.microsoft.com/office/drawing/2014/main" id="{640A8A31-A085-4D2C-9115-A6550D889EE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22" name="Line 514">
          <a:extLst>
            <a:ext uri="{FF2B5EF4-FFF2-40B4-BE49-F238E27FC236}">
              <a16:creationId xmlns:a16="http://schemas.microsoft.com/office/drawing/2014/main" id="{07A6F26A-425B-49C7-BDE2-A21E44B0314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23" name="Line 515">
          <a:extLst>
            <a:ext uri="{FF2B5EF4-FFF2-40B4-BE49-F238E27FC236}">
              <a16:creationId xmlns:a16="http://schemas.microsoft.com/office/drawing/2014/main" id="{E9AB2366-D81E-4762-B139-134A9FA31AB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24" name="Line 516">
          <a:extLst>
            <a:ext uri="{FF2B5EF4-FFF2-40B4-BE49-F238E27FC236}">
              <a16:creationId xmlns:a16="http://schemas.microsoft.com/office/drawing/2014/main" id="{0D47B6CE-2C65-42F5-89CB-369FC7A0206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725" name="Line 517">
          <a:extLst>
            <a:ext uri="{FF2B5EF4-FFF2-40B4-BE49-F238E27FC236}">
              <a16:creationId xmlns:a16="http://schemas.microsoft.com/office/drawing/2014/main" id="{A0C30DB6-ADB1-40F3-A600-2184C88003A1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26" name="Line 518">
          <a:extLst>
            <a:ext uri="{FF2B5EF4-FFF2-40B4-BE49-F238E27FC236}">
              <a16:creationId xmlns:a16="http://schemas.microsoft.com/office/drawing/2014/main" id="{7BED1632-E129-44C2-AAAA-FDD2D12984A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27" name="Line 519">
          <a:extLst>
            <a:ext uri="{FF2B5EF4-FFF2-40B4-BE49-F238E27FC236}">
              <a16:creationId xmlns:a16="http://schemas.microsoft.com/office/drawing/2014/main" id="{E528EB4D-4656-4B54-8BDE-C86BB4AE3E3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28" name="Line 520">
          <a:extLst>
            <a:ext uri="{FF2B5EF4-FFF2-40B4-BE49-F238E27FC236}">
              <a16:creationId xmlns:a16="http://schemas.microsoft.com/office/drawing/2014/main" id="{C4F18E81-2D11-4638-AE04-A0F478AF447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29" name="Line 521">
          <a:extLst>
            <a:ext uri="{FF2B5EF4-FFF2-40B4-BE49-F238E27FC236}">
              <a16:creationId xmlns:a16="http://schemas.microsoft.com/office/drawing/2014/main" id="{BEA772EC-CB8E-4C32-8A5F-924320932A1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30" name="Line 522">
          <a:extLst>
            <a:ext uri="{FF2B5EF4-FFF2-40B4-BE49-F238E27FC236}">
              <a16:creationId xmlns:a16="http://schemas.microsoft.com/office/drawing/2014/main" id="{3156E2CC-8D96-46A5-913B-7DBAF7FF2AD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1" name="Line 523">
          <a:extLst>
            <a:ext uri="{FF2B5EF4-FFF2-40B4-BE49-F238E27FC236}">
              <a16:creationId xmlns:a16="http://schemas.microsoft.com/office/drawing/2014/main" id="{4DD5FB7C-4F9A-47DD-BADF-73F8B74D704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2" name="Line 524">
          <a:extLst>
            <a:ext uri="{FF2B5EF4-FFF2-40B4-BE49-F238E27FC236}">
              <a16:creationId xmlns:a16="http://schemas.microsoft.com/office/drawing/2014/main" id="{5AB3111F-1256-4865-9943-65951457C45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3" name="Line 525">
          <a:extLst>
            <a:ext uri="{FF2B5EF4-FFF2-40B4-BE49-F238E27FC236}">
              <a16:creationId xmlns:a16="http://schemas.microsoft.com/office/drawing/2014/main" id="{2EB7979B-A27E-405C-8405-26450A8B431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4" name="Line 526">
          <a:extLst>
            <a:ext uri="{FF2B5EF4-FFF2-40B4-BE49-F238E27FC236}">
              <a16:creationId xmlns:a16="http://schemas.microsoft.com/office/drawing/2014/main" id="{0926B5E1-12E6-486D-91D9-41891097EBF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35" name="Line 527">
          <a:extLst>
            <a:ext uri="{FF2B5EF4-FFF2-40B4-BE49-F238E27FC236}">
              <a16:creationId xmlns:a16="http://schemas.microsoft.com/office/drawing/2014/main" id="{3A5DB54D-82AD-46AE-AC3A-A88675AC972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6" name="Line 528">
          <a:extLst>
            <a:ext uri="{FF2B5EF4-FFF2-40B4-BE49-F238E27FC236}">
              <a16:creationId xmlns:a16="http://schemas.microsoft.com/office/drawing/2014/main" id="{7F11CAD7-530E-4663-B702-9F048771E32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37" name="Line 529">
          <a:extLst>
            <a:ext uri="{FF2B5EF4-FFF2-40B4-BE49-F238E27FC236}">
              <a16:creationId xmlns:a16="http://schemas.microsoft.com/office/drawing/2014/main" id="{F459F2A4-4E53-4B9C-88BC-7F2DB1E0435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8" name="Line 530">
          <a:extLst>
            <a:ext uri="{FF2B5EF4-FFF2-40B4-BE49-F238E27FC236}">
              <a16:creationId xmlns:a16="http://schemas.microsoft.com/office/drawing/2014/main" id="{B077544F-4761-412B-A47D-3116C84FC65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39" name="Line 531">
          <a:extLst>
            <a:ext uri="{FF2B5EF4-FFF2-40B4-BE49-F238E27FC236}">
              <a16:creationId xmlns:a16="http://schemas.microsoft.com/office/drawing/2014/main" id="{420F104B-FDA8-4240-BFF9-6074CBD971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0" name="Line 532">
          <a:extLst>
            <a:ext uri="{FF2B5EF4-FFF2-40B4-BE49-F238E27FC236}">
              <a16:creationId xmlns:a16="http://schemas.microsoft.com/office/drawing/2014/main" id="{4CF780C7-D581-451C-B216-7151D4823A6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1" name="Line 533">
          <a:extLst>
            <a:ext uri="{FF2B5EF4-FFF2-40B4-BE49-F238E27FC236}">
              <a16:creationId xmlns:a16="http://schemas.microsoft.com/office/drawing/2014/main" id="{5DFE5D21-C5AA-4567-B324-CFA9C9CFB20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42" name="Line 534">
          <a:extLst>
            <a:ext uri="{FF2B5EF4-FFF2-40B4-BE49-F238E27FC236}">
              <a16:creationId xmlns:a16="http://schemas.microsoft.com/office/drawing/2014/main" id="{D57D9FAA-068A-4FFF-8362-668E92782BA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3" name="Line 535">
          <a:extLst>
            <a:ext uri="{FF2B5EF4-FFF2-40B4-BE49-F238E27FC236}">
              <a16:creationId xmlns:a16="http://schemas.microsoft.com/office/drawing/2014/main" id="{7349025F-9552-4917-B2A0-FAE70A3A070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4" name="Line 536">
          <a:extLst>
            <a:ext uri="{FF2B5EF4-FFF2-40B4-BE49-F238E27FC236}">
              <a16:creationId xmlns:a16="http://schemas.microsoft.com/office/drawing/2014/main" id="{60C98F26-C4F5-4225-A391-DC4A3B06B05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5" name="Line 537">
          <a:extLst>
            <a:ext uri="{FF2B5EF4-FFF2-40B4-BE49-F238E27FC236}">
              <a16:creationId xmlns:a16="http://schemas.microsoft.com/office/drawing/2014/main" id="{F70824B9-20D0-4785-8DF3-881AA6714B7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46" name="Line 538">
          <a:extLst>
            <a:ext uri="{FF2B5EF4-FFF2-40B4-BE49-F238E27FC236}">
              <a16:creationId xmlns:a16="http://schemas.microsoft.com/office/drawing/2014/main" id="{5F814918-17C5-4EA8-BB4A-A850E874F54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7" name="Line 539">
          <a:extLst>
            <a:ext uri="{FF2B5EF4-FFF2-40B4-BE49-F238E27FC236}">
              <a16:creationId xmlns:a16="http://schemas.microsoft.com/office/drawing/2014/main" id="{94A4B06B-4380-4199-8F02-AF94DDC5707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48" name="Line 540">
          <a:extLst>
            <a:ext uri="{FF2B5EF4-FFF2-40B4-BE49-F238E27FC236}">
              <a16:creationId xmlns:a16="http://schemas.microsoft.com/office/drawing/2014/main" id="{D85EAA6E-4E9B-46E4-921C-AED2093C1FD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49" name="Line 541">
          <a:extLst>
            <a:ext uri="{FF2B5EF4-FFF2-40B4-BE49-F238E27FC236}">
              <a16:creationId xmlns:a16="http://schemas.microsoft.com/office/drawing/2014/main" id="{3A7F295F-CA9F-4B9D-8E27-B810811D73B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50" name="Line 542">
          <a:extLst>
            <a:ext uri="{FF2B5EF4-FFF2-40B4-BE49-F238E27FC236}">
              <a16:creationId xmlns:a16="http://schemas.microsoft.com/office/drawing/2014/main" id="{AB0AFF72-989A-47B6-9503-D3FF71301B5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51" name="Line 543">
          <a:extLst>
            <a:ext uri="{FF2B5EF4-FFF2-40B4-BE49-F238E27FC236}">
              <a16:creationId xmlns:a16="http://schemas.microsoft.com/office/drawing/2014/main" id="{0E5AE7CD-F6BC-4A40-93E5-CF490EAA08A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52" name="Line 544">
          <a:extLst>
            <a:ext uri="{FF2B5EF4-FFF2-40B4-BE49-F238E27FC236}">
              <a16:creationId xmlns:a16="http://schemas.microsoft.com/office/drawing/2014/main" id="{F4A71005-0610-48F4-B6A4-DD3F78DD0C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53" name="Line 545">
          <a:extLst>
            <a:ext uri="{FF2B5EF4-FFF2-40B4-BE49-F238E27FC236}">
              <a16:creationId xmlns:a16="http://schemas.microsoft.com/office/drawing/2014/main" id="{32DCD5C4-AAE8-41A3-9AAE-0BD9E6AFAF2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54" name="Line 546">
          <a:extLst>
            <a:ext uri="{FF2B5EF4-FFF2-40B4-BE49-F238E27FC236}">
              <a16:creationId xmlns:a16="http://schemas.microsoft.com/office/drawing/2014/main" id="{D90F05F5-8F05-40FB-BA83-783722A7EFE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55" name="Line 547">
          <a:extLst>
            <a:ext uri="{FF2B5EF4-FFF2-40B4-BE49-F238E27FC236}">
              <a16:creationId xmlns:a16="http://schemas.microsoft.com/office/drawing/2014/main" id="{FB55BA55-A530-4763-87B7-FE181CCBD4A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56" name="Line 548">
          <a:extLst>
            <a:ext uri="{FF2B5EF4-FFF2-40B4-BE49-F238E27FC236}">
              <a16:creationId xmlns:a16="http://schemas.microsoft.com/office/drawing/2014/main" id="{980FCFD3-3684-496A-800F-979D78912EA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757" name="Line 549">
          <a:extLst>
            <a:ext uri="{FF2B5EF4-FFF2-40B4-BE49-F238E27FC236}">
              <a16:creationId xmlns:a16="http://schemas.microsoft.com/office/drawing/2014/main" id="{7C680E83-5AA2-41A8-A648-8E47F48F5D4E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58" name="Line 550">
          <a:extLst>
            <a:ext uri="{FF2B5EF4-FFF2-40B4-BE49-F238E27FC236}">
              <a16:creationId xmlns:a16="http://schemas.microsoft.com/office/drawing/2014/main" id="{C2AEDF31-FBFB-4EA2-8511-A3EE77DCB40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59" name="Line 551">
          <a:extLst>
            <a:ext uri="{FF2B5EF4-FFF2-40B4-BE49-F238E27FC236}">
              <a16:creationId xmlns:a16="http://schemas.microsoft.com/office/drawing/2014/main" id="{00B11FBD-9C70-45A7-9BF1-06413393ABC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60" name="Line 552">
          <a:extLst>
            <a:ext uri="{FF2B5EF4-FFF2-40B4-BE49-F238E27FC236}">
              <a16:creationId xmlns:a16="http://schemas.microsoft.com/office/drawing/2014/main" id="{2DC214E7-82C9-44AF-BF96-5DEEFC467C5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61" name="Line 553">
          <a:extLst>
            <a:ext uri="{FF2B5EF4-FFF2-40B4-BE49-F238E27FC236}">
              <a16:creationId xmlns:a16="http://schemas.microsoft.com/office/drawing/2014/main" id="{4E5E5682-95B6-4A75-BD65-9ED8B9CCF60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62" name="Line 554">
          <a:extLst>
            <a:ext uri="{FF2B5EF4-FFF2-40B4-BE49-F238E27FC236}">
              <a16:creationId xmlns:a16="http://schemas.microsoft.com/office/drawing/2014/main" id="{CB92E7A4-6157-4961-8E74-D4D67EE23FF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63" name="Line 555">
          <a:extLst>
            <a:ext uri="{FF2B5EF4-FFF2-40B4-BE49-F238E27FC236}">
              <a16:creationId xmlns:a16="http://schemas.microsoft.com/office/drawing/2014/main" id="{F087DBD4-EC5D-4F3F-9238-8BFCD708F35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64" name="Line 556">
          <a:extLst>
            <a:ext uri="{FF2B5EF4-FFF2-40B4-BE49-F238E27FC236}">
              <a16:creationId xmlns:a16="http://schemas.microsoft.com/office/drawing/2014/main" id="{8D396898-4362-4AEA-B513-0C89C1EDC4D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65" name="Line 557">
          <a:extLst>
            <a:ext uri="{FF2B5EF4-FFF2-40B4-BE49-F238E27FC236}">
              <a16:creationId xmlns:a16="http://schemas.microsoft.com/office/drawing/2014/main" id="{78C9933E-FFF8-4CC9-82AE-7DFD806543C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66" name="Line 558">
          <a:extLst>
            <a:ext uri="{FF2B5EF4-FFF2-40B4-BE49-F238E27FC236}">
              <a16:creationId xmlns:a16="http://schemas.microsoft.com/office/drawing/2014/main" id="{2B0A1241-6094-406A-9A76-70B02301721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67" name="Line 559">
          <a:extLst>
            <a:ext uri="{FF2B5EF4-FFF2-40B4-BE49-F238E27FC236}">
              <a16:creationId xmlns:a16="http://schemas.microsoft.com/office/drawing/2014/main" id="{98280476-35CE-4899-8238-7EEA8F272E2A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68" name="Line 560">
          <a:extLst>
            <a:ext uri="{FF2B5EF4-FFF2-40B4-BE49-F238E27FC236}">
              <a16:creationId xmlns:a16="http://schemas.microsoft.com/office/drawing/2014/main" id="{8901DF4C-37AE-4B3E-9C36-8D17FB34777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69" name="Line 561">
          <a:extLst>
            <a:ext uri="{FF2B5EF4-FFF2-40B4-BE49-F238E27FC236}">
              <a16:creationId xmlns:a16="http://schemas.microsoft.com/office/drawing/2014/main" id="{47EAD4BA-9E39-4967-A73F-DBCCF07FC2E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70" name="Line 562">
          <a:extLst>
            <a:ext uri="{FF2B5EF4-FFF2-40B4-BE49-F238E27FC236}">
              <a16:creationId xmlns:a16="http://schemas.microsoft.com/office/drawing/2014/main" id="{F19B73B1-0EFD-4E47-B602-EDEE9728CBA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71" name="Line 563">
          <a:extLst>
            <a:ext uri="{FF2B5EF4-FFF2-40B4-BE49-F238E27FC236}">
              <a16:creationId xmlns:a16="http://schemas.microsoft.com/office/drawing/2014/main" id="{B7413D1F-2556-4BC4-BDAB-D9879AE281C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72" name="Line 564">
          <a:extLst>
            <a:ext uri="{FF2B5EF4-FFF2-40B4-BE49-F238E27FC236}">
              <a16:creationId xmlns:a16="http://schemas.microsoft.com/office/drawing/2014/main" id="{C1889FC2-7B77-4541-8F94-174A6538166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73" name="Line 565">
          <a:extLst>
            <a:ext uri="{FF2B5EF4-FFF2-40B4-BE49-F238E27FC236}">
              <a16:creationId xmlns:a16="http://schemas.microsoft.com/office/drawing/2014/main" id="{C41E7D27-63D1-46A1-B8D8-C0A00551A7E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74" name="Line 566">
          <a:extLst>
            <a:ext uri="{FF2B5EF4-FFF2-40B4-BE49-F238E27FC236}">
              <a16:creationId xmlns:a16="http://schemas.microsoft.com/office/drawing/2014/main" id="{1027FEC5-253C-4121-8AD7-5CB03B0A29F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775" name="Line 567">
          <a:extLst>
            <a:ext uri="{FF2B5EF4-FFF2-40B4-BE49-F238E27FC236}">
              <a16:creationId xmlns:a16="http://schemas.microsoft.com/office/drawing/2014/main" id="{5E1513A2-88E3-4757-9E47-DEB0EEAD53CC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76" name="Line 568">
          <a:extLst>
            <a:ext uri="{FF2B5EF4-FFF2-40B4-BE49-F238E27FC236}">
              <a16:creationId xmlns:a16="http://schemas.microsoft.com/office/drawing/2014/main" id="{134DD273-FB53-4027-B377-E82A93FCD83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77" name="Line 569">
          <a:extLst>
            <a:ext uri="{FF2B5EF4-FFF2-40B4-BE49-F238E27FC236}">
              <a16:creationId xmlns:a16="http://schemas.microsoft.com/office/drawing/2014/main" id="{19C0C710-11B6-4908-8A6A-BA24B7A7F7D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78" name="Line 570">
          <a:extLst>
            <a:ext uri="{FF2B5EF4-FFF2-40B4-BE49-F238E27FC236}">
              <a16:creationId xmlns:a16="http://schemas.microsoft.com/office/drawing/2014/main" id="{F7EAA450-2083-4A60-8E3B-184016EEECF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79" name="Line 571">
          <a:extLst>
            <a:ext uri="{FF2B5EF4-FFF2-40B4-BE49-F238E27FC236}">
              <a16:creationId xmlns:a16="http://schemas.microsoft.com/office/drawing/2014/main" id="{D772E6B7-22F4-4C95-A6FF-AE05CBB8404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80" name="Line 572">
          <a:extLst>
            <a:ext uri="{FF2B5EF4-FFF2-40B4-BE49-F238E27FC236}">
              <a16:creationId xmlns:a16="http://schemas.microsoft.com/office/drawing/2014/main" id="{B7307987-BA5C-47DC-AAD9-B387DEB13F7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1" name="Line 573">
          <a:extLst>
            <a:ext uri="{FF2B5EF4-FFF2-40B4-BE49-F238E27FC236}">
              <a16:creationId xmlns:a16="http://schemas.microsoft.com/office/drawing/2014/main" id="{5153FCDD-0376-4872-8B07-4B098C1F43A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2" name="Line 574">
          <a:extLst>
            <a:ext uri="{FF2B5EF4-FFF2-40B4-BE49-F238E27FC236}">
              <a16:creationId xmlns:a16="http://schemas.microsoft.com/office/drawing/2014/main" id="{53A63B82-6987-4620-B3D9-E618D3DDBF5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3" name="Line 575">
          <a:extLst>
            <a:ext uri="{FF2B5EF4-FFF2-40B4-BE49-F238E27FC236}">
              <a16:creationId xmlns:a16="http://schemas.microsoft.com/office/drawing/2014/main" id="{1D5AE7FA-3596-4A71-8F96-A0C7A80743F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4" name="Line 576">
          <a:extLst>
            <a:ext uri="{FF2B5EF4-FFF2-40B4-BE49-F238E27FC236}">
              <a16:creationId xmlns:a16="http://schemas.microsoft.com/office/drawing/2014/main" id="{BE2E28AE-FE21-45B1-B6D2-F8B6D802018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85" name="Line 577">
          <a:extLst>
            <a:ext uri="{FF2B5EF4-FFF2-40B4-BE49-F238E27FC236}">
              <a16:creationId xmlns:a16="http://schemas.microsoft.com/office/drawing/2014/main" id="{ACA02A72-0E6A-4107-9A82-6B03C560891A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6" name="Line 578">
          <a:extLst>
            <a:ext uri="{FF2B5EF4-FFF2-40B4-BE49-F238E27FC236}">
              <a16:creationId xmlns:a16="http://schemas.microsoft.com/office/drawing/2014/main" id="{2A3CEE5E-E910-417D-AEFD-032801188DE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87" name="Line 579">
          <a:extLst>
            <a:ext uri="{FF2B5EF4-FFF2-40B4-BE49-F238E27FC236}">
              <a16:creationId xmlns:a16="http://schemas.microsoft.com/office/drawing/2014/main" id="{29671161-2921-48BD-B8CE-EBCF6E0AEE8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8" name="Line 580">
          <a:extLst>
            <a:ext uri="{FF2B5EF4-FFF2-40B4-BE49-F238E27FC236}">
              <a16:creationId xmlns:a16="http://schemas.microsoft.com/office/drawing/2014/main" id="{A5587E6C-447A-42D6-9ABE-BC1CF80EA09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89" name="Line 581">
          <a:extLst>
            <a:ext uri="{FF2B5EF4-FFF2-40B4-BE49-F238E27FC236}">
              <a16:creationId xmlns:a16="http://schemas.microsoft.com/office/drawing/2014/main" id="{5EF4CA80-A39E-4D5C-99E5-BE831B1DE91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0" name="Line 582">
          <a:extLst>
            <a:ext uri="{FF2B5EF4-FFF2-40B4-BE49-F238E27FC236}">
              <a16:creationId xmlns:a16="http://schemas.microsoft.com/office/drawing/2014/main" id="{8301673A-086F-4F5B-8937-8BE542D1232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1" name="Line 583">
          <a:extLst>
            <a:ext uri="{FF2B5EF4-FFF2-40B4-BE49-F238E27FC236}">
              <a16:creationId xmlns:a16="http://schemas.microsoft.com/office/drawing/2014/main" id="{F344F4CD-B90D-4CED-857A-5AC13D0D12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92" name="Line 584">
          <a:extLst>
            <a:ext uri="{FF2B5EF4-FFF2-40B4-BE49-F238E27FC236}">
              <a16:creationId xmlns:a16="http://schemas.microsoft.com/office/drawing/2014/main" id="{4F57F15F-1237-4060-A14C-D2725B41899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3" name="Line 585">
          <a:extLst>
            <a:ext uri="{FF2B5EF4-FFF2-40B4-BE49-F238E27FC236}">
              <a16:creationId xmlns:a16="http://schemas.microsoft.com/office/drawing/2014/main" id="{32C6D8EB-30D6-4069-A8DF-8BE79E955CB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4" name="Line 586">
          <a:extLst>
            <a:ext uri="{FF2B5EF4-FFF2-40B4-BE49-F238E27FC236}">
              <a16:creationId xmlns:a16="http://schemas.microsoft.com/office/drawing/2014/main" id="{342ECB54-B67F-42C9-9BF4-A056C5D99C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5" name="Line 587">
          <a:extLst>
            <a:ext uri="{FF2B5EF4-FFF2-40B4-BE49-F238E27FC236}">
              <a16:creationId xmlns:a16="http://schemas.microsoft.com/office/drawing/2014/main" id="{D42C8309-830D-4855-B92C-1EA0E360EDD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796" name="Line 588">
          <a:extLst>
            <a:ext uri="{FF2B5EF4-FFF2-40B4-BE49-F238E27FC236}">
              <a16:creationId xmlns:a16="http://schemas.microsoft.com/office/drawing/2014/main" id="{2D2844E5-3A0B-4879-8DB0-0573D5A70F8C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7" name="Line 589">
          <a:extLst>
            <a:ext uri="{FF2B5EF4-FFF2-40B4-BE49-F238E27FC236}">
              <a16:creationId xmlns:a16="http://schemas.microsoft.com/office/drawing/2014/main" id="{CF22B451-8970-4F24-B98B-20516EA6EB5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798" name="Line 590">
          <a:extLst>
            <a:ext uri="{FF2B5EF4-FFF2-40B4-BE49-F238E27FC236}">
              <a16:creationId xmlns:a16="http://schemas.microsoft.com/office/drawing/2014/main" id="{87EF7814-ED23-459C-8060-1EE79948887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799" name="Line 591">
          <a:extLst>
            <a:ext uri="{FF2B5EF4-FFF2-40B4-BE49-F238E27FC236}">
              <a16:creationId xmlns:a16="http://schemas.microsoft.com/office/drawing/2014/main" id="{EC35404B-DAAF-45CC-B9D7-85AA8079D97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00" name="Line 592">
          <a:extLst>
            <a:ext uri="{FF2B5EF4-FFF2-40B4-BE49-F238E27FC236}">
              <a16:creationId xmlns:a16="http://schemas.microsoft.com/office/drawing/2014/main" id="{2135FA9F-B76C-4139-9592-3758BAF70DC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01" name="Line 593">
          <a:extLst>
            <a:ext uri="{FF2B5EF4-FFF2-40B4-BE49-F238E27FC236}">
              <a16:creationId xmlns:a16="http://schemas.microsoft.com/office/drawing/2014/main" id="{18DBF705-5505-455B-BC52-1D3FF8EEB8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02" name="Line 594">
          <a:extLst>
            <a:ext uri="{FF2B5EF4-FFF2-40B4-BE49-F238E27FC236}">
              <a16:creationId xmlns:a16="http://schemas.microsoft.com/office/drawing/2014/main" id="{A4BAE3AD-5A24-4B98-BAF5-54C6FDF0BBA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03" name="Line 595">
          <a:extLst>
            <a:ext uri="{FF2B5EF4-FFF2-40B4-BE49-F238E27FC236}">
              <a16:creationId xmlns:a16="http://schemas.microsoft.com/office/drawing/2014/main" id="{E86FA9B6-7133-49DB-90ED-1C9EF0F59C2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04" name="Line 596">
          <a:extLst>
            <a:ext uri="{FF2B5EF4-FFF2-40B4-BE49-F238E27FC236}">
              <a16:creationId xmlns:a16="http://schemas.microsoft.com/office/drawing/2014/main" id="{26F5FFD5-3FC2-4706-92F5-838601717D6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05" name="Line 597">
          <a:extLst>
            <a:ext uri="{FF2B5EF4-FFF2-40B4-BE49-F238E27FC236}">
              <a16:creationId xmlns:a16="http://schemas.microsoft.com/office/drawing/2014/main" id="{60A6751F-CE03-4201-AA1E-3B048FC5E5E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06" name="Line 598">
          <a:extLst>
            <a:ext uri="{FF2B5EF4-FFF2-40B4-BE49-F238E27FC236}">
              <a16:creationId xmlns:a16="http://schemas.microsoft.com/office/drawing/2014/main" id="{9A93AA44-ABF1-49F5-8456-BF519F5E3BC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807" name="Line 599">
          <a:extLst>
            <a:ext uri="{FF2B5EF4-FFF2-40B4-BE49-F238E27FC236}">
              <a16:creationId xmlns:a16="http://schemas.microsoft.com/office/drawing/2014/main" id="{668665EC-3DCF-4B2B-831A-F52C0E78905C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08" name="Line 600">
          <a:extLst>
            <a:ext uri="{FF2B5EF4-FFF2-40B4-BE49-F238E27FC236}">
              <a16:creationId xmlns:a16="http://schemas.microsoft.com/office/drawing/2014/main" id="{D52754C6-A2CE-4980-87B5-49A243F004A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09" name="Line 601">
          <a:extLst>
            <a:ext uri="{FF2B5EF4-FFF2-40B4-BE49-F238E27FC236}">
              <a16:creationId xmlns:a16="http://schemas.microsoft.com/office/drawing/2014/main" id="{D3EC944F-645F-4311-9E78-2E3D7771620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10" name="Line 602">
          <a:extLst>
            <a:ext uri="{FF2B5EF4-FFF2-40B4-BE49-F238E27FC236}">
              <a16:creationId xmlns:a16="http://schemas.microsoft.com/office/drawing/2014/main" id="{02353BCE-706C-4AEC-B5B8-CDE25EFFB9B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11" name="Line 603">
          <a:extLst>
            <a:ext uri="{FF2B5EF4-FFF2-40B4-BE49-F238E27FC236}">
              <a16:creationId xmlns:a16="http://schemas.microsoft.com/office/drawing/2014/main" id="{CF52B28E-112B-47AB-80EA-6066D636EEE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12" name="Line 604">
          <a:extLst>
            <a:ext uri="{FF2B5EF4-FFF2-40B4-BE49-F238E27FC236}">
              <a16:creationId xmlns:a16="http://schemas.microsoft.com/office/drawing/2014/main" id="{84B60839-160F-465A-829D-305B94E8CB7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13" name="Line 605">
          <a:extLst>
            <a:ext uri="{FF2B5EF4-FFF2-40B4-BE49-F238E27FC236}">
              <a16:creationId xmlns:a16="http://schemas.microsoft.com/office/drawing/2014/main" id="{D4FC5DFD-6BE0-44CF-9664-32BB2B99448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14" name="Line 606">
          <a:extLst>
            <a:ext uri="{FF2B5EF4-FFF2-40B4-BE49-F238E27FC236}">
              <a16:creationId xmlns:a16="http://schemas.microsoft.com/office/drawing/2014/main" id="{87150A13-5847-4FC7-BF56-2E76E5BC1A5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15" name="Line 607">
          <a:extLst>
            <a:ext uri="{FF2B5EF4-FFF2-40B4-BE49-F238E27FC236}">
              <a16:creationId xmlns:a16="http://schemas.microsoft.com/office/drawing/2014/main" id="{10FAD740-47A7-42D1-B989-FC64F9839EA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16" name="Line 608">
          <a:extLst>
            <a:ext uri="{FF2B5EF4-FFF2-40B4-BE49-F238E27FC236}">
              <a16:creationId xmlns:a16="http://schemas.microsoft.com/office/drawing/2014/main" id="{B3E27B58-5242-4BB5-B3CB-BC9881216DC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17" name="Line 609">
          <a:extLst>
            <a:ext uri="{FF2B5EF4-FFF2-40B4-BE49-F238E27FC236}">
              <a16:creationId xmlns:a16="http://schemas.microsoft.com/office/drawing/2014/main" id="{E53417CB-9943-4C8C-87AA-809DBDD9572C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18" name="Line 610">
          <a:extLst>
            <a:ext uri="{FF2B5EF4-FFF2-40B4-BE49-F238E27FC236}">
              <a16:creationId xmlns:a16="http://schemas.microsoft.com/office/drawing/2014/main" id="{0DEEA93F-48C0-41F1-85C6-4D22AE39AAA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19" name="Line 611">
          <a:extLst>
            <a:ext uri="{FF2B5EF4-FFF2-40B4-BE49-F238E27FC236}">
              <a16:creationId xmlns:a16="http://schemas.microsoft.com/office/drawing/2014/main" id="{0DFDDBE1-D488-4A7F-9EBD-9AF6E0A2ADF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20" name="Line 612">
          <a:extLst>
            <a:ext uri="{FF2B5EF4-FFF2-40B4-BE49-F238E27FC236}">
              <a16:creationId xmlns:a16="http://schemas.microsoft.com/office/drawing/2014/main" id="{B11A73A8-E3C0-4A76-BC70-6F39D2CA86E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21" name="Line 613">
          <a:extLst>
            <a:ext uri="{FF2B5EF4-FFF2-40B4-BE49-F238E27FC236}">
              <a16:creationId xmlns:a16="http://schemas.microsoft.com/office/drawing/2014/main" id="{3E6CA071-ABDC-44DA-AD3A-27A46E8010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22" name="Line 614">
          <a:extLst>
            <a:ext uri="{FF2B5EF4-FFF2-40B4-BE49-F238E27FC236}">
              <a16:creationId xmlns:a16="http://schemas.microsoft.com/office/drawing/2014/main" id="{803B9855-8803-47F9-849D-4DD7F40C08E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23" name="Line 615">
          <a:extLst>
            <a:ext uri="{FF2B5EF4-FFF2-40B4-BE49-F238E27FC236}">
              <a16:creationId xmlns:a16="http://schemas.microsoft.com/office/drawing/2014/main" id="{57716771-8247-45B4-966D-87DDE516759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24" name="Line 616">
          <a:extLst>
            <a:ext uri="{FF2B5EF4-FFF2-40B4-BE49-F238E27FC236}">
              <a16:creationId xmlns:a16="http://schemas.microsoft.com/office/drawing/2014/main" id="{35C2B375-243F-4022-8FE2-A8A96FA66FC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825" name="Line 617">
          <a:extLst>
            <a:ext uri="{FF2B5EF4-FFF2-40B4-BE49-F238E27FC236}">
              <a16:creationId xmlns:a16="http://schemas.microsoft.com/office/drawing/2014/main" id="{D3F76E33-557E-493F-B6D4-A73E254F58F3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26" name="Line 618">
          <a:extLst>
            <a:ext uri="{FF2B5EF4-FFF2-40B4-BE49-F238E27FC236}">
              <a16:creationId xmlns:a16="http://schemas.microsoft.com/office/drawing/2014/main" id="{48C9884A-FF84-42B6-92FA-62B4100E4DF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27" name="Line 619">
          <a:extLst>
            <a:ext uri="{FF2B5EF4-FFF2-40B4-BE49-F238E27FC236}">
              <a16:creationId xmlns:a16="http://schemas.microsoft.com/office/drawing/2014/main" id="{C7C3FECC-FB2E-4DF2-9FB5-919DD38CF74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28" name="Line 620">
          <a:extLst>
            <a:ext uri="{FF2B5EF4-FFF2-40B4-BE49-F238E27FC236}">
              <a16:creationId xmlns:a16="http://schemas.microsoft.com/office/drawing/2014/main" id="{A54D7FCB-05D6-4717-85C7-F6E6AFFB0C9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29" name="Line 621">
          <a:extLst>
            <a:ext uri="{FF2B5EF4-FFF2-40B4-BE49-F238E27FC236}">
              <a16:creationId xmlns:a16="http://schemas.microsoft.com/office/drawing/2014/main" id="{0C78EEEE-9CB6-42E3-82B7-2740D4A58FB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30" name="Line 622">
          <a:extLst>
            <a:ext uri="{FF2B5EF4-FFF2-40B4-BE49-F238E27FC236}">
              <a16:creationId xmlns:a16="http://schemas.microsoft.com/office/drawing/2014/main" id="{C4D4A25B-CBCD-438C-AE1B-055D4B4F76F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1" name="Line 623">
          <a:extLst>
            <a:ext uri="{FF2B5EF4-FFF2-40B4-BE49-F238E27FC236}">
              <a16:creationId xmlns:a16="http://schemas.microsoft.com/office/drawing/2014/main" id="{9841DB97-6CD3-4832-B5DB-7B3ECC6062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2" name="Line 624">
          <a:extLst>
            <a:ext uri="{FF2B5EF4-FFF2-40B4-BE49-F238E27FC236}">
              <a16:creationId xmlns:a16="http://schemas.microsoft.com/office/drawing/2014/main" id="{CD8CC5F5-7E5F-459F-AD86-698891610D9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3" name="Line 625">
          <a:extLst>
            <a:ext uri="{FF2B5EF4-FFF2-40B4-BE49-F238E27FC236}">
              <a16:creationId xmlns:a16="http://schemas.microsoft.com/office/drawing/2014/main" id="{B44B28BA-F0B2-42D4-B036-08E1E384E9F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4" name="Line 626">
          <a:extLst>
            <a:ext uri="{FF2B5EF4-FFF2-40B4-BE49-F238E27FC236}">
              <a16:creationId xmlns:a16="http://schemas.microsoft.com/office/drawing/2014/main" id="{DD3F7C52-07C3-450F-9612-A6E2EC0432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35" name="Line 627">
          <a:extLst>
            <a:ext uri="{FF2B5EF4-FFF2-40B4-BE49-F238E27FC236}">
              <a16:creationId xmlns:a16="http://schemas.microsoft.com/office/drawing/2014/main" id="{C0329952-F213-47A6-B2EC-891F2D65D28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6" name="Line 628">
          <a:extLst>
            <a:ext uri="{FF2B5EF4-FFF2-40B4-BE49-F238E27FC236}">
              <a16:creationId xmlns:a16="http://schemas.microsoft.com/office/drawing/2014/main" id="{7F745EA8-7CFA-4B14-8340-DD481F7FF28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37" name="Line 629">
          <a:extLst>
            <a:ext uri="{FF2B5EF4-FFF2-40B4-BE49-F238E27FC236}">
              <a16:creationId xmlns:a16="http://schemas.microsoft.com/office/drawing/2014/main" id="{F9CF5756-CF98-4135-8939-C3F6B4C9BBC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8" name="Line 630">
          <a:extLst>
            <a:ext uri="{FF2B5EF4-FFF2-40B4-BE49-F238E27FC236}">
              <a16:creationId xmlns:a16="http://schemas.microsoft.com/office/drawing/2014/main" id="{E4F35866-62C5-45CC-8D51-846E57A8F01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39" name="Line 631">
          <a:extLst>
            <a:ext uri="{FF2B5EF4-FFF2-40B4-BE49-F238E27FC236}">
              <a16:creationId xmlns:a16="http://schemas.microsoft.com/office/drawing/2014/main" id="{47C39BC1-82EA-4881-B6A0-3CDAEF664E9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0" name="Line 632">
          <a:extLst>
            <a:ext uri="{FF2B5EF4-FFF2-40B4-BE49-F238E27FC236}">
              <a16:creationId xmlns:a16="http://schemas.microsoft.com/office/drawing/2014/main" id="{8087CA3D-67F2-447F-BBB0-51925D33488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1" name="Line 633">
          <a:extLst>
            <a:ext uri="{FF2B5EF4-FFF2-40B4-BE49-F238E27FC236}">
              <a16:creationId xmlns:a16="http://schemas.microsoft.com/office/drawing/2014/main" id="{053FE4CA-0C1A-4C64-AC69-C5CB8F8362E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42" name="Line 634">
          <a:extLst>
            <a:ext uri="{FF2B5EF4-FFF2-40B4-BE49-F238E27FC236}">
              <a16:creationId xmlns:a16="http://schemas.microsoft.com/office/drawing/2014/main" id="{E49D0849-F7B0-48B3-93DE-5645F1333F4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3" name="Line 635">
          <a:extLst>
            <a:ext uri="{FF2B5EF4-FFF2-40B4-BE49-F238E27FC236}">
              <a16:creationId xmlns:a16="http://schemas.microsoft.com/office/drawing/2014/main" id="{D6217660-CBDC-4CCB-898A-81E8A1D6179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4" name="Line 636">
          <a:extLst>
            <a:ext uri="{FF2B5EF4-FFF2-40B4-BE49-F238E27FC236}">
              <a16:creationId xmlns:a16="http://schemas.microsoft.com/office/drawing/2014/main" id="{9605AEA2-159B-4649-AC74-F8ED46CD221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5" name="Line 637">
          <a:extLst>
            <a:ext uri="{FF2B5EF4-FFF2-40B4-BE49-F238E27FC236}">
              <a16:creationId xmlns:a16="http://schemas.microsoft.com/office/drawing/2014/main" id="{FDCEA911-F6F7-4339-A5AD-220B925E1D7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46" name="Line 638">
          <a:extLst>
            <a:ext uri="{FF2B5EF4-FFF2-40B4-BE49-F238E27FC236}">
              <a16:creationId xmlns:a16="http://schemas.microsoft.com/office/drawing/2014/main" id="{CD553E80-F0D3-4517-BDFC-DF67596D247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7" name="Line 639">
          <a:extLst>
            <a:ext uri="{FF2B5EF4-FFF2-40B4-BE49-F238E27FC236}">
              <a16:creationId xmlns:a16="http://schemas.microsoft.com/office/drawing/2014/main" id="{90888F2E-880E-4D23-B230-A9F41AF8605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48" name="Line 640">
          <a:extLst>
            <a:ext uri="{FF2B5EF4-FFF2-40B4-BE49-F238E27FC236}">
              <a16:creationId xmlns:a16="http://schemas.microsoft.com/office/drawing/2014/main" id="{A6E1F426-35A9-4B35-A4DA-0B8B0EEC6DD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49" name="Line 641">
          <a:extLst>
            <a:ext uri="{FF2B5EF4-FFF2-40B4-BE49-F238E27FC236}">
              <a16:creationId xmlns:a16="http://schemas.microsoft.com/office/drawing/2014/main" id="{0B9D6628-B193-4368-8ADA-BFE691BA29F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50" name="Line 642">
          <a:extLst>
            <a:ext uri="{FF2B5EF4-FFF2-40B4-BE49-F238E27FC236}">
              <a16:creationId xmlns:a16="http://schemas.microsoft.com/office/drawing/2014/main" id="{AB6AE15F-BEF1-40E8-AC9F-7D9368938E4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51" name="Line 643">
          <a:extLst>
            <a:ext uri="{FF2B5EF4-FFF2-40B4-BE49-F238E27FC236}">
              <a16:creationId xmlns:a16="http://schemas.microsoft.com/office/drawing/2014/main" id="{C70C9CE2-86C0-43BE-A2D0-4EAD9BB24A6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52" name="Line 644">
          <a:extLst>
            <a:ext uri="{FF2B5EF4-FFF2-40B4-BE49-F238E27FC236}">
              <a16:creationId xmlns:a16="http://schemas.microsoft.com/office/drawing/2014/main" id="{A2582F69-60D6-47F2-8C2C-AFB50F0C1F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53" name="Line 645">
          <a:extLst>
            <a:ext uri="{FF2B5EF4-FFF2-40B4-BE49-F238E27FC236}">
              <a16:creationId xmlns:a16="http://schemas.microsoft.com/office/drawing/2014/main" id="{F4176C43-4A73-4479-B5D6-CFE86CAA7DD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54" name="Line 646">
          <a:extLst>
            <a:ext uri="{FF2B5EF4-FFF2-40B4-BE49-F238E27FC236}">
              <a16:creationId xmlns:a16="http://schemas.microsoft.com/office/drawing/2014/main" id="{3C0F297B-7A60-4647-9486-1D6E1A746F9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55" name="Line 647">
          <a:extLst>
            <a:ext uri="{FF2B5EF4-FFF2-40B4-BE49-F238E27FC236}">
              <a16:creationId xmlns:a16="http://schemas.microsoft.com/office/drawing/2014/main" id="{9393E509-B385-4228-9C35-C3E5C85069F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56" name="Line 648">
          <a:extLst>
            <a:ext uri="{FF2B5EF4-FFF2-40B4-BE49-F238E27FC236}">
              <a16:creationId xmlns:a16="http://schemas.microsoft.com/office/drawing/2014/main" id="{5E9E68C0-4916-4B3B-B2A3-99C223F87B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857" name="Line 649">
          <a:extLst>
            <a:ext uri="{FF2B5EF4-FFF2-40B4-BE49-F238E27FC236}">
              <a16:creationId xmlns:a16="http://schemas.microsoft.com/office/drawing/2014/main" id="{0447BAF8-46E8-46D3-A938-82359CED8A70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58" name="Line 650">
          <a:extLst>
            <a:ext uri="{FF2B5EF4-FFF2-40B4-BE49-F238E27FC236}">
              <a16:creationId xmlns:a16="http://schemas.microsoft.com/office/drawing/2014/main" id="{ACB61D7C-3771-4CC6-8885-3BC88190017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59" name="Line 651">
          <a:extLst>
            <a:ext uri="{FF2B5EF4-FFF2-40B4-BE49-F238E27FC236}">
              <a16:creationId xmlns:a16="http://schemas.microsoft.com/office/drawing/2014/main" id="{D69BC854-81DB-42CE-8360-3159321EAC5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60" name="Line 652">
          <a:extLst>
            <a:ext uri="{FF2B5EF4-FFF2-40B4-BE49-F238E27FC236}">
              <a16:creationId xmlns:a16="http://schemas.microsoft.com/office/drawing/2014/main" id="{15E0709B-33FD-4142-86BA-178F7214D02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61" name="Line 653">
          <a:extLst>
            <a:ext uri="{FF2B5EF4-FFF2-40B4-BE49-F238E27FC236}">
              <a16:creationId xmlns:a16="http://schemas.microsoft.com/office/drawing/2014/main" id="{4280A0C9-B72B-4DB4-B657-3D55B91A4F1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62" name="Line 654">
          <a:extLst>
            <a:ext uri="{FF2B5EF4-FFF2-40B4-BE49-F238E27FC236}">
              <a16:creationId xmlns:a16="http://schemas.microsoft.com/office/drawing/2014/main" id="{933B2FB7-2FC5-4CC3-BA31-6285CCA96C0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63" name="Line 655">
          <a:extLst>
            <a:ext uri="{FF2B5EF4-FFF2-40B4-BE49-F238E27FC236}">
              <a16:creationId xmlns:a16="http://schemas.microsoft.com/office/drawing/2014/main" id="{CDDD42F5-9458-479E-BDA7-E21D6DE10E3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64" name="Line 656">
          <a:extLst>
            <a:ext uri="{FF2B5EF4-FFF2-40B4-BE49-F238E27FC236}">
              <a16:creationId xmlns:a16="http://schemas.microsoft.com/office/drawing/2014/main" id="{16840AB7-5FE0-4ED9-915E-B5F1A672D42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65" name="Line 657">
          <a:extLst>
            <a:ext uri="{FF2B5EF4-FFF2-40B4-BE49-F238E27FC236}">
              <a16:creationId xmlns:a16="http://schemas.microsoft.com/office/drawing/2014/main" id="{55D1217E-8EFC-424A-95F3-E6275FD8D11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66" name="Line 658">
          <a:extLst>
            <a:ext uri="{FF2B5EF4-FFF2-40B4-BE49-F238E27FC236}">
              <a16:creationId xmlns:a16="http://schemas.microsoft.com/office/drawing/2014/main" id="{18976ACD-749B-405C-B401-06EE88B5A1A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67" name="Line 659">
          <a:extLst>
            <a:ext uri="{FF2B5EF4-FFF2-40B4-BE49-F238E27FC236}">
              <a16:creationId xmlns:a16="http://schemas.microsoft.com/office/drawing/2014/main" id="{B9B18E15-9958-471E-83AB-9D4753C6838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68" name="Line 660">
          <a:extLst>
            <a:ext uri="{FF2B5EF4-FFF2-40B4-BE49-F238E27FC236}">
              <a16:creationId xmlns:a16="http://schemas.microsoft.com/office/drawing/2014/main" id="{960CAF94-5F3B-41DF-94BF-59766437926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69" name="Line 661">
          <a:extLst>
            <a:ext uri="{FF2B5EF4-FFF2-40B4-BE49-F238E27FC236}">
              <a16:creationId xmlns:a16="http://schemas.microsoft.com/office/drawing/2014/main" id="{B095154B-FEE8-45D0-8BE1-54A7886BF67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70" name="Line 662">
          <a:extLst>
            <a:ext uri="{FF2B5EF4-FFF2-40B4-BE49-F238E27FC236}">
              <a16:creationId xmlns:a16="http://schemas.microsoft.com/office/drawing/2014/main" id="{416207CE-EBCB-4ABA-8FF1-95C8062EDE6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71" name="Line 663">
          <a:extLst>
            <a:ext uri="{FF2B5EF4-FFF2-40B4-BE49-F238E27FC236}">
              <a16:creationId xmlns:a16="http://schemas.microsoft.com/office/drawing/2014/main" id="{0506B766-53E3-4439-9656-EA1E4647FEC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72" name="Line 664">
          <a:extLst>
            <a:ext uri="{FF2B5EF4-FFF2-40B4-BE49-F238E27FC236}">
              <a16:creationId xmlns:a16="http://schemas.microsoft.com/office/drawing/2014/main" id="{2E142342-EC42-4AEC-88B1-D3BBF53765C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73" name="Line 665">
          <a:extLst>
            <a:ext uri="{FF2B5EF4-FFF2-40B4-BE49-F238E27FC236}">
              <a16:creationId xmlns:a16="http://schemas.microsoft.com/office/drawing/2014/main" id="{75CCB3B4-7672-4D5A-B485-BE3503E9B41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74" name="Line 666">
          <a:extLst>
            <a:ext uri="{FF2B5EF4-FFF2-40B4-BE49-F238E27FC236}">
              <a16:creationId xmlns:a16="http://schemas.microsoft.com/office/drawing/2014/main" id="{D89965CE-6694-4B3F-8083-326A8E15A19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875" name="Line 667">
          <a:extLst>
            <a:ext uri="{FF2B5EF4-FFF2-40B4-BE49-F238E27FC236}">
              <a16:creationId xmlns:a16="http://schemas.microsoft.com/office/drawing/2014/main" id="{1A7CF8F4-7E4A-44E4-8752-252342A93D4D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76" name="Line 668">
          <a:extLst>
            <a:ext uri="{FF2B5EF4-FFF2-40B4-BE49-F238E27FC236}">
              <a16:creationId xmlns:a16="http://schemas.microsoft.com/office/drawing/2014/main" id="{1AED573A-8A12-40FC-B08D-A1CA9388AB2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77" name="Line 669">
          <a:extLst>
            <a:ext uri="{FF2B5EF4-FFF2-40B4-BE49-F238E27FC236}">
              <a16:creationId xmlns:a16="http://schemas.microsoft.com/office/drawing/2014/main" id="{2BF26E83-0991-4700-BA87-EB93A7C3898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78" name="Line 670">
          <a:extLst>
            <a:ext uri="{FF2B5EF4-FFF2-40B4-BE49-F238E27FC236}">
              <a16:creationId xmlns:a16="http://schemas.microsoft.com/office/drawing/2014/main" id="{0F3AFAE0-7166-41E5-831E-07C107BE6A7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79" name="Line 671">
          <a:extLst>
            <a:ext uri="{FF2B5EF4-FFF2-40B4-BE49-F238E27FC236}">
              <a16:creationId xmlns:a16="http://schemas.microsoft.com/office/drawing/2014/main" id="{9DCA19E6-D798-492D-9175-14CB8CB40E8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80" name="Line 672">
          <a:extLst>
            <a:ext uri="{FF2B5EF4-FFF2-40B4-BE49-F238E27FC236}">
              <a16:creationId xmlns:a16="http://schemas.microsoft.com/office/drawing/2014/main" id="{C669103A-FB8E-40C5-AD24-120536A936A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1" name="Line 673">
          <a:extLst>
            <a:ext uri="{FF2B5EF4-FFF2-40B4-BE49-F238E27FC236}">
              <a16:creationId xmlns:a16="http://schemas.microsoft.com/office/drawing/2014/main" id="{86DF387F-16B5-4D11-8BCE-01F07BE1009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2" name="Line 674">
          <a:extLst>
            <a:ext uri="{FF2B5EF4-FFF2-40B4-BE49-F238E27FC236}">
              <a16:creationId xmlns:a16="http://schemas.microsoft.com/office/drawing/2014/main" id="{811399B8-631A-4945-B2D1-BA586CA01EC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3" name="Line 675">
          <a:extLst>
            <a:ext uri="{FF2B5EF4-FFF2-40B4-BE49-F238E27FC236}">
              <a16:creationId xmlns:a16="http://schemas.microsoft.com/office/drawing/2014/main" id="{92E0F125-847B-4031-B6D8-1F8C7B988F7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4" name="Line 676">
          <a:extLst>
            <a:ext uri="{FF2B5EF4-FFF2-40B4-BE49-F238E27FC236}">
              <a16:creationId xmlns:a16="http://schemas.microsoft.com/office/drawing/2014/main" id="{2C9C5E36-CFC2-4479-94EA-814651BF5BD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85" name="Line 677">
          <a:extLst>
            <a:ext uri="{FF2B5EF4-FFF2-40B4-BE49-F238E27FC236}">
              <a16:creationId xmlns:a16="http://schemas.microsoft.com/office/drawing/2014/main" id="{CAB2EDB9-D2AC-4FE9-BB2C-AC74C3DDA7EF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6" name="Line 678">
          <a:extLst>
            <a:ext uri="{FF2B5EF4-FFF2-40B4-BE49-F238E27FC236}">
              <a16:creationId xmlns:a16="http://schemas.microsoft.com/office/drawing/2014/main" id="{FCBC1A9B-18A3-43DC-82C1-0E2455BF840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87" name="Line 679">
          <a:extLst>
            <a:ext uri="{FF2B5EF4-FFF2-40B4-BE49-F238E27FC236}">
              <a16:creationId xmlns:a16="http://schemas.microsoft.com/office/drawing/2014/main" id="{74331E0F-2040-4A98-92C6-9676F34D1B4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8" name="Line 680">
          <a:extLst>
            <a:ext uri="{FF2B5EF4-FFF2-40B4-BE49-F238E27FC236}">
              <a16:creationId xmlns:a16="http://schemas.microsoft.com/office/drawing/2014/main" id="{B73A361C-E802-4C8A-9314-93EA45CD16F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89" name="Line 681">
          <a:extLst>
            <a:ext uri="{FF2B5EF4-FFF2-40B4-BE49-F238E27FC236}">
              <a16:creationId xmlns:a16="http://schemas.microsoft.com/office/drawing/2014/main" id="{4DF768EA-74A6-4697-A7D6-7349C9D57B1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0" name="Line 682">
          <a:extLst>
            <a:ext uri="{FF2B5EF4-FFF2-40B4-BE49-F238E27FC236}">
              <a16:creationId xmlns:a16="http://schemas.microsoft.com/office/drawing/2014/main" id="{E5586D9F-ED91-493D-8BC5-4B3E10FA2F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1" name="Line 683">
          <a:extLst>
            <a:ext uri="{FF2B5EF4-FFF2-40B4-BE49-F238E27FC236}">
              <a16:creationId xmlns:a16="http://schemas.microsoft.com/office/drawing/2014/main" id="{F298471C-6756-4835-9576-63558E60E20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92" name="Line 684">
          <a:extLst>
            <a:ext uri="{FF2B5EF4-FFF2-40B4-BE49-F238E27FC236}">
              <a16:creationId xmlns:a16="http://schemas.microsoft.com/office/drawing/2014/main" id="{27335286-20E0-41B8-99E9-18BC33E9DAF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3" name="Line 685">
          <a:extLst>
            <a:ext uri="{FF2B5EF4-FFF2-40B4-BE49-F238E27FC236}">
              <a16:creationId xmlns:a16="http://schemas.microsoft.com/office/drawing/2014/main" id="{D7A2FAC7-FA24-40B2-AEFD-A0F62B13F90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4" name="Line 686">
          <a:extLst>
            <a:ext uri="{FF2B5EF4-FFF2-40B4-BE49-F238E27FC236}">
              <a16:creationId xmlns:a16="http://schemas.microsoft.com/office/drawing/2014/main" id="{B6B8B1F1-3E3D-45BA-A177-209BE531007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5" name="Line 687">
          <a:extLst>
            <a:ext uri="{FF2B5EF4-FFF2-40B4-BE49-F238E27FC236}">
              <a16:creationId xmlns:a16="http://schemas.microsoft.com/office/drawing/2014/main" id="{754610B4-9A53-4EFE-89D2-C4037752DC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896" name="Line 688">
          <a:extLst>
            <a:ext uri="{FF2B5EF4-FFF2-40B4-BE49-F238E27FC236}">
              <a16:creationId xmlns:a16="http://schemas.microsoft.com/office/drawing/2014/main" id="{E005D2C2-737B-4C30-AB1C-7C40C21B11B6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7" name="Line 689">
          <a:extLst>
            <a:ext uri="{FF2B5EF4-FFF2-40B4-BE49-F238E27FC236}">
              <a16:creationId xmlns:a16="http://schemas.microsoft.com/office/drawing/2014/main" id="{9E1390BC-816A-49F3-95F6-577CB017195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898" name="Line 690">
          <a:extLst>
            <a:ext uri="{FF2B5EF4-FFF2-40B4-BE49-F238E27FC236}">
              <a16:creationId xmlns:a16="http://schemas.microsoft.com/office/drawing/2014/main" id="{22BC1FAB-14CE-44C8-8E01-827E58A1945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899" name="Line 691">
          <a:extLst>
            <a:ext uri="{FF2B5EF4-FFF2-40B4-BE49-F238E27FC236}">
              <a16:creationId xmlns:a16="http://schemas.microsoft.com/office/drawing/2014/main" id="{EACB89D4-650C-4282-9C43-A67FA1509DA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00" name="Line 692">
          <a:extLst>
            <a:ext uri="{FF2B5EF4-FFF2-40B4-BE49-F238E27FC236}">
              <a16:creationId xmlns:a16="http://schemas.microsoft.com/office/drawing/2014/main" id="{FBDF19B4-557F-4934-882D-2788F26A7D9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01" name="Line 693">
          <a:extLst>
            <a:ext uri="{FF2B5EF4-FFF2-40B4-BE49-F238E27FC236}">
              <a16:creationId xmlns:a16="http://schemas.microsoft.com/office/drawing/2014/main" id="{72E8CF06-834C-49E4-996A-0858A87A0CB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02" name="Line 694">
          <a:extLst>
            <a:ext uri="{FF2B5EF4-FFF2-40B4-BE49-F238E27FC236}">
              <a16:creationId xmlns:a16="http://schemas.microsoft.com/office/drawing/2014/main" id="{51037745-79B4-404F-8733-2B5FBCAADF6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03" name="Line 695">
          <a:extLst>
            <a:ext uri="{FF2B5EF4-FFF2-40B4-BE49-F238E27FC236}">
              <a16:creationId xmlns:a16="http://schemas.microsoft.com/office/drawing/2014/main" id="{CA658B02-CD05-4FB6-A7E2-8EA039A4F8A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04" name="Line 696">
          <a:extLst>
            <a:ext uri="{FF2B5EF4-FFF2-40B4-BE49-F238E27FC236}">
              <a16:creationId xmlns:a16="http://schemas.microsoft.com/office/drawing/2014/main" id="{0FEB7523-502D-4556-89B1-9613D56FC19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05" name="Line 697">
          <a:extLst>
            <a:ext uri="{FF2B5EF4-FFF2-40B4-BE49-F238E27FC236}">
              <a16:creationId xmlns:a16="http://schemas.microsoft.com/office/drawing/2014/main" id="{E9F715B3-5CAB-4B95-8AD1-78FEF6DAB47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06" name="Line 698">
          <a:extLst>
            <a:ext uri="{FF2B5EF4-FFF2-40B4-BE49-F238E27FC236}">
              <a16:creationId xmlns:a16="http://schemas.microsoft.com/office/drawing/2014/main" id="{66B6CC76-96E6-4CDF-89F0-40FCE541F9D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907" name="Line 699">
          <a:extLst>
            <a:ext uri="{FF2B5EF4-FFF2-40B4-BE49-F238E27FC236}">
              <a16:creationId xmlns:a16="http://schemas.microsoft.com/office/drawing/2014/main" id="{CE383DEB-6146-4693-9EAB-378E5FA9E449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08" name="Line 700">
          <a:extLst>
            <a:ext uri="{FF2B5EF4-FFF2-40B4-BE49-F238E27FC236}">
              <a16:creationId xmlns:a16="http://schemas.microsoft.com/office/drawing/2014/main" id="{F6513CF7-3BA4-4C4A-9C9A-A12F5F1DE3C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09" name="Line 701">
          <a:extLst>
            <a:ext uri="{FF2B5EF4-FFF2-40B4-BE49-F238E27FC236}">
              <a16:creationId xmlns:a16="http://schemas.microsoft.com/office/drawing/2014/main" id="{76B57FC7-73B0-4380-8A55-89C2881B74D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10" name="Line 702">
          <a:extLst>
            <a:ext uri="{FF2B5EF4-FFF2-40B4-BE49-F238E27FC236}">
              <a16:creationId xmlns:a16="http://schemas.microsoft.com/office/drawing/2014/main" id="{14749BDA-DF69-4B6A-86F8-E4E97A8DA11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11" name="Line 703">
          <a:extLst>
            <a:ext uri="{FF2B5EF4-FFF2-40B4-BE49-F238E27FC236}">
              <a16:creationId xmlns:a16="http://schemas.microsoft.com/office/drawing/2014/main" id="{C584B536-CE8E-4AB6-B37C-1EDAC559708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12" name="Line 704">
          <a:extLst>
            <a:ext uri="{FF2B5EF4-FFF2-40B4-BE49-F238E27FC236}">
              <a16:creationId xmlns:a16="http://schemas.microsoft.com/office/drawing/2014/main" id="{9FF454BB-B9EC-45D8-9F49-18B7B2342E4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13" name="Line 705">
          <a:extLst>
            <a:ext uri="{FF2B5EF4-FFF2-40B4-BE49-F238E27FC236}">
              <a16:creationId xmlns:a16="http://schemas.microsoft.com/office/drawing/2014/main" id="{E1B8EB72-FCD8-4805-8E28-E59B2D4548C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14" name="Line 706">
          <a:extLst>
            <a:ext uri="{FF2B5EF4-FFF2-40B4-BE49-F238E27FC236}">
              <a16:creationId xmlns:a16="http://schemas.microsoft.com/office/drawing/2014/main" id="{23F73ACF-69F1-4E32-A901-C9DB895E627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15" name="Line 707">
          <a:extLst>
            <a:ext uri="{FF2B5EF4-FFF2-40B4-BE49-F238E27FC236}">
              <a16:creationId xmlns:a16="http://schemas.microsoft.com/office/drawing/2014/main" id="{0A444BAC-6FDD-4622-B68E-58238687780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16" name="Line 708">
          <a:extLst>
            <a:ext uri="{FF2B5EF4-FFF2-40B4-BE49-F238E27FC236}">
              <a16:creationId xmlns:a16="http://schemas.microsoft.com/office/drawing/2014/main" id="{EED0FEFA-7818-4174-961D-A627F8F14FB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917" name="Line 709">
          <a:extLst>
            <a:ext uri="{FF2B5EF4-FFF2-40B4-BE49-F238E27FC236}">
              <a16:creationId xmlns:a16="http://schemas.microsoft.com/office/drawing/2014/main" id="{2422A8B3-DB54-473A-9DBF-E7D51F5D000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18" name="Line 710">
          <a:extLst>
            <a:ext uri="{FF2B5EF4-FFF2-40B4-BE49-F238E27FC236}">
              <a16:creationId xmlns:a16="http://schemas.microsoft.com/office/drawing/2014/main" id="{75192119-7355-4934-9574-CB7C7FA94A1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19" name="Line 711">
          <a:extLst>
            <a:ext uri="{FF2B5EF4-FFF2-40B4-BE49-F238E27FC236}">
              <a16:creationId xmlns:a16="http://schemas.microsoft.com/office/drawing/2014/main" id="{6705D16F-2AE1-4194-8B75-2026A9AEC36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20" name="Line 712">
          <a:extLst>
            <a:ext uri="{FF2B5EF4-FFF2-40B4-BE49-F238E27FC236}">
              <a16:creationId xmlns:a16="http://schemas.microsoft.com/office/drawing/2014/main" id="{A71668A0-4C05-4E40-BE6F-19A258EFCB3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21" name="Line 713">
          <a:extLst>
            <a:ext uri="{FF2B5EF4-FFF2-40B4-BE49-F238E27FC236}">
              <a16:creationId xmlns:a16="http://schemas.microsoft.com/office/drawing/2014/main" id="{2B5DB86E-D835-4F55-8F0F-F2690A65A76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22" name="Line 714">
          <a:extLst>
            <a:ext uri="{FF2B5EF4-FFF2-40B4-BE49-F238E27FC236}">
              <a16:creationId xmlns:a16="http://schemas.microsoft.com/office/drawing/2014/main" id="{D1F7E38E-F719-4E00-8C64-1BC8F36CC32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23" name="Line 715">
          <a:extLst>
            <a:ext uri="{FF2B5EF4-FFF2-40B4-BE49-F238E27FC236}">
              <a16:creationId xmlns:a16="http://schemas.microsoft.com/office/drawing/2014/main" id="{C847F7C1-1130-48E3-B10C-7776E1EBF6A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24" name="Line 716">
          <a:extLst>
            <a:ext uri="{FF2B5EF4-FFF2-40B4-BE49-F238E27FC236}">
              <a16:creationId xmlns:a16="http://schemas.microsoft.com/office/drawing/2014/main" id="{C3E7509E-F82D-4822-8576-2BA9FA6647B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925" name="Line 717">
          <a:extLst>
            <a:ext uri="{FF2B5EF4-FFF2-40B4-BE49-F238E27FC236}">
              <a16:creationId xmlns:a16="http://schemas.microsoft.com/office/drawing/2014/main" id="{31B8057E-A8C1-4694-AE33-CF9F8858B6EE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26" name="Line 718">
          <a:extLst>
            <a:ext uri="{FF2B5EF4-FFF2-40B4-BE49-F238E27FC236}">
              <a16:creationId xmlns:a16="http://schemas.microsoft.com/office/drawing/2014/main" id="{D2BAFF1C-8DE6-48D7-843C-47E08014514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27" name="Line 719">
          <a:extLst>
            <a:ext uri="{FF2B5EF4-FFF2-40B4-BE49-F238E27FC236}">
              <a16:creationId xmlns:a16="http://schemas.microsoft.com/office/drawing/2014/main" id="{46174366-08EE-4FA8-AF77-D48ED370E18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28" name="Line 720">
          <a:extLst>
            <a:ext uri="{FF2B5EF4-FFF2-40B4-BE49-F238E27FC236}">
              <a16:creationId xmlns:a16="http://schemas.microsoft.com/office/drawing/2014/main" id="{B304463F-552B-4BF7-8392-8696C9D1D97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29" name="Line 721">
          <a:extLst>
            <a:ext uri="{FF2B5EF4-FFF2-40B4-BE49-F238E27FC236}">
              <a16:creationId xmlns:a16="http://schemas.microsoft.com/office/drawing/2014/main" id="{FFB8421B-81A1-4918-A87C-D1DB94933FA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30" name="Line 722">
          <a:extLst>
            <a:ext uri="{FF2B5EF4-FFF2-40B4-BE49-F238E27FC236}">
              <a16:creationId xmlns:a16="http://schemas.microsoft.com/office/drawing/2014/main" id="{241D682A-5DD5-4249-8152-38D6F72ED50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1" name="Line 723">
          <a:extLst>
            <a:ext uri="{FF2B5EF4-FFF2-40B4-BE49-F238E27FC236}">
              <a16:creationId xmlns:a16="http://schemas.microsoft.com/office/drawing/2014/main" id="{F2051053-9A93-4504-A6A7-271F01C0F6A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2" name="Line 724">
          <a:extLst>
            <a:ext uri="{FF2B5EF4-FFF2-40B4-BE49-F238E27FC236}">
              <a16:creationId xmlns:a16="http://schemas.microsoft.com/office/drawing/2014/main" id="{0D72BDD4-4FE2-4672-A578-D868BC159F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3" name="Line 725">
          <a:extLst>
            <a:ext uri="{FF2B5EF4-FFF2-40B4-BE49-F238E27FC236}">
              <a16:creationId xmlns:a16="http://schemas.microsoft.com/office/drawing/2014/main" id="{B7E900B7-1FB2-4727-B508-3436AA4792D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4" name="Line 726">
          <a:extLst>
            <a:ext uri="{FF2B5EF4-FFF2-40B4-BE49-F238E27FC236}">
              <a16:creationId xmlns:a16="http://schemas.microsoft.com/office/drawing/2014/main" id="{EC036059-803A-4768-923B-AF52CC336C7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935" name="Line 727">
          <a:extLst>
            <a:ext uri="{FF2B5EF4-FFF2-40B4-BE49-F238E27FC236}">
              <a16:creationId xmlns:a16="http://schemas.microsoft.com/office/drawing/2014/main" id="{90A0BEDD-07A3-4EB8-8BA4-29FEDF5E2D1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6" name="Line 728">
          <a:extLst>
            <a:ext uri="{FF2B5EF4-FFF2-40B4-BE49-F238E27FC236}">
              <a16:creationId xmlns:a16="http://schemas.microsoft.com/office/drawing/2014/main" id="{FAE4281B-2795-4AD8-99A7-5D4A9436096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37" name="Line 729">
          <a:extLst>
            <a:ext uri="{FF2B5EF4-FFF2-40B4-BE49-F238E27FC236}">
              <a16:creationId xmlns:a16="http://schemas.microsoft.com/office/drawing/2014/main" id="{CC08629A-EAC5-4268-B085-C544906B300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8" name="Line 730">
          <a:extLst>
            <a:ext uri="{FF2B5EF4-FFF2-40B4-BE49-F238E27FC236}">
              <a16:creationId xmlns:a16="http://schemas.microsoft.com/office/drawing/2014/main" id="{839D4D21-1FE3-49D8-B6AC-7D647960E40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39" name="Line 731">
          <a:extLst>
            <a:ext uri="{FF2B5EF4-FFF2-40B4-BE49-F238E27FC236}">
              <a16:creationId xmlns:a16="http://schemas.microsoft.com/office/drawing/2014/main" id="{D9559962-22F3-4E60-B7EA-81ECBE5C7AA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0" name="Line 732">
          <a:extLst>
            <a:ext uri="{FF2B5EF4-FFF2-40B4-BE49-F238E27FC236}">
              <a16:creationId xmlns:a16="http://schemas.microsoft.com/office/drawing/2014/main" id="{28031C9A-0575-4E0A-92DF-EF3629D8B0D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1" name="Line 733">
          <a:extLst>
            <a:ext uri="{FF2B5EF4-FFF2-40B4-BE49-F238E27FC236}">
              <a16:creationId xmlns:a16="http://schemas.microsoft.com/office/drawing/2014/main" id="{86BBFD32-211E-4232-BB6A-2BE02432A16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42" name="Line 734">
          <a:extLst>
            <a:ext uri="{FF2B5EF4-FFF2-40B4-BE49-F238E27FC236}">
              <a16:creationId xmlns:a16="http://schemas.microsoft.com/office/drawing/2014/main" id="{05F61766-1EFA-4704-A0DF-40DF683EB48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3" name="Line 735">
          <a:extLst>
            <a:ext uri="{FF2B5EF4-FFF2-40B4-BE49-F238E27FC236}">
              <a16:creationId xmlns:a16="http://schemas.microsoft.com/office/drawing/2014/main" id="{048A47C1-D17F-43B0-9B0B-88C667EDE2E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4" name="Line 736">
          <a:extLst>
            <a:ext uri="{FF2B5EF4-FFF2-40B4-BE49-F238E27FC236}">
              <a16:creationId xmlns:a16="http://schemas.microsoft.com/office/drawing/2014/main" id="{749E0F5C-58E0-432B-8762-F0A7D5559D4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5" name="Line 737">
          <a:extLst>
            <a:ext uri="{FF2B5EF4-FFF2-40B4-BE49-F238E27FC236}">
              <a16:creationId xmlns:a16="http://schemas.microsoft.com/office/drawing/2014/main" id="{8C0C33B4-4975-4919-B525-7B7E44749BA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90946" name="Line 738">
          <a:extLst>
            <a:ext uri="{FF2B5EF4-FFF2-40B4-BE49-F238E27FC236}">
              <a16:creationId xmlns:a16="http://schemas.microsoft.com/office/drawing/2014/main" id="{1CA93139-DCB7-406F-B35B-D068855A3F8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7" name="Line 739">
          <a:extLst>
            <a:ext uri="{FF2B5EF4-FFF2-40B4-BE49-F238E27FC236}">
              <a16:creationId xmlns:a16="http://schemas.microsoft.com/office/drawing/2014/main" id="{93575424-A1C9-47D9-BB07-2ED0D33ADBF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48" name="Line 740">
          <a:extLst>
            <a:ext uri="{FF2B5EF4-FFF2-40B4-BE49-F238E27FC236}">
              <a16:creationId xmlns:a16="http://schemas.microsoft.com/office/drawing/2014/main" id="{5C9A5D2C-8A1D-4CE4-A622-9B5F5725862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49" name="Line 741">
          <a:extLst>
            <a:ext uri="{FF2B5EF4-FFF2-40B4-BE49-F238E27FC236}">
              <a16:creationId xmlns:a16="http://schemas.microsoft.com/office/drawing/2014/main" id="{DE91CB8B-4DC6-472C-8415-5EC2FB6E3B5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50" name="Line 742">
          <a:extLst>
            <a:ext uri="{FF2B5EF4-FFF2-40B4-BE49-F238E27FC236}">
              <a16:creationId xmlns:a16="http://schemas.microsoft.com/office/drawing/2014/main" id="{811C6BA9-0632-476B-9470-3DFB166E7A7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51" name="Line 743">
          <a:extLst>
            <a:ext uri="{FF2B5EF4-FFF2-40B4-BE49-F238E27FC236}">
              <a16:creationId xmlns:a16="http://schemas.microsoft.com/office/drawing/2014/main" id="{F098232E-E704-40F8-A021-006CBF26F6A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52" name="Line 744">
          <a:extLst>
            <a:ext uri="{FF2B5EF4-FFF2-40B4-BE49-F238E27FC236}">
              <a16:creationId xmlns:a16="http://schemas.microsoft.com/office/drawing/2014/main" id="{B0AE3455-0515-4534-8032-0EBA0BE2CFE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53" name="Line 745">
          <a:extLst>
            <a:ext uri="{FF2B5EF4-FFF2-40B4-BE49-F238E27FC236}">
              <a16:creationId xmlns:a16="http://schemas.microsoft.com/office/drawing/2014/main" id="{2ED70116-83AF-4CAD-AA72-8BCCD2DE3EB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54" name="Line 746">
          <a:extLst>
            <a:ext uri="{FF2B5EF4-FFF2-40B4-BE49-F238E27FC236}">
              <a16:creationId xmlns:a16="http://schemas.microsoft.com/office/drawing/2014/main" id="{5E575290-C06B-4B6D-8BF5-175254A2AE3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0955" name="Line 747">
          <a:extLst>
            <a:ext uri="{FF2B5EF4-FFF2-40B4-BE49-F238E27FC236}">
              <a16:creationId xmlns:a16="http://schemas.microsoft.com/office/drawing/2014/main" id="{B0272EE8-21C0-4AA2-9A7D-ED7D6888237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0956" name="Line 748">
          <a:extLst>
            <a:ext uri="{FF2B5EF4-FFF2-40B4-BE49-F238E27FC236}">
              <a16:creationId xmlns:a16="http://schemas.microsoft.com/office/drawing/2014/main" id="{C6622D97-BA6A-460A-9E5A-9720057F616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390957" name="Line 2379">
          <a:extLst>
            <a:ext uri="{FF2B5EF4-FFF2-40B4-BE49-F238E27FC236}">
              <a16:creationId xmlns:a16="http://schemas.microsoft.com/office/drawing/2014/main" id="{5A0A3AE3-2197-4039-93F8-15466634366A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58" name="Line 2380">
          <a:extLst>
            <a:ext uri="{FF2B5EF4-FFF2-40B4-BE49-F238E27FC236}">
              <a16:creationId xmlns:a16="http://schemas.microsoft.com/office/drawing/2014/main" id="{6ED9140B-68E3-4C94-9346-0A10A224F76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59" name="Line 2381">
          <a:extLst>
            <a:ext uri="{FF2B5EF4-FFF2-40B4-BE49-F238E27FC236}">
              <a16:creationId xmlns:a16="http://schemas.microsoft.com/office/drawing/2014/main" id="{6DE357D6-E85D-4168-9826-2FCC108A726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60" name="Line 2382">
          <a:extLst>
            <a:ext uri="{FF2B5EF4-FFF2-40B4-BE49-F238E27FC236}">
              <a16:creationId xmlns:a16="http://schemas.microsoft.com/office/drawing/2014/main" id="{F1FAF6ED-5BF9-4A6D-A18E-6E5F73B1BB05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61" name="Line 2383">
          <a:extLst>
            <a:ext uri="{FF2B5EF4-FFF2-40B4-BE49-F238E27FC236}">
              <a16:creationId xmlns:a16="http://schemas.microsoft.com/office/drawing/2014/main" id="{F4E784FF-79EC-4B87-9181-4F8EDC1C8DA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62" name="Line 2384">
          <a:extLst>
            <a:ext uri="{FF2B5EF4-FFF2-40B4-BE49-F238E27FC236}">
              <a16:creationId xmlns:a16="http://schemas.microsoft.com/office/drawing/2014/main" id="{A54889E9-EF7F-4951-A638-F5450D477C8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63" name="Line 2385">
          <a:extLst>
            <a:ext uri="{FF2B5EF4-FFF2-40B4-BE49-F238E27FC236}">
              <a16:creationId xmlns:a16="http://schemas.microsoft.com/office/drawing/2014/main" id="{3D448621-07CB-4D57-9C87-BB339E92B84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64" name="Line 2386">
          <a:extLst>
            <a:ext uri="{FF2B5EF4-FFF2-40B4-BE49-F238E27FC236}">
              <a16:creationId xmlns:a16="http://schemas.microsoft.com/office/drawing/2014/main" id="{700F6E3E-8D1A-44AD-8DC0-BEED09305C9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65" name="Line 2387">
          <a:extLst>
            <a:ext uri="{FF2B5EF4-FFF2-40B4-BE49-F238E27FC236}">
              <a16:creationId xmlns:a16="http://schemas.microsoft.com/office/drawing/2014/main" id="{963DABEE-12A5-4B9D-8B72-C3354CE00E2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66" name="Line 2388">
          <a:extLst>
            <a:ext uri="{FF2B5EF4-FFF2-40B4-BE49-F238E27FC236}">
              <a16:creationId xmlns:a16="http://schemas.microsoft.com/office/drawing/2014/main" id="{C628DA25-2ABA-4758-917F-10501A5D145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967" name="Line 2389">
          <a:extLst>
            <a:ext uri="{FF2B5EF4-FFF2-40B4-BE49-F238E27FC236}">
              <a16:creationId xmlns:a16="http://schemas.microsoft.com/office/drawing/2014/main" id="{9268C357-89A7-4D40-977F-9E40D8657711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68" name="Line 2390">
          <a:extLst>
            <a:ext uri="{FF2B5EF4-FFF2-40B4-BE49-F238E27FC236}">
              <a16:creationId xmlns:a16="http://schemas.microsoft.com/office/drawing/2014/main" id="{73A03352-9B86-416E-BB94-A12E795BF71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69" name="Line 2391">
          <a:extLst>
            <a:ext uri="{FF2B5EF4-FFF2-40B4-BE49-F238E27FC236}">
              <a16:creationId xmlns:a16="http://schemas.microsoft.com/office/drawing/2014/main" id="{796DD9E5-2339-48EC-A8B1-6749B131FA3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70" name="Line 2392">
          <a:extLst>
            <a:ext uri="{FF2B5EF4-FFF2-40B4-BE49-F238E27FC236}">
              <a16:creationId xmlns:a16="http://schemas.microsoft.com/office/drawing/2014/main" id="{66B2D10F-B651-48C3-A6FA-CD071AFFF4C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71" name="Line 2393">
          <a:extLst>
            <a:ext uri="{FF2B5EF4-FFF2-40B4-BE49-F238E27FC236}">
              <a16:creationId xmlns:a16="http://schemas.microsoft.com/office/drawing/2014/main" id="{D30B2BE5-14A6-4A20-8BC7-D2AFFE28B21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72" name="Line 2394">
          <a:extLst>
            <a:ext uri="{FF2B5EF4-FFF2-40B4-BE49-F238E27FC236}">
              <a16:creationId xmlns:a16="http://schemas.microsoft.com/office/drawing/2014/main" id="{4D09BE5C-2DAF-4F37-8B17-71F07BD4461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73" name="Line 2395">
          <a:extLst>
            <a:ext uri="{FF2B5EF4-FFF2-40B4-BE49-F238E27FC236}">
              <a16:creationId xmlns:a16="http://schemas.microsoft.com/office/drawing/2014/main" id="{2201C07C-7EFC-4AA8-A927-B33D6934F3B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74" name="Line 2396">
          <a:extLst>
            <a:ext uri="{FF2B5EF4-FFF2-40B4-BE49-F238E27FC236}">
              <a16:creationId xmlns:a16="http://schemas.microsoft.com/office/drawing/2014/main" id="{9C68BF96-5B54-4022-98EF-AA1AB250C6CA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390975" name="Line 2397">
          <a:extLst>
            <a:ext uri="{FF2B5EF4-FFF2-40B4-BE49-F238E27FC236}">
              <a16:creationId xmlns:a16="http://schemas.microsoft.com/office/drawing/2014/main" id="{2B8E678A-A296-4DAE-8F7B-C666426698E8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76" name="Line 2398">
          <a:extLst>
            <a:ext uri="{FF2B5EF4-FFF2-40B4-BE49-F238E27FC236}">
              <a16:creationId xmlns:a16="http://schemas.microsoft.com/office/drawing/2014/main" id="{7AF0E578-6D10-4E4C-97D0-10557B56C43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77" name="Line 2399">
          <a:extLst>
            <a:ext uri="{FF2B5EF4-FFF2-40B4-BE49-F238E27FC236}">
              <a16:creationId xmlns:a16="http://schemas.microsoft.com/office/drawing/2014/main" id="{F3EFA05A-DDA3-4F0B-BA8A-F322EBBA184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78" name="Line 2400">
          <a:extLst>
            <a:ext uri="{FF2B5EF4-FFF2-40B4-BE49-F238E27FC236}">
              <a16:creationId xmlns:a16="http://schemas.microsoft.com/office/drawing/2014/main" id="{3F720FB8-28EA-4B24-B055-28397202771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79" name="Line 2401">
          <a:extLst>
            <a:ext uri="{FF2B5EF4-FFF2-40B4-BE49-F238E27FC236}">
              <a16:creationId xmlns:a16="http://schemas.microsoft.com/office/drawing/2014/main" id="{24995E4A-348A-4688-8473-0A1753086B9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80" name="Line 2402">
          <a:extLst>
            <a:ext uri="{FF2B5EF4-FFF2-40B4-BE49-F238E27FC236}">
              <a16:creationId xmlns:a16="http://schemas.microsoft.com/office/drawing/2014/main" id="{3DA99F69-EB7B-46C0-A772-6F5EF432538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1" name="Line 2403">
          <a:extLst>
            <a:ext uri="{FF2B5EF4-FFF2-40B4-BE49-F238E27FC236}">
              <a16:creationId xmlns:a16="http://schemas.microsoft.com/office/drawing/2014/main" id="{41254446-70B4-4732-BC4C-391BAE04BCC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2" name="Line 2404">
          <a:extLst>
            <a:ext uri="{FF2B5EF4-FFF2-40B4-BE49-F238E27FC236}">
              <a16:creationId xmlns:a16="http://schemas.microsoft.com/office/drawing/2014/main" id="{A395D17B-1CC3-4600-99B0-72B5D322784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3" name="Line 2405">
          <a:extLst>
            <a:ext uri="{FF2B5EF4-FFF2-40B4-BE49-F238E27FC236}">
              <a16:creationId xmlns:a16="http://schemas.microsoft.com/office/drawing/2014/main" id="{55882E6C-13B7-4A09-AF87-6B61C5B1741F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4" name="Line 2406">
          <a:extLst>
            <a:ext uri="{FF2B5EF4-FFF2-40B4-BE49-F238E27FC236}">
              <a16:creationId xmlns:a16="http://schemas.microsoft.com/office/drawing/2014/main" id="{44600A0D-DD3F-46F2-A08C-D10565AE301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985" name="Line 2407">
          <a:extLst>
            <a:ext uri="{FF2B5EF4-FFF2-40B4-BE49-F238E27FC236}">
              <a16:creationId xmlns:a16="http://schemas.microsoft.com/office/drawing/2014/main" id="{0E3FBE12-9099-4A46-B08E-0EB9F145AFF1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6" name="Line 2408">
          <a:extLst>
            <a:ext uri="{FF2B5EF4-FFF2-40B4-BE49-F238E27FC236}">
              <a16:creationId xmlns:a16="http://schemas.microsoft.com/office/drawing/2014/main" id="{BD66170B-6E1F-4235-AD7F-77B08273247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87" name="Line 2409">
          <a:extLst>
            <a:ext uri="{FF2B5EF4-FFF2-40B4-BE49-F238E27FC236}">
              <a16:creationId xmlns:a16="http://schemas.microsoft.com/office/drawing/2014/main" id="{710A5E3E-1619-4032-8826-D64D4BC90A3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8" name="Line 2410">
          <a:extLst>
            <a:ext uri="{FF2B5EF4-FFF2-40B4-BE49-F238E27FC236}">
              <a16:creationId xmlns:a16="http://schemas.microsoft.com/office/drawing/2014/main" id="{56F9723A-1E42-4701-AB77-38B8F06465F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89" name="Line 2411">
          <a:extLst>
            <a:ext uri="{FF2B5EF4-FFF2-40B4-BE49-F238E27FC236}">
              <a16:creationId xmlns:a16="http://schemas.microsoft.com/office/drawing/2014/main" id="{41A968A3-5260-4777-B4AA-91136E04398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0" name="Line 2412">
          <a:extLst>
            <a:ext uri="{FF2B5EF4-FFF2-40B4-BE49-F238E27FC236}">
              <a16:creationId xmlns:a16="http://schemas.microsoft.com/office/drawing/2014/main" id="{4EE38D7F-F84D-4957-BD76-383FF6563AF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1" name="Line 2413">
          <a:extLst>
            <a:ext uri="{FF2B5EF4-FFF2-40B4-BE49-F238E27FC236}">
              <a16:creationId xmlns:a16="http://schemas.microsoft.com/office/drawing/2014/main" id="{AFB0F71F-245D-484C-B690-8778F9BDBCE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92" name="Line 2414">
          <a:extLst>
            <a:ext uri="{FF2B5EF4-FFF2-40B4-BE49-F238E27FC236}">
              <a16:creationId xmlns:a16="http://schemas.microsoft.com/office/drawing/2014/main" id="{09AB297B-F4EE-454C-B634-3AC9FF7791BB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3" name="Line 2417">
          <a:extLst>
            <a:ext uri="{FF2B5EF4-FFF2-40B4-BE49-F238E27FC236}">
              <a16:creationId xmlns:a16="http://schemas.microsoft.com/office/drawing/2014/main" id="{3AF03E01-7460-4002-9672-8110D6EE3D19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4" name="Line 2418">
          <a:extLst>
            <a:ext uri="{FF2B5EF4-FFF2-40B4-BE49-F238E27FC236}">
              <a16:creationId xmlns:a16="http://schemas.microsoft.com/office/drawing/2014/main" id="{235E643B-2D81-4CF9-BFB1-5BE9AC1E880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5" name="Line 2419">
          <a:extLst>
            <a:ext uri="{FF2B5EF4-FFF2-40B4-BE49-F238E27FC236}">
              <a16:creationId xmlns:a16="http://schemas.microsoft.com/office/drawing/2014/main" id="{9C8B8670-76F1-40B9-AEE1-8EA555FFF27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90996" name="Line 2420">
          <a:extLst>
            <a:ext uri="{FF2B5EF4-FFF2-40B4-BE49-F238E27FC236}">
              <a16:creationId xmlns:a16="http://schemas.microsoft.com/office/drawing/2014/main" id="{1C6A91F4-A33B-4346-9C36-83A10E81CC0E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7" name="Line 2421">
          <a:extLst>
            <a:ext uri="{FF2B5EF4-FFF2-40B4-BE49-F238E27FC236}">
              <a16:creationId xmlns:a16="http://schemas.microsoft.com/office/drawing/2014/main" id="{BA17E39D-9C4C-4054-A943-8BAE2A01F86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0998" name="Line 2422">
          <a:extLst>
            <a:ext uri="{FF2B5EF4-FFF2-40B4-BE49-F238E27FC236}">
              <a16:creationId xmlns:a16="http://schemas.microsoft.com/office/drawing/2014/main" id="{5893A2FD-F158-4FEC-8FC1-0B6DB558ED6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0999" name="Line 2423">
          <a:extLst>
            <a:ext uri="{FF2B5EF4-FFF2-40B4-BE49-F238E27FC236}">
              <a16:creationId xmlns:a16="http://schemas.microsoft.com/office/drawing/2014/main" id="{761FA929-E6F3-435A-B642-29628257277B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1000" name="Line 2424">
          <a:extLst>
            <a:ext uri="{FF2B5EF4-FFF2-40B4-BE49-F238E27FC236}">
              <a16:creationId xmlns:a16="http://schemas.microsoft.com/office/drawing/2014/main" id="{B886ABC3-7664-42D5-9979-7E2F8C5C63C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1001" name="Line 2425">
          <a:extLst>
            <a:ext uri="{FF2B5EF4-FFF2-40B4-BE49-F238E27FC236}">
              <a16:creationId xmlns:a16="http://schemas.microsoft.com/office/drawing/2014/main" id="{D133BE43-2731-4F7E-A0DC-A9DC6AF526C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1002" name="Line 2426">
          <a:extLst>
            <a:ext uri="{FF2B5EF4-FFF2-40B4-BE49-F238E27FC236}">
              <a16:creationId xmlns:a16="http://schemas.microsoft.com/office/drawing/2014/main" id="{7E2E273B-8C19-4625-94F6-61DB25EB4F3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1003" name="Line 2427">
          <a:extLst>
            <a:ext uri="{FF2B5EF4-FFF2-40B4-BE49-F238E27FC236}">
              <a16:creationId xmlns:a16="http://schemas.microsoft.com/office/drawing/2014/main" id="{F665CDBE-D726-4D35-B5D3-28CC779D55A4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1004" name="Line 2428">
          <a:extLst>
            <a:ext uri="{FF2B5EF4-FFF2-40B4-BE49-F238E27FC236}">
              <a16:creationId xmlns:a16="http://schemas.microsoft.com/office/drawing/2014/main" id="{18D0FC69-D836-4B8D-B45D-08EFB0B47652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1005" name="Line 2429">
          <a:extLst>
            <a:ext uri="{FF2B5EF4-FFF2-40B4-BE49-F238E27FC236}">
              <a16:creationId xmlns:a16="http://schemas.microsoft.com/office/drawing/2014/main" id="{DA1D0090-E50B-4A3A-8619-E44C415E324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91006" name="Line 2430">
          <a:extLst>
            <a:ext uri="{FF2B5EF4-FFF2-40B4-BE49-F238E27FC236}">
              <a16:creationId xmlns:a16="http://schemas.microsoft.com/office/drawing/2014/main" id="{05DE6D19-A93D-4617-8578-516A0D71618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7B1622D-69B8-429A-ADF4-C0DE5FC4A05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5641F89E-60A6-4992-B747-BE667A19535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" name="Line 21">
          <a:extLst>
            <a:ext uri="{FF2B5EF4-FFF2-40B4-BE49-F238E27FC236}">
              <a16:creationId xmlns:a16="http://schemas.microsoft.com/office/drawing/2014/main" id="{09127BA7-318E-4487-B4BF-8858E9B5672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" name="Line 22">
          <a:extLst>
            <a:ext uri="{FF2B5EF4-FFF2-40B4-BE49-F238E27FC236}">
              <a16:creationId xmlns:a16="http://schemas.microsoft.com/office/drawing/2014/main" id="{776FD5F3-4D0E-416D-B06B-F902E383537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" name="Line 23">
          <a:extLst>
            <a:ext uri="{FF2B5EF4-FFF2-40B4-BE49-F238E27FC236}">
              <a16:creationId xmlns:a16="http://schemas.microsoft.com/office/drawing/2014/main" id="{1BEA5A90-EAC4-40F5-B012-090EEB3A663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7" name="Line 24">
          <a:extLst>
            <a:ext uri="{FF2B5EF4-FFF2-40B4-BE49-F238E27FC236}">
              <a16:creationId xmlns:a16="http://schemas.microsoft.com/office/drawing/2014/main" id="{5F8FFECA-FAD8-4EAD-9A2C-89C099DBDAD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8" name="Line 29">
          <a:extLst>
            <a:ext uri="{FF2B5EF4-FFF2-40B4-BE49-F238E27FC236}">
              <a16:creationId xmlns:a16="http://schemas.microsoft.com/office/drawing/2014/main" id="{4B32FAFB-7FF5-4C0F-AF05-A1A025398FE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" name="Line 33">
          <a:extLst>
            <a:ext uri="{FF2B5EF4-FFF2-40B4-BE49-F238E27FC236}">
              <a16:creationId xmlns:a16="http://schemas.microsoft.com/office/drawing/2014/main" id="{31094651-2CB1-467A-9A2A-CB04F3BA0BB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" name="Line 45">
          <a:extLst>
            <a:ext uri="{FF2B5EF4-FFF2-40B4-BE49-F238E27FC236}">
              <a16:creationId xmlns:a16="http://schemas.microsoft.com/office/drawing/2014/main" id="{AF6FF27B-F951-4F69-9C53-CC36F20B667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1" name="Line 46">
          <a:extLst>
            <a:ext uri="{FF2B5EF4-FFF2-40B4-BE49-F238E27FC236}">
              <a16:creationId xmlns:a16="http://schemas.microsoft.com/office/drawing/2014/main" id="{501CA532-3DA6-48C2-887C-A2B7BB80DD1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" name="Line 47">
          <a:extLst>
            <a:ext uri="{FF2B5EF4-FFF2-40B4-BE49-F238E27FC236}">
              <a16:creationId xmlns:a16="http://schemas.microsoft.com/office/drawing/2014/main" id="{BF96DB47-3066-4702-B1C2-4A219139407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" name="Line 48">
          <a:extLst>
            <a:ext uri="{FF2B5EF4-FFF2-40B4-BE49-F238E27FC236}">
              <a16:creationId xmlns:a16="http://schemas.microsoft.com/office/drawing/2014/main" id="{9163CF2C-B2C5-4764-B1D0-59FB380839F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" name="Line 53">
          <a:extLst>
            <a:ext uri="{FF2B5EF4-FFF2-40B4-BE49-F238E27FC236}">
              <a16:creationId xmlns:a16="http://schemas.microsoft.com/office/drawing/2014/main" id="{324EF766-CC03-423A-AC4A-A42754A9B9B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5" name="Line 57">
          <a:extLst>
            <a:ext uri="{FF2B5EF4-FFF2-40B4-BE49-F238E27FC236}">
              <a16:creationId xmlns:a16="http://schemas.microsoft.com/office/drawing/2014/main" id="{2A9D290C-6E6C-4DD2-BF8F-C2EE87D87AC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" name="Line 69">
          <a:extLst>
            <a:ext uri="{FF2B5EF4-FFF2-40B4-BE49-F238E27FC236}">
              <a16:creationId xmlns:a16="http://schemas.microsoft.com/office/drawing/2014/main" id="{097A32DD-B254-4015-9617-B165866609E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" name="Line 70">
          <a:extLst>
            <a:ext uri="{FF2B5EF4-FFF2-40B4-BE49-F238E27FC236}">
              <a16:creationId xmlns:a16="http://schemas.microsoft.com/office/drawing/2014/main" id="{517B0C40-7192-4240-A768-649BF129965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8" name="Line 71">
          <a:extLst>
            <a:ext uri="{FF2B5EF4-FFF2-40B4-BE49-F238E27FC236}">
              <a16:creationId xmlns:a16="http://schemas.microsoft.com/office/drawing/2014/main" id="{1102180D-D1C1-43E5-8F99-691A62A5099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9" name="Line 72">
          <a:extLst>
            <a:ext uri="{FF2B5EF4-FFF2-40B4-BE49-F238E27FC236}">
              <a16:creationId xmlns:a16="http://schemas.microsoft.com/office/drawing/2014/main" id="{882BA0C3-E045-4ACE-BE85-D6EFADEFAA1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0" name="Line 97">
          <a:extLst>
            <a:ext uri="{FF2B5EF4-FFF2-40B4-BE49-F238E27FC236}">
              <a16:creationId xmlns:a16="http://schemas.microsoft.com/office/drawing/2014/main" id="{7631365F-657B-4C94-A1A3-AB7E17B45D9B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21" name="Line 98">
          <a:extLst>
            <a:ext uri="{FF2B5EF4-FFF2-40B4-BE49-F238E27FC236}">
              <a16:creationId xmlns:a16="http://schemas.microsoft.com/office/drawing/2014/main" id="{500BE1F3-CCAC-4ED6-9ABC-6090143C11E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22" name="Line 99">
          <a:extLst>
            <a:ext uri="{FF2B5EF4-FFF2-40B4-BE49-F238E27FC236}">
              <a16:creationId xmlns:a16="http://schemas.microsoft.com/office/drawing/2014/main" id="{56A52A45-633B-46AA-9493-3AF8736A800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23" name="Line 100">
          <a:extLst>
            <a:ext uri="{FF2B5EF4-FFF2-40B4-BE49-F238E27FC236}">
              <a16:creationId xmlns:a16="http://schemas.microsoft.com/office/drawing/2014/main" id="{054FD085-0A05-4E0A-BF1B-551D627E36F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24" name="Line 101">
          <a:extLst>
            <a:ext uri="{FF2B5EF4-FFF2-40B4-BE49-F238E27FC236}">
              <a16:creationId xmlns:a16="http://schemas.microsoft.com/office/drawing/2014/main" id="{545AED55-6B53-427C-B987-7C9856CAEB6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25" name="Line 102">
          <a:extLst>
            <a:ext uri="{FF2B5EF4-FFF2-40B4-BE49-F238E27FC236}">
              <a16:creationId xmlns:a16="http://schemas.microsoft.com/office/drawing/2014/main" id="{61738FF8-18FD-4CEE-9F5F-217F4917DB5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26" name="Line 103">
          <a:extLst>
            <a:ext uri="{FF2B5EF4-FFF2-40B4-BE49-F238E27FC236}">
              <a16:creationId xmlns:a16="http://schemas.microsoft.com/office/drawing/2014/main" id="{206F056C-1618-4FC4-9E74-3DB8311E8705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27" name="Line 104">
          <a:extLst>
            <a:ext uri="{FF2B5EF4-FFF2-40B4-BE49-F238E27FC236}">
              <a16:creationId xmlns:a16="http://schemas.microsoft.com/office/drawing/2014/main" id="{0CBF76E0-0652-4A0C-A316-BCFC293EDC2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28" name="Line 105">
          <a:extLst>
            <a:ext uri="{FF2B5EF4-FFF2-40B4-BE49-F238E27FC236}">
              <a16:creationId xmlns:a16="http://schemas.microsoft.com/office/drawing/2014/main" id="{1B0E0E52-0CC1-4D7D-9AA5-74AB3E27CCA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29" name="Line 106">
          <a:extLst>
            <a:ext uri="{FF2B5EF4-FFF2-40B4-BE49-F238E27FC236}">
              <a16:creationId xmlns:a16="http://schemas.microsoft.com/office/drawing/2014/main" id="{816760BA-6FE9-41DA-928B-334BAABB52E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30" name="Line 107">
          <a:extLst>
            <a:ext uri="{FF2B5EF4-FFF2-40B4-BE49-F238E27FC236}">
              <a16:creationId xmlns:a16="http://schemas.microsoft.com/office/drawing/2014/main" id="{60C14129-95F7-4745-B767-AC1E57F28550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1" name="Line 108">
          <a:extLst>
            <a:ext uri="{FF2B5EF4-FFF2-40B4-BE49-F238E27FC236}">
              <a16:creationId xmlns:a16="http://schemas.microsoft.com/office/drawing/2014/main" id="{4B011231-691E-4105-B2B0-A2639217958E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2" name="Line 109">
          <a:extLst>
            <a:ext uri="{FF2B5EF4-FFF2-40B4-BE49-F238E27FC236}">
              <a16:creationId xmlns:a16="http://schemas.microsoft.com/office/drawing/2014/main" id="{413DA559-1871-40FC-9407-510B8D41F7CD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3" name="Line 110">
          <a:extLst>
            <a:ext uri="{FF2B5EF4-FFF2-40B4-BE49-F238E27FC236}">
              <a16:creationId xmlns:a16="http://schemas.microsoft.com/office/drawing/2014/main" id="{D0C1E795-AC55-40F6-96A8-3EE1A0D86E6F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4" name="Line 111">
          <a:extLst>
            <a:ext uri="{FF2B5EF4-FFF2-40B4-BE49-F238E27FC236}">
              <a16:creationId xmlns:a16="http://schemas.microsoft.com/office/drawing/2014/main" id="{30BE2BFB-3EA9-4762-9F13-102E7C59AB8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5" name="Line 112">
          <a:extLst>
            <a:ext uri="{FF2B5EF4-FFF2-40B4-BE49-F238E27FC236}">
              <a16:creationId xmlns:a16="http://schemas.microsoft.com/office/drawing/2014/main" id="{9D6EE8C7-02CA-4B08-B58F-57D24442587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36" name="Line 113">
          <a:extLst>
            <a:ext uri="{FF2B5EF4-FFF2-40B4-BE49-F238E27FC236}">
              <a16:creationId xmlns:a16="http://schemas.microsoft.com/office/drawing/2014/main" id="{B6E152EE-6DE4-407E-BE62-BF5BB6C9DF9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7" name="Line 114">
          <a:extLst>
            <a:ext uri="{FF2B5EF4-FFF2-40B4-BE49-F238E27FC236}">
              <a16:creationId xmlns:a16="http://schemas.microsoft.com/office/drawing/2014/main" id="{8070DEF2-AE53-47C2-8157-2AA9DBEA02B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38" name="Line 115">
          <a:extLst>
            <a:ext uri="{FF2B5EF4-FFF2-40B4-BE49-F238E27FC236}">
              <a16:creationId xmlns:a16="http://schemas.microsoft.com/office/drawing/2014/main" id="{A537383E-577D-43FB-B53D-F3D6B7A6B73A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39" name="Line 116">
          <a:extLst>
            <a:ext uri="{FF2B5EF4-FFF2-40B4-BE49-F238E27FC236}">
              <a16:creationId xmlns:a16="http://schemas.microsoft.com/office/drawing/2014/main" id="{55F5CA8A-9F01-44E6-ADAF-918B3E60CB6D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40" name="Line 117">
          <a:extLst>
            <a:ext uri="{FF2B5EF4-FFF2-40B4-BE49-F238E27FC236}">
              <a16:creationId xmlns:a16="http://schemas.microsoft.com/office/drawing/2014/main" id="{B6CBAEB4-57C7-47C0-AC1F-C44C3465ED55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41" name="Line 118">
          <a:extLst>
            <a:ext uri="{FF2B5EF4-FFF2-40B4-BE49-F238E27FC236}">
              <a16:creationId xmlns:a16="http://schemas.microsoft.com/office/drawing/2014/main" id="{DB4EE824-C8E0-4946-A529-FCA9AC9C2A2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42" name="Line 119">
          <a:extLst>
            <a:ext uri="{FF2B5EF4-FFF2-40B4-BE49-F238E27FC236}">
              <a16:creationId xmlns:a16="http://schemas.microsoft.com/office/drawing/2014/main" id="{FA838668-56D6-4364-A5D7-881CE43B1CE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43" name="Line 120">
          <a:extLst>
            <a:ext uri="{FF2B5EF4-FFF2-40B4-BE49-F238E27FC236}">
              <a16:creationId xmlns:a16="http://schemas.microsoft.com/office/drawing/2014/main" id="{D22FA479-D9BB-48EE-8F88-1E4AC2CFA9A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4" name="Line 121">
          <a:extLst>
            <a:ext uri="{FF2B5EF4-FFF2-40B4-BE49-F238E27FC236}">
              <a16:creationId xmlns:a16="http://schemas.microsoft.com/office/drawing/2014/main" id="{536C21C2-0C60-437E-AB2D-1DAD0FEE681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5" name="Line 122">
          <a:extLst>
            <a:ext uri="{FF2B5EF4-FFF2-40B4-BE49-F238E27FC236}">
              <a16:creationId xmlns:a16="http://schemas.microsoft.com/office/drawing/2014/main" id="{FEA35DFE-A89A-42AE-A8D6-5BC7041CF70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6" name="Line 123">
          <a:extLst>
            <a:ext uri="{FF2B5EF4-FFF2-40B4-BE49-F238E27FC236}">
              <a16:creationId xmlns:a16="http://schemas.microsoft.com/office/drawing/2014/main" id="{C8464BCC-9FAA-4F60-8059-80D7768A8E8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7" name="Line 124">
          <a:extLst>
            <a:ext uri="{FF2B5EF4-FFF2-40B4-BE49-F238E27FC236}">
              <a16:creationId xmlns:a16="http://schemas.microsoft.com/office/drawing/2014/main" id="{768E767A-C3C2-42BA-923E-EC7E2F3BF6C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48" name="Line 125">
          <a:extLst>
            <a:ext uri="{FF2B5EF4-FFF2-40B4-BE49-F238E27FC236}">
              <a16:creationId xmlns:a16="http://schemas.microsoft.com/office/drawing/2014/main" id="{1867DBCB-3864-40B3-A84D-DE4F5F87FD2E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49" name="Line 126">
          <a:extLst>
            <a:ext uri="{FF2B5EF4-FFF2-40B4-BE49-F238E27FC236}">
              <a16:creationId xmlns:a16="http://schemas.microsoft.com/office/drawing/2014/main" id="{E9BE0B4D-64A5-42F8-B80D-DB014F69875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50" name="Line 127">
          <a:extLst>
            <a:ext uri="{FF2B5EF4-FFF2-40B4-BE49-F238E27FC236}">
              <a16:creationId xmlns:a16="http://schemas.microsoft.com/office/drawing/2014/main" id="{8AFC8528-3D1B-45BD-9D1D-418FC0B013C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1" name="Line 128">
          <a:extLst>
            <a:ext uri="{FF2B5EF4-FFF2-40B4-BE49-F238E27FC236}">
              <a16:creationId xmlns:a16="http://schemas.microsoft.com/office/drawing/2014/main" id="{CFF7ACCA-5A2D-4164-83DB-B046A858A01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2" name="Line 129">
          <a:extLst>
            <a:ext uri="{FF2B5EF4-FFF2-40B4-BE49-F238E27FC236}">
              <a16:creationId xmlns:a16="http://schemas.microsoft.com/office/drawing/2014/main" id="{BF67CA02-DA35-4737-A3A6-38BE9AD2EBE3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3" name="Line 130">
          <a:extLst>
            <a:ext uri="{FF2B5EF4-FFF2-40B4-BE49-F238E27FC236}">
              <a16:creationId xmlns:a16="http://schemas.microsoft.com/office/drawing/2014/main" id="{7AD8AF2E-0932-4FCA-A777-FE4729C6D36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4" name="Line 131">
          <a:extLst>
            <a:ext uri="{FF2B5EF4-FFF2-40B4-BE49-F238E27FC236}">
              <a16:creationId xmlns:a16="http://schemas.microsoft.com/office/drawing/2014/main" id="{2C7FAFFB-F2CB-42B3-A392-8CA4589E059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55" name="Line 132">
          <a:extLst>
            <a:ext uri="{FF2B5EF4-FFF2-40B4-BE49-F238E27FC236}">
              <a16:creationId xmlns:a16="http://schemas.microsoft.com/office/drawing/2014/main" id="{7A6CA316-8691-4599-B907-164B557D1FCD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6" name="Line 133">
          <a:extLst>
            <a:ext uri="{FF2B5EF4-FFF2-40B4-BE49-F238E27FC236}">
              <a16:creationId xmlns:a16="http://schemas.microsoft.com/office/drawing/2014/main" id="{F88F87F2-FBF5-41DA-B723-C0B8356B4E9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" name="Line 134">
          <a:extLst>
            <a:ext uri="{FF2B5EF4-FFF2-40B4-BE49-F238E27FC236}">
              <a16:creationId xmlns:a16="http://schemas.microsoft.com/office/drawing/2014/main" id="{B44D2F31-65DE-4F99-8072-6592911A5A7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8" name="Line 135">
          <a:extLst>
            <a:ext uri="{FF2B5EF4-FFF2-40B4-BE49-F238E27FC236}">
              <a16:creationId xmlns:a16="http://schemas.microsoft.com/office/drawing/2014/main" id="{A22491A8-00CA-4154-89BA-C735760BCD0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59" name="Line 136">
          <a:extLst>
            <a:ext uri="{FF2B5EF4-FFF2-40B4-BE49-F238E27FC236}">
              <a16:creationId xmlns:a16="http://schemas.microsoft.com/office/drawing/2014/main" id="{4635415B-9C9E-4E7E-B71A-CD83490D6DE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0" name="Line 137">
          <a:extLst>
            <a:ext uri="{FF2B5EF4-FFF2-40B4-BE49-F238E27FC236}">
              <a16:creationId xmlns:a16="http://schemas.microsoft.com/office/drawing/2014/main" id="{0D8EC0CB-C399-46F0-BE37-F57D552991C8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61" name="Line 138">
          <a:extLst>
            <a:ext uri="{FF2B5EF4-FFF2-40B4-BE49-F238E27FC236}">
              <a16:creationId xmlns:a16="http://schemas.microsoft.com/office/drawing/2014/main" id="{F2477E5A-7AAE-431F-82CF-CA662EAF9A2B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2" name="Line 139">
          <a:extLst>
            <a:ext uri="{FF2B5EF4-FFF2-40B4-BE49-F238E27FC236}">
              <a16:creationId xmlns:a16="http://schemas.microsoft.com/office/drawing/2014/main" id="{4B748ABC-EE75-42F3-BBE4-490C2AD0E436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3" name="Line 140">
          <a:extLst>
            <a:ext uri="{FF2B5EF4-FFF2-40B4-BE49-F238E27FC236}">
              <a16:creationId xmlns:a16="http://schemas.microsoft.com/office/drawing/2014/main" id="{D8AD1E1B-81D1-4425-B6DE-1E54C0B460C1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4" name="Line 141">
          <a:extLst>
            <a:ext uri="{FF2B5EF4-FFF2-40B4-BE49-F238E27FC236}">
              <a16:creationId xmlns:a16="http://schemas.microsoft.com/office/drawing/2014/main" id="{28E673C0-8623-4AD6-9265-AC9B0B465E4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5" name="Line 142">
          <a:extLst>
            <a:ext uri="{FF2B5EF4-FFF2-40B4-BE49-F238E27FC236}">
              <a16:creationId xmlns:a16="http://schemas.microsoft.com/office/drawing/2014/main" id="{040721AF-E79F-4FDA-968F-02B7E395FC43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6" name="Line 143">
          <a:extLst>
            <a:ext uri="{FF2B5EF4-FFF2-40B4-BE49-F238E27FC236}">
              <a16:creationId xmlns:a16="http://schemas.microsoft.com/office/drawing/2014/main" id="{A0B9E4A3-41CC-49D9-A355-E2D5378A1E9B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7" name="Line 144">
          <a:extLst>
            <a:ext uri="{FF2B5EF4-FFF2-40B4-BE49-F238E27FC236}">
              <a16:creationId xmlns:a16="http://schemas.microsoft.com/office/drawing/2014/main" id="{B55C89A1-C7D5-459B-B22D-D2E68A117A0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8" name="Line 145">
          <a:extLst>
            <a:ext uri="{FF2B5EF4-FFF2-40B4-BE49-F238E27FC236}">
              <a16:creationId xmlns:a16="http://schemas.microsoft.com/office/drawing/2014/main" id="{B5A599FA-F5CA-432A-B0E8-8F2B5C33C24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" name="Line 146">
          <a:extLst>
            <a:ext uri="{FF2B5EF4-FFF2-40B4-BE49-F238E27FC236}">
              <a16:creationId xmlns:a16="http://schemas.microsoft.com/office/drawing/2014/main" id="{B7985EDD-BCA2-4F16-BD5B-82E3E53F456B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0" name="Line 147">
          <a:extLst>
            <a:ext uri="{FF2B5EF4-FFF2-40B4-BE49-F238E27FC236}">
              <a16:creationId xmlns:a16="http://schemas.microsoft.com/office/drawing/2014/main" id="{5CC56776-DB2F-40A9-A584-D828CF83D73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" name="Line 148">
          <a:extLst>
            <a:ext uri="{FF2B5EF4-FFF2-40B4-BE49-F238E27FC236}">
              <a16:creationId xmlns:a16="http://schemas.microsoft.com/office/drawing/2014/main" id="{1D4F7274-8A97-41FC-88C0-21B994E4D5B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72" name="Line 149">
          <a:extLst>
            <a:ext uri="{FF2B5EF4-FFF2-40B4-BE49-F238E27FC236}">
              <a16:creationId xmlns:a16="http://schemas.microsoft.com/office/drawing/2014/main" id="{D7657080-A41C-42A8-A9D6-0742EF7F5D9D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73" name="Line 150">
          <a:extLst>
            <a:ext uri="{FF2B5EF4-FFF2-40B4-BE49-F238E27FC236}">
              <a16:creationId xmlns:a16="http://schemas.microsoft.com/office/drawing/2014/main" id="{179A9DCD-13C6-4B36-AC8F-FC28DE0D4FE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74" name="Line 151">
          <a:extLst>
            <a:ext uri="{FF2B5EF4-FFF2-40B4-BE49-F238E27FC236}">
              <a16:creationId xmlns:a16="http://schemas.microsoft.com/office/drawing/2014/main" id="{426BAD16-2466-4F82-9009-7DF69F755A6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75" name="Line 152">
          <a:extLst>
            <a:ext uri="{FF2B5EF4-FFF2-40B4-BE49-F238E27FC236}">
              <a16:creationId xmlns:a16="http://schemas.microsoft.com/office/drawing/2014/main" id="{4928B0B0-C265-4BD9-867E-5DEEEDA7AB0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76" name="Line 153">
          <a:extLst>
            <a:ext uri="{FF2B5EF4-FFF2-40B4-BE49-F238E27FC236}">
              <a16:creationId xmlns:a16="http://schemas.microsoft.com/office/drawing/2014/main" id="{4368C4F1-EB6E-4C81-89CE-BFDC2A35DE2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77" name="Line 154">
          <a:extLst>
            <a:ext uri="{FF2B5EF4-FFF2-40B4-BE49-F238E27FC236}">
              <a16:creationId xmlns:a16="http://schemas.microsoft.com/office/drawing/2014/main" id="{240C3C46-1362-4224-A581-22C5FCCDC01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78" name="Line 155">
          <a:extLst>
            <a:ext uri="{FF2B5EF4-FFF2-40B4-BE49-F238E27FC236}">
              <a16:creationId xmlns:a16="http://schemas.microsoft.com/office/drawing/2014/main" id="{DC088026-C020-4E5C-BDC6-D64D6029DD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79" name="Line 156">
          <a:extLst>
            <a:ext uri="{FF2B5EF4-FFF2-40B4-BE49-F238E27FC236}">
              <a16:creationId xmlns:a16="http://schemas.microsoft.com/office/drawing/2014/main" id="{67BFF4C4-85AD-40CB-BC00-051783F6D01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0" name="Line 157">
          <a:extLst>
            <a:ext uri="{FF2B5EF4-FFF2-40B4-BE49-F238E27FC236}">
              <a16:creationId xmlns:a16="http://schemas.microsoft.com/office/drawing/2014/main" id="{2AFCA69C-B993-4E51-AAEC-CC3141FAC85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1" name="Line 158">
          <a:extLst>
            <a:ext uri="{FF2B5EF4-FFF2-40B4-BE49-F238E27FC236}">
              <a16:creationId xmlns:a16="http://schemas.microsoft.com/office/drawing/2014/main" id="{806229ED-026D-40D1-B0AF-520E0AC1B7B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82" name="Line 159">
          <a:extLst>
            <a:ext uri="{FF2B5EF4-FFF2-40B4-BE49-F238E27FC236}">
              <a16:creationId xmlns:a16="http://schemas.microsoft.com/office/drawing/2014/main" id="{C1B8E379-9B73-4618-96BB-4B31C63EFE8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3" name="Line 160">
          <a:extLst>
            <a:ext uri="{FF2B5EF4-FFF2-40B4-BE49-F238E27FC236}">
              <a16:creationId xmlns:a16="http://schemas.microsoft.com/office/drawing/2014/main" id="{A112B417-7F73-4C52-B8C7-BDC11ECE0E8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84" name="Line 161">
          <a:extLst>
            <a:ext uri="{FF2B5EF4-FFF2-40B4-BE49-F238E27FC236}">
              <a16:creationId xmlns:a16="http://schemas.microsoft.com/office/drawing/2014/main" id="{1BC020DB-3D77-4C2F-B532-899F4EB9870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5" name="Line 162">
          <a:extLst>
            <a:ext uri="{FF2B5EF4-FFF2-40B4-BE49-F238E27FC236}">
              <a16:creationId xmlns:a16="http://schemas.microsoft.com/office/drawing/2014/main" id="{F91BB38D-EA4A-4B15-9A7A-8000660BCFA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6" name="Line 163">
          <a:extLst>
            <a:ext uri="{FF2B5EF4-FFF2-40B4-BE49-F238E27FC236}">
              <a16:creationId xmlns:a16="http://schemas.microsoft.com/office/drawing/2014/main" id="{458B3110-5094-425D-9A3D-FDD1B77CA0D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7" name="Line 164">
          <a:extLst>
            <a:ext uri="{FF2B5EF4-FFF2-40B4-BE49-F238E27FC236}">
              <a16:creationId xmlns:a16="http://schemas.microsoft.com/office/drawing/2014/main" id="{C50319CA-BC69-40AA-B1CF-2C402CD91A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88" name="Line 165">
          <a:extLst>
            <a:ext uri="{FF2B5EF4-FFF2-40B4-BE49-F238E27FC236}">
              <a16:creationId xmlns:a16="http://schemas.microsoft.com/office/drawing/2014/main" id="{7875D6F2-85F1-4302-A2F3-6A03D2F2D0F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89" name="Line 166">
          <a:extLst>
            <a:ext uri="{FF2B5EF4-FFF2-40B4-BE49-F238E27FC236}">
              <a16:creationId xmlns:a16="http://schemas.microsoft.com/office/drawing/2014/main" id="{51F7E053-6007-4E3D-A04E-25AE329B82C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90" name="Line 167">
          <a:extLst>
            <a:ext uri="{FF2B5EF4-FFF2-40B4-BE49-F238E27FC236}">
              <a16:creationId xmlns:a16="http://schemas.microsoft.com/office/drawing/2014/main" id="{D3D23314-B1B7-491E-82E0-21AA7E3B505F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1" name="Line 168">
          <a:extLst>
            <a:ext uri="{FF2B5EF4-FFF2-40B4-BE49-F238E27FC236}">
              <a16:creationId xmlns:a16="http://schemas.microsoft.com/office/drawing/2014/main" id="{21962C00-E491-43CE-A6E9-4A449C0B2D9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2" name="Line 169">
          <a:extLst>
            <a:ext uri="{FF2B5EF4-FFF2-40B4-BE49-F238E27FC236}">
              <a16:creationId xmlns:a16="http://schemas.microsoft.com/office/drawing/2014/main" id="{F5D7A0A3-954A-4D36-9E92-1FC617BAAD2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3" name="Line 170">
          <a:extLst>
            <a:ext uri="{FF2B5EF4-FFF2-40B4-BE49-F238E27FC236}">
              <a16:creationId xmlns:a16="http://schemas.microsoft.com/office/drawing/2014/main" id="{BE34B1DF-7A00-4028-984C-0A2A51F3790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4" name="Line 171">
          <a:extLst>
            <a:ext uri="{FF2B5EF4-FFF2-40B4-BE49-F238E27FC236}">
              <a16:creationId xmlns:a16="http://schemas.microsoft.com/office/drawing/2014/main" id="{5195AEF6-36F2-4B93-B1DF-669BFC84B19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95" name="Line 172">
          <a:extLst>
            <a:ext uri="{FF2B5EF4-FFF2-40B4-BE49-F238E27FC236}">
              <a16:creationId xmlns:a16="http://schemas.microsoft.com/office/drawing/2014/main" id="{9DB79381-B764-47DF-BEF3-409C208ABE1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96" name="Line 173">
          <a:extLst>
            <a:ext uri="{FF2B5EF4-FFF2-40B4-BE49-F238E27FC236}">
              <a16:creationId xmlns:a16="http://schemas.microsoft.com/office/drawing/2014/main" id="{1CFB280B-71D7-4993-BE4C-5896668D53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97" name="Line 174">
          <a:extLst>
            <a:ext uri="{FF2B5EF4-FFF2-40B4-BE49-F238E27FC236}">
              <a16:creationId xmlns:a16="http://schemas.microsoft.com/office/drawing/2014/main" id="{0EF68CF2-5465-4144-B033-EA06082E98B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98" name="Line 175">
          <a:extLst>
            <a:ext uri="{FF2B5EF4-FFF2-40B4-BE49-F238E27FC236}">
              <a16:creationId xmlns:a16="http://schemas.microsoft.com/office/drawing/2014/main" id="{4C714FCC-D4A3-4CDB-A9B1-CBBD6027973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99" name="Line 176">
          <a:extLst>
            <a:ext uri="{FF2B5EF4-FFF2-40B4-BE49-F238E27FC236}">
              <a16:creationId xmlns:a16="http://schemas.microsoft.com/office/drawing/2014/main" id="{1EF50B70-4CFA-4507-B968-45C3A23BC1F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00" name="Line 177">
          <a:extLst>
            <a:ext uri="{FF2B5EF4-FFF2-40B4-BE49-F238E27FC236}">
              <a16:creationId xmlns:a16="http://schemas.microsoft.com/office/drawing/2014/main" id="{705D7A49-4DAB-47C8-B8A7-BE2850DC505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1" name="Line 178">
          <a:extLst>
            <a:ext uri="{FF2B5EF4-FFF2-40B4-BE49-F238E27FC236}">
              <a16:creationId xmlns:a16="http://schemas.microsoft.com/office/drawing/2014/main" id="{06BEE5A1-F77F-47A3-8E59-CF939FC48D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02" name="Line 179">
          <a:extLst>
            <a:ext uri="{FF2B5EF4-FFF2-40B4-BE49-F238E27FC236}">
              <a16:creationId xmlns:a16="http://schemas.microsoft.com/office/drawing/2014/main" id="{E7E41AD8-EB07-49C3-A4B3-B45C6657014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3" name="Line 180">
          <a:extLst>
            <a:ext uri="{FF2B5EF4-FFF2-40B4-BE49-F238E27FC236}">
              <a16:creationId xmlns:a16="http://schemas.microsoft.com/office/drawing/2014/main" id="{D334F754-F031-4FD3-8EED-023F1B58111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4" name="Line 181">
          <a:extLst>
            <a:ext uri="{FF2B5EF4-FFF2-40B4-BE49-F238E27FC236}">
              <a16:creationId xmlns:a16="http://schemas.microsoft.com/office/drawing/2014/main" id="{D4B86DCA-19F9-4831-9F7F-F3CCF635F2F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5" name="Line 182">
          <a:extLst>
            <a:ext uri="{FF2B5EF4-FFF2-40B4-BE49-F238E27FC236}">
              <a16:creationId xmlns:a16="http://schemas.microsoft.com/office/drawing/2014/main" id="{51E86A9F-B899-41A6-AD12-7883ACB21AD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6" name="Line 183">
          <a:extLst>
            <a:ext uri="{FF2B5EF4-FFF2-40B4-BE49-F238E27FC236}">
              <a16:creationId xmlns:a16="http://schemas.microsoft.com/office/drawing/2014/main" id="{59A5CA13-EF95-47F9-BE96-C72D4E8BABD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07" name="Line 184">
          <a:extLst>
            <a:ext uri="{FF2B5EF4-FFF2-40B4-BE49-F238E27FC236}">
              <a16:creationId xmlns:a16="http://schemas.microsoft.com/office/drawing/2014/main" id="{DB0C586C-CCD9-4225-AB6E-C6B25273738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8" name="Line 185">
          <a:extLst>
            <a:ext uri="{FF2B5EF4-FFF2-40B4-BE49-F238E27FC236}">
              <a16:creationId xmlns:a16="http://schemas.microsoft.com/office/drawing/2014/main" id="{99B8504A-09ED-405B-BA56-698E28A7655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09" name="Line 186">
          <a:extLst>
            <a:ext uri="{FF2B5EF4-FFF2-40B4-BE49-F238E27FC236}">
              <a16:creationId xmlns:a16="http://schemas.microsoft.com/office/drawing/2014/main" id="{18A69FC5-35B7-4BBE-AC75-732762F39DA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0" name="Line 187">
          <a:extLst>
            <a:ext uri="{FF2B5EF4-FFF2-40B4-BE49-F238E27FC236}">
              <a16:creationId xmlns:a16="http://schemas.microsoft.com/office/drawing/2014/main" id="{D3F9E99A-1205-4477-9A40-94BC291D92B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11" name="Line 188">
          <a:extLst>
            <a:ext uri="{FF2B5EF4-FFF2-40B4-BE49-F238E27FC236}">
              <a16:creationId xmlns:a16="http://schemas.microsoft.com/office/drawing/2014/main" id="{5BC2E390-B149-4DAA-90FF-9C3BBEE6002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2" name="Line 189">
          <a:extLst>
            <a:ext uri="{FF2B5EF4-FFF2-40B4-BE49-F238E27FC236}">
              <a16:creationId xmlns:a16="http://schemas.microsoft.com/office/drawing/2014/main" id="{BDF742C4-8160-47E6-AC64-A8C4F6726C3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13" name="Line 190">
          <a:extLst>
            <a:ext uri="{FF2B5EF4-FFF2-40B4-BE49-F238E27FC236}">
              <a16:creationId xmlns:a16="http://schemas.microsoft.com/office/drawing/2014/main" id="{27F49E8D-57C0-4568-9CFF-2C09693A1B7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4" name="Line 191">
          <a:extLst>
            <a:ext uri="{FF2B5EF4-FFF2-40B4-BE49-F238E27FC236}">
              <a16:creationId xmlns:a16="http://schemas.microsoft.com/office/drawing/2014/main" id="{5C3B1890-4B05-4F3D-9930-1BB77623997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5" name="Line 192">
          <a:extLst>
            <a:ext uri="{FF2B5EF4-FFF2-40B4-BE49-F238E27FC236}">
              <a16:creationId xmlns:a16="http://schemas.microsoft.com/office/drawing/2014/main" id="{7F508F11-261E-4799-897C-566F2921FEC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6" name="Line 193">
          <a:extLst>
            <a:ext uri="{FF2B5EF4-FFF2-40B4-BE49-F238E27FC236}">
              <a16:creationId xmlns:a16="http://schemas.microsoft.com/office/drawing/2014/main" id="{68120185-3482-4461-97D3-1EA86482AC8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17" name="Line 194">
          <a:extLst>
            <a:ext uri="{FF2B5EF4-FFF2-40B4-BE49-F238E27FC236}">
              <a16:creationId xmlns:a16="http://schemas.microsoft.com/office/drawing/2014/main" id="{3DD8F811-663E-4F73-86E5-9DCF86C217F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18" name="Line 195">
          <a:extLst>
            <a:ext uri="{FF2B5EF4-FFF2-40B4-BE49-F238E27FC236}">
              <a16:creationId xmlns:a16="http://schemas.microsoft.com/office/drawing/2014/main" id="{F251364C-3E72-468D-9EEE-8BDABCABA76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19" name="Line 196">
          <a:extLst>
            <a:ext uri="{FF2B5EF4-FFF2-40B4-BE49-F238E27FC236}">
              <a16:creationId xmlns:a16="http://schemas.microsoft.com/office/drawing/2014/main" id="{F459255F-2C09-4FA2-B0FD-F0975165423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0" name="Line 197">
          <a:extLst>
            <a:ext uri="{FF2B5EF4-FFF2-40B4-BE49-F238E27FC236}">
              <a16:creationId xmlns:a16="http://schemas.microsoft.com/office/drawing/2014/main" id="{F5D1D8FC-BC58-4FF8-8BCE-4FF44EEDBC8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21" name="Line 198">
          <a:extLst>
            <a:ext uri="{FF2B5EF4-FFF2-40B4-BE49-F238E27FC236}">
              <a16:creationId xmlns:a16="http://schemas.microsoft.com/office/drawing/2014/main" id="{83ED2B32-850B-4E4E-8D2F-10744DF4AFB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122" name="Line 199">
          <a:extLst>
            <a:ext uri="{FF2B5EF4-FFF2-40B4-BE49-F238E27FC236}">
              <a16:creationId xmlns:a16="http://schemas.microsoft.com/office/drawing/2014/main" id="{288ABC4F-3928-40C2-B3C5-A1C62AC8FE88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3" name="Line 200">
          <a:extLst>
            <a:ext uri="{FF2B5EF4-FFF2-40B4-BE49-F238E27FC236}">
              <a16:creationId xmlns:a16="http://schemas.microsoft.com/office/drawing/2014/main" id="{01D82DB7-71FD-4ADB-863A-80F8645300E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4" name="Line 201">
          <a:extLst>
            <a:ext uri="{FF2B5EF4-FFF2-40B4-BE49-F238E27FC236}">
              <a16:creationId xmlns:a16="http://schemas.microsoft.com/office/drawing/2014/main" id="{3B41B3D2-813C-4DC2-92B3-6CEF746ED37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5" name="Line 202">
          <a:extLst>
            <a:ext uri="{FF2B5EF4-FFF2-40B4-BE49-F238E27FC236}">
              <a16:creationId xmlns:a16="http://schemas.microsoft.com/office/drawing/2014/main" id="{F0393DC6-3583-446D-A375-FD026506811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6" name="Line 203">
          <a:extLst>
            <a:ext uri="{FF2B5EF4-FFF2-40B4-BE49-F238E27FC236}">
              <a16:creationId xmlns:a16="http://schemas.microsoft.com/office/drawing/2014/main" id="{F2792E91-0A0D-42AF-9358-BB4289A3A6A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27" name="Line 204">
          <a:extLst>
            <a:ext uri="{FF2B5EF4-FFF2-40B4-BE49-F238E27FC236}">
              <a16:creationId xmlns:a16="http://schemas.microsoft.com/office/drawing/2014/main" id="{0C6749B9-8141-4576-8AC3-03A8F140710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28" name="Line 205">
          <a:extLst>
            <a:ext uri="{FF2B5EF4-FFF2-40B4-BE49-F238E27FC236}">
              <a16:creationId xmlns:a16="http://schemas.microsoft.com/office/drawing/2014/main" id="{458B5CD1-B9D1-4B24-89F0-FD66C84074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29" name="Line 206">
          <a:extLst>
            <a:ext uri="{FF2B5EF4-FFF2-40B4-BE49-F238E27FC236}">
              <a16:creationId xmlns:a16="http://schemas.microsoft.com/office/drawing/2014/main" id="{EF50209B-D8D3-4D35-AFEC-5CC2D92FB2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0" name="Line 207">
          <a:extLst>
            <a:ext uri="{FF2B5EF4-FFF2-40B4-BE49-F238E27FC236}">
              <a16:creationId xmlns:a16="http://schemas.microsoft.com/office/drawing/2014/main" id="{E886ABED-5C09-4270-AF67-32F21E04E62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1" name="Line 208">
          <a:extLst>
            <a:ext uri="{FF2B5EF4-FFF2-40B4-BE49-F238E27FC236}">
              <a16:creationId xmlns:a16="http://schemas.microsoft.com/office/drawing/2014/main" id="{ADAE57F1-AD37-408E-BFEA-5074295C74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32" name="Line 209">
          <a:extLst>
            <a:ext uri="{FF2B5EF4-FFF2-40B4-BE49-F238E27FC236}">
              <a16:creationId xmlns:a16="http://schemas.microsoft.com/office/drawing/2014/main" id="{79A9105A-4A1C-41ED-BC24-2AB519B2EE2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3" name="Line 210">
          <a:extLst>
            <a:ext uri="{FF2B5EF4-FFF2-40B4-BE49-F238E27FC236}">
              <a16:creationId xmlns:a16="http://schemas.microsoft.com/office/drawing/2014/main" id="{1A19115F-1586-4A3C-8BE3-E39B0AA21AC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34" name="Line 211">
          <a:extLst>
            <a:ext uri="{FF2B5EF4-FFF2-40B4-BE49-F238E27FC236}">
              <a16:creationId xmlns:a16="http://schemas.microsoft.com/office/drawing/2014/main" id="{4F6019E4-9B1A-4120-89D9-77BA5EC56D1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5" name="Line 212">
          <a:extLst>
            <a:ext uri="{FF2B5EF4-FFF2-40B4-BE49-F238E27FC236}">
              <a16:creationId xmlns:a16="http://schemas.microsoft.com/office/drawing/2014/main" id="{60A4EDEB-B233-4D9E-A993-E0173EF9C5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6" name="Line 213">
          <a:extLst>
            <a:ext uri="{FF2B5EF4-FFF2-40B4-BE49-F238E27FC236}">
              <a16:creationId xmlns:a16="http://schemas.microsoft.com/office/drawing/2014/main" id="{F80559A8-CCC9-4D27-A4C2-BF7ED6950A0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7" name="Line 214">
          <a:extLst>
            <a:ext uri="{FF2B5EF4-FFF2-40B4-BE49-F238E27FC236}">
              <a16:creationId xmlns:a16="http://schemas.microsoft.com/office/drawing/2014/main" id="{B9F129FD-BB33-46D2-B4CA-CE213A0CD91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38" name="Line 215">
          <a:extLst>
            <a:ext uri="{FF2B5EF4-FFF2-40B4-BE49-F238E27FC236}">
              <a16:creationId xmlns:a16="http://schemas.microsoft.com/office/drawing/2014/main" id="{FF335F00-D376-4083-92DA-910BE270A01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39" name="Line 216">
          <a:extLst>
            <a:ext uri="{FF2B5EF4-FFF2-40B4-BE49-F238E27FC236}">
              <a16:creationId xmlns:a16="http://schemas.microsoft.com/office/drawing/2014/main" id="{D2378600-F973-420C-A0F7-C9F5F553D5A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140" name="Line 217">
          <a:extLst>
            <a:ext uri="{FF2B5EF4-FFF2-40B4-BE49-F238E27FC236}">
              <a16:creationId xmlns:a16="http://schemas.microsoft.com/office/drawing/2014/main" id="{2E3D5395-16C0-4AE2-9D5B-984ECD484A37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1" name="Line 218">
          <a:extLst>
            <a:ext uri="{FF2B5EF4-FFF2-40B4-BE49-F238E27FC236}">
              <a16:creationId xmlns:a16="http://schemas.microsoft.com/office/drawing/2014/main" id="{5AF81684-A814-45E6-86E9-D58DFA5A547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2" name="Line 219">
          <a:extLst>
            <a:ext uri="{FF2B5EF4-FFF2-40B4-BE49-F238E27FC236}">
              <a16:creationId xmlns:a16="http://schemas.microsoft.com/office/drawing/2014/main" id="{5951B63B-44E3-42FE-B593-5912BB91BFF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3" name="Line 220">
          <a:extLst>
            <a:ext uri="{FF2B5EF4-FFF2-40B4-BE49-F238E27FC236}">
              <a16:creationId xmlns:a16="http://schemas.microsoft.com/office/drawing/2014/main" id="{B951A1A3-2BF2-4212-ACBE-2B717140D44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4" name="Line 221">
          <a:extLst>
            <a:ext uri="{FF2B5EF4-FFF2-40B4-BE49-F238E27FC236}">
              <a16:creationId xmlns:a16="http://schemas.microsoft.com/office/drawing/2014/main" id="{C2D54B83-D731-4165-894B-51985CE2A7C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45" name="Line 222">
          <a:extLst>
            <a:ext uri="{FF2B5EF4-FFF2-40B4-BE49-F238E27FC236}">
              <a16:creationId xmlns:a16="http://schemas.microsoft.com/office/drawing/2014/main" id="{543CDD76-654B-40D3-A3D3-3E59D468BC3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46" name="Line 223">
          <a:extLst>
            <a:ext uri="{FF2B5EF4-FFF2-40B4-BE49-F238E27FC236}">
              <a16:creationId xmlns:a16="http://schemas.microsoft.com/office/drawing/2014/main" id="{6D4F3B49-C0E3-46C9-AAFA-FA3A832450A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47" name="Line 224">
          <a:extLst>
            <a:ext uri="{FF2B5EF4-FFF2-40B4-BE49-F238E27FC236}">
              <a16:creationId xmlns:a16="http://schemas.microsoft.com/office/drawing/2014/main" id="{6604F986-FAC9-4429-B770-B9C751F989E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48" name="Line 225">
          <a:extLst>
            <a:ext uri="{FF2B5EF4-FFF2-40B4-BE49-F238E27FC236}">
              <a16:creationId xmlns:a16="http://schemas.microsoft.com/office/drawing/2014/main" id="{09F84DB6-A39B-4CBF-8A10-45D7AC19F7E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49" name="Line 226">
          <a:extLst>
            <a:ext uri="{FF2B5EF4-FFF2-40B4-BE49-F238E27FC236}">
              <a16:creationId xmlns:a16="http://schemas.microsoft.com/office/drawing/2014/main" id="{DEE46156-A325-48DA-8EC0-5CA48157AE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50" name="Line 227">
          <a:extLst>
            <a:ext uri="{FF2B5EF4-FFF2-40B4-BE49-F238E27FC236}">
              <a16:creationId xmlns:a16="http://schemas.microsoft.com/office/drawing/2014/main" id="{1F1A77A8-FEB1-4861-8C61-3ACD71DDD1AF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1" name="Line 228">
          <a:extLst>
            <a:ext uri="{FF2B5EF4-FFF2-40B4-BE49-F238E27FC236}">
              <a16:creationId xmlns:a16="http://schemas.microsoft.com/office/drawing/2014/main" id="{5CF504EF-9ECF-4BE8-BF45-0FE024C24AB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52" name="Line 229">
          <a:extLst>
            <a:ext uri="{FF2B5EF4-FFF2-40B4-BE49-F238E27FC236}">
              <a16:creationId xmlns:a16="http://schemas.microsoft.com/office/drawing/2014/main" id="{A8CB96C3-8528-4282-83DA-B02BC0FBA9C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3" name="Line 230">
          <a:extLst>
            <a:ext uri="{FF2B5EF4-FFF2-40B4-BE49-F238E27FC236}">
              <a16:creationId xmlns:a16="http://schemas.microsoft.com/office/drawing/2014/main" id="{298C974D-E8A3-436C-BF84-18A3A28E6CE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4" name="Line 231">
          <a:extLst>
            <a:ext uri="{FF2B5EF4-FFF2-40B4-BE49-F238E27FC236}">
              <a16:creationId xmlns:a16="http://schemas.microsoft.com/office/drawing/2014/main" id="{27E90940-A1C0-42DD-992D-71FF3EA0F05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5" name="Line 232">
          <a:extLst>
            <a:ext uri="{FF2B5EF4-FFF2-40B4-BE49-F238E27FC236}">
              <a16:creationId xmlns:a16="http://schemas.microsoft.com/office/drawing/2014/main" id="{D4B769A4-4220-43E0-94B8-A69F3C99EE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6" name="Line 233">
          <a:extLst>
            <a:ext uri="{FF2B5EF4-FFF2-40B4-BE49-F238E27FC236}">
              <a16:creationId xmlns:a16="http://schemas.microsoft.com/office/drawing/2014/main" id="{941EE134-6638-481C-85F3-FC5C30F49DE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57" name="Line 234">
          <a:extLst>
            <a:ext uri="{FF2B5EF4-FFF2-40B4-BE49-F238E27FC236}">
              <a16:creationId xmlns:a16="http://schemas.microsoft.com/office/drawing/2014/main" id="{342F1DFB-57E5-4CF8-A2EC-FAE4708D2F9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8" name="Line 235">
          <a:extLst>
            <a:ext uri="{FF2B5EF4-FFF2-40B4-BE49-F238E27FC236}">
              <a16:creationId xmlns:a16="http://schemas.microsoft.com/office/drawing/2014/main" id="{D193E4F6-3A39-46E1-800D-B446264347C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59" name="Line 236">
          <a:extLst>
            <a:ext uri="{FF2B5EF4-FFF2-40B4-BE49-F238E27FC236}">
              <a16:creationId xmlns:a16="http://schemas.microsoft.com/office/drawing/2014/main" id="{BBD6DBE6-8BB2-4DB8-9703-9F8F6A9F78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0" name="Line 237">
          <a:extLst>
            <a:ext uri="{FF2B5EF4-FFF2-40B4-BE49-F238E27FC236}">
              <a16:creationId xmlns:a16="http://schemas.microsoft.com/office/drawing/2014/main" id="{C75DBF99-89FD-4B5F-B409-7EE26E7D547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61" name="Line 238">
          <a:extLst>
            <a:ext uri="{FF2B5EF4-FFF2-40B4-BE49-F238E27FC236}">
              <a16:creationId xmlns:a16="http://schemas.microsoft.com/office/drawing/2014/main" id="{0E6BD6A4-FC21-4F11-B234-8225BAE9527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2" name="Line 239">
          <a:extLst>
            <a:ext uri="{FF2B5EF4-FFF2-40B4-BE49-F238E27FC236}">
              <a16:creationId xmlns:a16="http://schemas.microsoft.com/office/drawing/2014/main" id="{2182D810-0C58-48F5-A5A4-8A8650AF2D5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63" name="Line 240">
          <a:extLst>
            <a:ext uri="{FF2B5EF4-FFF2-40B4-BE49-F238E27FC236}">
              <a16:creationId xmlns:a16="http://schemas.microsoft.com/office/drawing/2014/main" id="{270A1936-C773-4384-8481-7527FC69EF0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4" name="Line 241">
          <a:extLst>
            <a:ext uri="{FF2B5EF4-FFF2-40B4-BE49-F238E27FC236}">
              <a16:creationId xmlns:a16="http://schemas.microsoft.com/office/drawing/2014/main" id="{36B63D63-C5EB-4C30-ACB6-783F55471F9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5" name="Line 242">
          <a:extLst>
            <a:ext uri="{FF2B5EF4-FFF2-40B4-BE49-F238E27FC236}">
              <a16:creationId xmlns:a16="http://schemas.microsoft.com/office/drawing/2014/main" id="{8CD5F23C-D384-4A79-88D4-DEDA68CBB05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6" name="Line 243">
          <a:extLst>
            <a:ext uri="{FF2B5EF4-FFF2-40B4-BE49-F238E27FC236}">
              <a16:creationId xmlns:a16="http://schemas.microsoft.com/office/drawing/2014/main" id="{A9191B28-1810-47D9-BCED-D6ED46946CF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67" name="Line 244">
          <a:extLst>
            <a:ext uri="{FF2B5EF4-FFF2-40B4-BE49-F238E27FC236}">
              <a16:creationId xmlns:a16="http://schemas.microsoft.com/office/drawing/2014/main" id="{7795DBF1-791D-4606-87B3-CA76777E6E3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68" name="Line 245">
          <a:extLst>
            <a:ext uri="{FF2B5EF4-FFF2-40B4-BE49-F238E27FC236}">
              <a16:creationId xmlns:a16="http://schemas.microsoft.com/office/drawing/2014/main" id="{738C0516-1C4A-492C-A420-D46ADC28BF7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69" name="Line 246">
          <a:extLst>
            <a:ext uri="{FF2B5EF4-FFF2-40B4-BE49-F238E27FC236}">
              <a16:creationId xmlns:a16="http://schemas.microsoft.com/office/drawing/2014/main" id="{8645E971-EE35-4BFF-B04F-22025A222AE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0" name="Line 247">
          <a:extLst>
            <a:ext uri="{FF2B5EF4-FFF2-40B4-BE49-F238E27FC236}">
              <a16:creationId xmlns:a16="http://schemas.microsoft.com/office/drawing/2014/main" id="{D5445183-C500-4B09-94BC-F4FB2D11CC7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71" name="Line 248">
          <a:extLst>
            <a:ext uri="{FF2B5EF4-FFF2-40B4-BE49-F238E27FC236}">
              <a16:creationId xmlns:a16="http://schemas.microsoft.com/office/drawing/2014/main" id="{B64A402E-A286-42C8-89C7-757D400727C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172" name="Line 249">
          <a:extLst>
            <a:ext uri="{FF2B5EF4-FFF2-40B4-BE49-F238E27FC236}">
              <a16:creationId xmlns:a16="http://schemas.microsoft.com/office/drawing/2014/main" id="{B423EA2F-C8FD-4E4C-AD82-3E640ABC29E5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3" name="Line 250">
          <a:extLst>
            <a:ext uri="{FF2B5EF4-FFF2-40B4-BE49-F238E27FC236}">
              <a16:creationId xmlns:a16="http://schemas.microsoft.com/office/drawing/2014/main" id="{C1D2D97A-E2AA-4785-A89F-0B6B9A459CF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4" name="Line 251">
          <a:extLst>
            <a:ext uri="{FF2B5EF4-FFF2-40B4-BE49-F238E27FC236}">
              <a16:creationId xmlns:a16="http://schemas.microsoft.com/office/drawing/2014/main" id="{DBEA934B-FA7C-46E3-B0A1-46B17FC92AF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5" name="Line 252">
          <a:extLst>
            <a:ext uri="{FF2B5EF4-FFF2-40B4-BE49-F238E27FC236}">
              <a16:creationId xmlns:a16="http://schemas.microsoft.com/office/drawing/2014/main" id="{52ACC658-415B-4938-898C-9C2D72162C0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6" name="Line 253">
          <a:extLst>
            <a:ext uri="{FF2B5EF4-FFF2-40B4-BE49-F238E27FC236}">
              <a16:creationId xmlns:a16="http://schemas.microsoft.com/office/drawing/2014/main" id="{459F5E2F-E37D-4FFD-9D3B-EF89A0F97D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77" name="Line 254">
          <a:extLst>
            <a:ext uri="{FF2B5EF4-FFF2-40B4-BE49-F238E27FC236}">
              <a16:creationId xmlns:a16="http://schemas.microsoft.com/office/drawing/2014/main" id="{C80EB66A-960D-4AA4-8366-02786B30897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78" name="Line 255">
          <a:extLst>
            <a:ext uri="{FF2B5EF4-FFF2-40B4-BE49-F238E27FC236}">
              <a16:creationId xmlns:a16="http://schemas.microsoft.com/office/drawing/2014/main" id="{FF9AF44D-DF99-44AE-B124-9BBE9092BD9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79" name="Line 256">
          <a:extLst>
            <a:ext uri="{FF2B5EF4-FFF2-40B4-BE49-F238E27FC236}">
              <a16:creationId xmlns:a16="http://schemas.microsoft.com/office/drawing/2014/main" id="{23E6DA41-6AD1-480E-B7DD-3386A293106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0" name="Line 257">
          <a:extLst>
            <a:ext uri="{FF2B5EF4-FFF2-40B4-BE49-F238E27FC236}">
              <a16:creationId xmlns:a16="http://schemas.microsoft.com/office/drawing/2014/main" id="{FF20F66B-220E-4E2E-B167-C11804A6F6C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1" name="Line 258">
          <a:extLst>
            <a:ext uri="{FF2B5EF4-FFF2-40B4-BE49-F238E27FC236}">
              <a16:creationId xmlns:a16="http://schemas.microsoft.com/office/drawing/2014/main" id="{4A689674-86C9-4D31-840D-B44E87F162E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182" name="Line 259">
          <a:extLst>
            <a:ext uri="{FF2B5EF4-FFF2-40B4-BE49-F238E27FC236}">
              <a16:creationId xmlns:a16="http://schemas.microsoft.com/office/drawing/2014/main" id="{8E6978A5-30AA-4599-9909-DFAFAD15D881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3" name="Line 260">
          <a:extLst>
            <a:ext uri="{FF2B5EF4-FFF2-40B4-BE49-F238E27FC236}">
              <a16:creationId xmlns:a16="http://schemas.microsoft.com/office/drawing/2014/main" id="{2CC3A2D4-D693-4EAA-8BF2-0F14CDDFCD7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84" name="Line 261">
          <a:extLst>
            <a:ext uri="{FF2B5EF4-FFF2-40B4-BE49-F238E27FC236}">
              <a16:creationId xmlns:a16="http://schemas.microsoft.com/office/drawing/2014/main" id="{8E46B710-9DC2-4908-A49C-30494ADAAE6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5" name="Line 262">
          <a:extLst>
            <a:ext uri="{FF2B5EF4-FFF2-40B4-BE49-F238E27FC236}">
              <a16:creationId xmlns:a16="http://schemas.microsoft.com/office/drawing/2014/main" id="{9107297C-3E73-4970-9057-F2DCE9CFF51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6" name="Line 263">
          <a:extLst>
            <a:ext uri="{FF2B5EF4-FFF2-40B4-BE49-F238E27FC236}">
              <a16:creationId xmlns:a16="http://schemas.microsoft.com/office/drawing/2014/main" id="{E1962601-BCCC-484F-9119-06E02FBEC5D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7" name="Line 264">
          <a:extLst>
            <a:ext uri="{FF2B5EF4-FFF2-40B4-BE49-F238E27FC236}">
              <a16:creationId xmlns:a16="http://schemas.microsoft.com/office/drawing/2014/main" id="{1D97AFBF-ACE0-4F20-ABF2-E1DE27D4BBC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88" name="Line 265">
          <a:extLst>
            <a:ext uri="{FF2B5EF4-FFF2-40B4-BE49-F238E27FC236}">
              <a16:creationId xmlns:a16="http://schemas.microsoft.com/office/drawing/2014/main" id="{A16246C9-7936-4E95-B3C4-CF8FB1F287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89" name="Line 266">
          <a:extLst>
            <a:ext uri="{FF2B5EF4-FFF2-40B4-BE49-F238E27FC236}">
              <a16:creationId xmlns:a16="http://schemas.microsoft.com/office/drawing/2014/main" id="{3E0C922F-BBAB-444D-BC73-FFDB282C3B1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190" name="Line 267">
          <a:extLst>
            <a:ext uri="{FF2B5EF4-FFF2-40B4-BE49-F238E27FC236}">
              <a16:creationId xmlns:a16="http://schemas.microsoft.com/office/drawing/2014/main" id="{E0199331-DDCB-4B4D-B7B1-7581CF89A0A8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91" name="Line 268">
          <a:extLst>
            <a:ext uri="{FF2B5EF4-FFF2-40B4-BE49-F238E27FC236}">
              <a16:creationId xmlns:a16="http://schemas.microsoft.com/office/drawing/2014/main" id="{00FE02C8-7DCF-4C2F-B268-65FA7240663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92" name="Line 269">
          <a:extLst>
            <a:ext uri="{FF2B5EF4-FFF2-40B4-BE49-F238E27FC236}">
              <a16:creationId xmlns:a16="http://schemas.microsoft.com/office/drawing/2014/main" id="{16D5A5DB-C4DB-4E09-9B72-973B1B5BC05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93" name="Line 270">
          <a:extLst>
            <a:ext uri="{FF2B5EF4-FFF2-40B4-BE49-F238E27FC236}">
              <a16:creationId xmlns:a16="http://schemas.microsoft.com/office/drawing/2014/main" id="{9396BB40-0B49-4BD3-AF65-F7CCBE563A9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94" name="Line 271">
          <a:extLst>
            <a:ext uri="{FF2B5EF4-FFF2-40B4-BE49-F238E27FC236}">
              <a16:creationId xmlns:a16="http://schemas.microsoft.com/office/drawing/2014/main" id="{0AA36D7C-8CC0-4407-A366-83709C8AAF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195" name="Line 272">
          <a:extLst>
            <a:ext uri="{FF2B5EF4-FFF2-40B4-BE49-F238E27FC236}">
              <a16:creationId xmlns:a16="http://schemas.microsoft.com/office/drawing/2014/main" id="{ACA1A208-4DD7-4F3E-9ABA-1BE206FFD4E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96" name="Line 273">
          <a:extLst>
            <a:ext uri="{FF2B5EF4-FFF2-40B4-BE49-F238E27FC236}">
              <a16:creationId xmlns:a16="http://schemas.microsoft.com/office/drawing/2014/main" id="{27BA5AA2-635A-44D9-8F06-E93F863C0A9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97" name="Line 274">
          <a:extLst>
            <a:ext uri="{FF2B5EF4-FFF2-40B4-BE49-F238E27FC236}">
              <a16:creationId xmlns:a16="http://schemas.microsoft.com/office/drawing/2014/main" id="{D5EEDC0D-6D07-49C3-9766-54C83A70BFA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98" name="Line 275">
          <a:extLst>
            <a:ext uri="{FF2B5EF4-FFF2-40B4-BE49-F238E27FC236}">
              <a16:creationId xmlns:a16="http://schemas.microsoft.com/office/drawing/2014/main" id="{3D50DF07-7A41-4033-AE8E-D8B501DD003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199" name="Line 276">
          <a:extLst>
            <a:ext uri="{FF2B5EF4-FFF2-40B4-BE49-F238E27FC236}">
              <a16:creationId xmlns:a16="http://schemas.microsoft.com/office/drawing/2014/main" id="{EB95179C-659C-4966-8FD1-FCE9F6E8E91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00" name="Line 277">
          <a:extLst>
            <a:ext uri="{FF2B5EF4-FFF2-40B4-BE49-F238E27FC236}">
              <a16:creationId xmlns:a16="http://schemas.microsoft.com/office/drawing/2014/main" id="{31A302AC-3F84-4BE6-9E79-651721F6C4B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1" name="Line 278">
          <a:extLst>
            <a:ext uri="{FF2B5EF4-FFF2-40B4-BE49-F238E27FC236}">
              <a16:creationId xmlns:a16="http://schemas.microsoft.com/office/drawing/2014/main" id="{35480B09-128D-46C0-A23F-217E888A159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02" name="Line 279">
          <a:extLst>
            <a:ext uri="{FF2B5EF4-FFF2-40B4-BE49-F238E27FC236}">
              <a16:creationId xmlns:a16="http://schemas.microsoft.com/office/drawing/2014/main" id="{7096D614-19B5-4830-964C-727558A42DD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3" name="Line 280">
          <a:extLst>
            <a:ext uri="{FF2B5EF4-FFF2-40B4-BE49-F238E27FC236}">
              <a16:creationId xmlns:a16="http://schemas.microsoft.com/office/drawing/2014/main" id="{294754DC-18ED-4B3F-ADEC-D95DD9AFF2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4" name="Line 281">
          <a:extLst>
            <a:ext uri="{FF2B5EF4-FFF2-40B4-BE49-F238E27FC236}">
              <a16:creationId xmlns:a16="http://schemas.microsoft.com/office/drawing/2014/main" id="{A0F97EB0-4333-412B-8594-82934BFC588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5" name="Line 282">
          <a:extLst>
            <a:ext uri="{FF2B5EF4-FFF2-40B4-BE49-F238E27FC236}">
              <a16:creationId xmlns:a16="http://schemas.microsoft.com/office/drawing/2014/main" id="{A2B3C0A7-A1E7-4FBB-9520-68B931B88C0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6" name="Line 283">
          <a:extLst>
            <a:ext uri="{FF2B5EF4-FFF2-40B4-BE49-F238E27FC236}">
              <a16:creationId xmlns:a16="http://schemas.microsoft.com/office/drawing/2014/main" id="{F7FEE207-17A8-4628-BD98-2A4DD9BF6A5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07" name="Line 284">
          <a:extLst>
            <a:ext uri="{FF2B5EF4-FFF2-40B4-BE49-F238E27FC236}">
              <a16:creationId xmlns:a16="http://schemas.microsoft.com/office/drawing/2014/main" id="{20D619D6-4A0B-4D11-9FF8-4597D92A31A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8" name="Line 285">
          <a:extLst>
            <a:ext uri="{FF2B5EF4-FFF2-40B4-BE49-F238E27FC236}">
              <a16:creationId xmlns:a16="http://schemas.microsoft.com/office/drawing/2014/main" id="{7C57808F-26FF-4BE7-8D8A-380FED684B5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09" name="Line 286">
          <a:extLst>
            <a:ext uri="{FF2B5EF4-FFF2-40B4-BE49-F238E27FC236}">
              <a16:creationId xmlns:a16="http://schemas.microsoft.com/office/drawing/2014/main" id="{B4BB1DD0-60D5-4E4B-B5BC-12FE46D9E3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0" name="Line 287">
          <a:extLst>
            <a:ext uri="{FF2B5EF4-FFF2-40B4-BE49-F238E27FC236}">
              <a16:creationId xmlns:a16="http://schemas.microsoft.com/office/drawing/2014/main" id="{54EE9BE3-6635-4D37-9567-9A86634D569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11" name="Line 288">
          <a:extLst>
            <a:ext uri="{FF2B5EF4-FFF2-40B4-BE49-F238E27FC236}">
              <a16:creationId xmlns:a16="http://schemas.microsoft.com/office/drawing/2014/main" id="{F7C870BC-97F2-446F-8C1A-0A6EFB0712CC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2" name="Line 289">
          <a:extLst>
            <a:ext uri="{FF2B5EF4-FFF2-40B4-BE49-F238E27FC236}">
              <a16:creationId xmlns:a16="http://schemas.microsoft.com/office/drawing/2014/main" id="{F054E3FB-9F5F-4EAD-BAE7-358B00699A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13" name="Line 290">
          <a:extLst>
            <a:ext uri="{FF2B5EF4-FFF2-40B4-BE49-F238E27FC236}">
              <a16:creationId xmlns:a16="http://schemas.microsoft.com/office/drawing/2014/main" id="{2CAD41C7-BDAB-48DB-A5C8-D8B0B18E39F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4" name="Line 291">
          <a:extLst>
            <a:ext uri="{FF2B5EF4-FFF2-40B4-BE49-F238E27FC236}">
              <a16:creationId xmlns:a16="http://schemas.microsoft.com/office/drawing/2014/main" id="{8A2B971F-F599-4DD4-9E46-8DA1B1B6798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5" name="Line 292">
          <a:extLst>
            <a:ext uri="{FF2B5EF4-FFF2-40B4-BE49-F238E27FC236}">
              <a16:creationId xmlns:a16="http://schemas.microsoft.com/office/drawing/2014/main" id="{67768A3A-8721-4914-B13D-2E9F1BE2202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6" name="Line 293">
          <a:extLst>
            <a:ext uri="{FF2B5EF4-FFF2-40B4-BE49-F238E27FC236}">
              <a16:creationId xmlns:a16="http://schemas.microsoft.com/office/drawing/2014/main" id="{DED748A2-0A80-4A01-8F3D-417D3805CC3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17" name="Line 294">
          <a:extLst>
            <a:ext uri="{FF2B5EF4-FFF2-40B4-BE49-F238E27FC236}">
              <a16:creationId xmlns:a16="http://schemas.microsoft.com/office/drawing/2014/main" id="{04A70550-C537-45EB-B55E-BC34140B1B2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18" name="Line 295">
          <a:extLst>
            <a:ext uri="{FF2B5EF4-FFF2-40B4-BE49-F238E27FC236}">
              <a16:creationId xmlns:a16="http://schemas.microsoft.com/office/drawing/2014/main" id="{C5D97219-85A2-4485-AF5A-9202ED9219F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19" name="Line 296">
          <a:extLst>
            <a:ext uri="{FF2B5EF4-FFF2-40B4-BE49-F238E27FC236}">
              <a16:creationId xmlns:a16="http://schemas.microsoft.com/office/drawing/2014/main" id="{2BDE9EF9-091A-467E-8970-64147E5D7F4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0" name="Line 297">
          <a:extLst>
            <a:ext uri="{FF2B5EF4-FFF2-40B4-BE49-F238E27FC236}">
              <a16:creationId xmlns:a16="http://schemas.microsoft.com/office/drawing/2014/main" id="{1BE0B5CF-494C-44E1-86D2-8D45FA67FDF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21" name="Line 298">
          <a:extLst>
            <a:ext uri="{FF2B5EF4-FFF2-40B4-BE49-F238E27FC236}">
              <a16:creationId xmlns:a16="http://schemas.microsoft.com/office/drawing/2014/main" id="{FA37BC24-D980-4B6E-A57A-23749988518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22" name="Line 299">
          <a:extLst>
            <a:ext uri="{FF2B5EF4-FFF2-40B4-BE49-F238E27FC236}">
              <a16:creationId xmlns:a16="http://schemas.microsoft.com/office/drawing/2014/main" id="{39E61928-2380-472A-8365-BC2897ADAB6D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3" name="Line 300">
          <a:extLst>
            <a:ext uri="{FF2B5EF4-FFF2-40B4-BE49-F238E27FC236}">
              <a16:creationId xmlns:a16="http://schemas.microsoft.com/office/drawing/2014/main" id="{DEFC31FE-D558-4533-A2B5-F625C0667FB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4" name="Line 301">
          <a:extLst>
            <a:ext uri="{FF2B5EF4-FFF2-40B4-BE49-F238E27FC236}">
              <a16:creationId xmlns:a16="http://schemas.microsoft.com/office/drawing/2014/main" id="{781B6CC4-F13D-4F7C-944B-17693554EE6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5" name="Line 302">
          <a:extLst>
            <a:ext uri="{FF2B5EF4-FFF2-40B4-BE49-F238E27FC236}">
              <a16:creationId xmlns:a16="http://schemas.microsoft.com/office/drawing/2014/main" id="{5DC53D6A-D112-4C08-8701-CC63520A5D0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6" name="Line 303">
          <a:extLst>
            <a:ext uri="{FF2B5EF4-FFF2-40B4-BE49-F238E27FC236}">
              <a16:creationId xmlns:a16="http://schemas.microsoft.com/office/drawing/2014/main" id="{AD3AFDE5-8D83-42DD-89E2-CA7A1D2900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27" name="Line 304">
          <a:extLst>
            <a:ext uri="{FF2B5EF4-FFF2-40B4-BE49-F238E27FC236}">
              <a16:creationId xmlns:a16="http://schemas.microsoft.com/office/drawing/2014/main" id="{067F02C3-1BFF-4487-B578-B4E91DF90A9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28" name="Line 305">
          <a:extLst>
            <a:ext uri="{FF2B5EF4-FFF2-40B4-BE49-F238E27FC236}">
              <a16:creationId xmlns:a16="http://schemas.microsoft.com/office/drawing/2014/main" id="{95781046-F9DB-4051-A03F-21B20DAF2DA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29" name="Line 306">
          <a:extLst>
            <a:ext uri="{FF2B5EF4-FFF2-40B4-BE49-F238E27FC236}">
              <a16:creationId xmlns:a16="http://schemas.microsoft.com/office/drawing/2014/main" id="{9AB1ECAA-1EDA-4967-A204-5DDF7FDF1A4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0" name="Line 307">
          <a:extLst>
            <a:ext uri="{FF2B5EF4-FFF2-40B4-BE49-F238E27FC236}">
              <a16:creationId xmlns:a16="http://schemas.microsoft.com/office/drawing/2014/main" id="{C5277111-1DBE-4B1F-8FAF-629E89E2DCC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1" name="Line 308">
          <a:extLst>
            <a:ext uri="{FF2B5EF4-FFF2-40B4-BE49-F238E27FC236}">
              <a16:creationId xmlns:a16="http://schemas.microsoft.com/office/drawing/2014/main" id="{F4246482-9B3B-4FED-9C8F-F8F4C342BE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32" name="Line 309">
          <a:extLst>
            <a:ext uri="{FF2B5EF4-FFF2-40B4-BE49-F238E27FC236}">
              <a16:creationId xmlns:a16="http://schemas.microsoft.com/office/drawing/2014/main" id="{D9F0C6D7-151B-49A1-A3D2-01B9C8F543D1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3" name="Line 310">
          <a:extLst>
            <a:ext uri="{FF2B5EF4-FFF2-40B4-BE49-F238E27FC236}">
              <a16:creationId xmlns:a16="http://schemas.microsoft.com/office/drawing/2014/main" id="{EA19C1C1-D4D7-42C5-82D8-399DC741B34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34" name="Line 311">
          <a:extLst>
            <a:ext uri="{FF2B5EF4-FFF2-40B4-BE49-F238E27FC236}">
              <a16:creationId xmlns:a16="http://schemas.microsoft.com/office/drawing/2014/main" id="{C92D4BE9-801C-47CC-B8C5-0A9E80656E0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5" name="Line 312">
          <a:extLst>
            <a:ext uri="{FF2B5EF4-FFF2-40B4-BE49-F238E27FC236}">
              <a16:creationId xmlns:a16="http://schemas.microsoft.com/office/drawing/2014/main" id="{A81E863F-AE77-4A07-B33F-EC2A17A0DE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6" name="Line 313">
          <a:extLst>
            <a:ext uri="{FF2B5EF4-FFF2-40B4-BE49-F238E27FC236}">
              <a16:creationId xmlns:a16="http://schemas.microsoft.com/office/drawing/2014/main" id="{62741189-61C7-46B5-B5B0-F2FC9F65E2C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7" name="Line 314">
          <a:extLst>
            <a:ext uri="{FF2B5EF4-FFF2-40B4-BE49-F238E27FC236}">
              <a16:creationId xmlns:a16="http://schemas.microsoft.com/office/drawing/2014/main" id="{9ABBE369-9F97-4145-97E6-DB9FABE299E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38" name="Line 315">
          <a:extLst>
            <a:ext uri="{FF2B5EF4-FFF2-40B4-BE49-F238E27FC236}">
              <a16:creationId xmlns:a16="http://schemas.microsoft.com/office/drawing/2014/main" id="{5A5EB10A-8AF1-4A32-82F5-D7C57DAE2EF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39" name="Line 316">
          <a:extLst>
            <a:ext uri="{FF2B5EF4-FFF2-40B4-BE49-F238E27FC236}">
              <a16:creationId xmlns:a16="http://schemas.microsoft.com/office/drawing/2014/main" id="{6396F168-FF61-4F4B-AC2A-2F34CB70402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40" name="Line 317">
          <a:extLst>
            <a:ext uri="{FF2B5EF4-FFF2-40B4-BE49-F238E27FC236}">
              <a16:creationId xmlns:a16="http://schemas.microsoft.com/office/drawing/2014/main" id="{66351AD6-3E5D-4672-95AE-FED106715ADB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41" name="Line 318">
          <a:extLst>
            <a:ext uri="{FF2B5EF4-FFF2-40B4-BE49-F238E27FC236}">
              <a16:creationId xmlns:a16="http://schemas.microsoft.com/office/drawing/2014/main" id="{39A1F3E0-F293-4845-8A81-6FD35E182CC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42" name="Line 319">
          <a:extLst>
            <a:ext uri="{FF2B5EF4-FFF2-40B4-BE49-F238E27FC236}">
              <a16:creationId xmlns:a16="http://schemas.microsoft.com/office/drawing/2014/main" id="{6243BF31-66E4-450A-81DF-1F1ECF78637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43" name="Line 320">
          <a:extLst>
            <a:ext uri="{FF2B5EF4-FFF2-40B4-BE49-F238E27FC236}">
              <a16:creationId xmlns:a16="http://schemas.microsoft.com/office/drawing/2014/main" id="{42A712A1-19D5-4A51-9062-DD84E212B78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44" name="Line 321">
          <a:extLst>
            <a:ext uri="{FF2B5EF4-FFF2-40B4-BE49-F238E27FC236}">
              <a16:creationId xmlns:a16="http://schemas.microsoft.com/office/drawing/2014/main" id="{6C48A428-841F-4640-A922-886F4C6F0FA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45" name="Line 322">
          <a:extLst>
            <a:ext uri="{FF2B5EF4-FFF2-40B4-BE49-F238E27FC236}">
              <a16:creationId xmlns:a16="http://schemas.microsoft.com/office/drawing/2014/main" id="{8AE65A5B-F20E-4625-BCB5-C86D9161907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46" name="Line 323">
          <a:extLst>
            <a:ext uri="{FF2B5EF4-FFF2-40B4-BE49-F238E27FC236}">
              <a16:creationId xmlns:a16="http://schemas.microsoft.com/office/drawing/2014/main" id="{1CD06F39-E367-46AD-BA25-7ACF9906FBD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47" name="Line 324">
          <a:extLst>
            <a:ext uri="{FF2B5EF4-FFF2-40B4-BE49-F238E27FC236}">
              <a16:creationId xmlns:a16="http://schemas.microsoft.com/office/drawing/2014/main" id="{114463D4-D5B2-47BD-8042-B8448971E95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48" name="Line 325">
          <a:extLst>
            <a:ext uri="{FF2B5EF4-FFF2-40B4-BE49-F238E27FC236}">
              <a16:creationId xmlns:a16="http://schemas.microsoft.com/office/drawing/2014/main" id="{763F90E5-728A-4058-A644-19BB7150118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49" name="Line 326">
          <a:extLst>
            <a:ext uri="{FF2B5EF4-FFF2-40B4-BE49-F238E27FC236}">
              <a16:creationId xmlns:a16="http://schemas.microsoft.com/office/drawing/2014/main" id="{A36ED232-C9BC-43C9-A5EA-0102E6283AC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50" name="Line 327">
          <a:extLst>
            <a:ext uri="{FF2B5EF4-FFF2-40B4-BE49-F238E27FC236}">
              <a16:creationId xmlns:a16="http://schemas.microsoft.com/office/drawing/2014/main" id="{3ECB2CD1-8B4A-4FBF-A09B-11FB442D9537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1" name="Line 328">
          <a:extLst>
            <a:ext uri="{FF2B5EF4-FFF2-40B4-BE49-F238E27FC236}">
              <a16:creationId xmlns:a16="http://schemas.microsoft.com/office/drawing/2014/main" id="{29694864-6239-489C-B8F2-CDD99516923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52" name="Line 329">
          <a:extLst>
            <a:ext uri="{FF2B5EF4-FFF2-40B4-BE49-F238E27FC236}">
              <a16:creationId xmlns:a16="http://schemas.microsoft.com/office/drawing/2014/main" id="{6EB95958-2F3F-44D8-AFA5-DF4A606F046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3" name="Line 330">
          <a:extLst>
            <a:ext uri="{FF2B5EF4-FFF2-40B4-BE49-F238E27FC236}">
              <a16:creationId xmlns:a16="http://schemas.microsoft.com/office/drawing/2014/main" id="{0C348287-74CE-42E6-AABA-5F40E1F96F9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4" name="Line 331">
          <a:extLst>
            <a:ext uri="{FF2B5EF4-FFF2-40B4-BE49-F238E27FC236}">
              <a16:creationId xmlns:a16="http://schemas.microsoft.com/office/drawing/2014/main" id="{E1951B5F-C6C2-4B5C-9028-860371AB345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5" name="Line 332">
          <a:extLst>
            <a:ext uri="{FF2B5EF4-FFF2-40B4-BE49-F238E27FC236}">
              <a16:creationId xmlns:a16="http://schemas.microsoft.com/office/drawing/2014/main" id="{27E03D34-AC9A-45AE-B6D0-7688AAE2369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6" name="Line 333">
          <a:extLst>
            <a:ext uri="{FF2B5EF4-FFF2-40B4-BE49-F238E27FC236}">
              <a16:creationId xmlns:a16="http://schemas.microsoft.com/office/drawing/2014/main" id="{B4D9F6BA-DFD9-4888-B91C-1FFED17AAA3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57" name="Line 334">
          <a:extLst>
            <a:ext uri="{FF2B5EF4-FFF2-40B4-BE49-F238E27FC236}">
              <a16:creationId xmlns:a16="http://schemas.microsoft.com/office/drawing/2014/main" id="{A285B814-F6DF-4351-9705-B5034718368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8" name="Line 335">
          <a:extLst>
            <a:ext uri="{FF2B5EF4-FFF2-40B4-BE49-F238E27FC236}">
              <a16:creationId xmlns:a16="http://schemas.microsoft.com/office/drawing/2014/main" id="{25923E2D-11C1-408B-A3D7-675078CC437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59" name="Line 336">
          <a:extLst>
            <a:ext uri="{FF2B5EF4-FFF2-40B4-BE49-F238E27FC236}">
              <a16:creationId xmlns:a16="http://schemas.microsoft.com/office/drawing/2014/main" id="{53D3AC18-3099-4474-93F6-04BE2291606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0" name="Line 337">
          <a:extLst>
            <a:ext uri="{FF2B5EF4-FFF2-40B4-BE49-F238E27FC236}">
              <a16:creationId xmlns:a16="http://schemas.microsoft.com/office/drawing/2014/main" id="{E797A22B-C3AF-4410-97BD-D389BAC88D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61" name="Line 338">
          <a:extLst>
            <a:ext uri="{FF2B5EF4-FFF2-40B4-BE49-F238E27FC236}">
              <a16:creationId xmlns:a16="http://schemas.microsoft.com/office/drawing/2014/main" id="{15D8234E-3F80-4338-A252-8B19E40C80EA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2" name="Line 339">
          <a:extLst>
            <a:ext uri="{FF2B5EF4-FFF2-40B4-BE49-F238E27FC236}">
              <a16:creationId xmlns:a16="http://schemas.microsoft.com/office/drawing/2014/main" id="{F85FE4F2-EF67-4934-B341-615E4F7A569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63" name="Line 340">
          <a:extLst>
            <a:ext uri="{FF2B5EF4-FFF2-40B4-BE49-F238E27FC236}">
              <a16:creationId xmlns:a16="http://schemas.microsoft.com/office/drawing/2014/main" id="{5ABCABAF-2F9F-4E02-B2E3-96FED5B4788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4" name="Line 341">
          <a:extLst>
            <a:ext uri="{FF2B5EF4-FFF2-40B4-BE49-F238E27FC236}">
              <a16:creationId xmlns:a16="http://schemas.microsoft.com/office/drawing/2014/main" id="{ACAD74A5-56EC-4C7E-B5F1-40C562B94AC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5" name="Line 342">
          <a:extLst>
            <a:ext uri="{FF2B5EF4-FFF2-40B4-BE49-F238E27FC236}">
              <a16:creationId xmlns:a16="http://schemas.microsoft.com/office/drawing/2014/main" id="{3905FAFE-B30C-4A2E-87EC-4CC11854AD3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6" name="Line 343">
          <a:extLst>
            <a:ext uri="{FF2B5EF4-FFF2-40B4-BE49-F238E27FC236}">
              <a16:creationId xmlns:a16="http://schemas.microsoft.com/office/drawing/2014/main" id="{35E51BE8-05CC-4BD1-BBCB-0447EF1972E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67" name="Line 344">
          <a:extLst>
            <a:ext uri="{FF2B5EF4-FFF2-40B4-BE49-F238E27FC236}">
              <a16:creationId xmlns:a16="http://schemas.microsoft.com/office/drawing/2014/main" id="{729C4ACF-C275-4FED-B4A8-A9438B2ADBF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68" name="Line 345">
          <a:extLst>
            <a:ext uri="{FF2B5EF4-FFF2-40B4-BE49-F238E27FC236}">
              <a16:creationId xmlns:a16="http://schemas.microsoft.com/office/drawing/2014/main" id="{BD3C8EE0-5E36-42B8-9965-9D6BF27B09A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69" name="Line 346">
          <a:extLst>
            <a:ext uri="{FF2B5EF4-FFF2-40B4-BE49-F238E27FC236}">
              <a16:creationId xmlns:a16="http://schemas.microsoft.com/office/drawing/2014/main" id="{912EDE88-6DEF-4747-B4A0-89549CA207D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0" name="Line 347">
          <a:extLst>
            <a:ext uri="{FF2B5EF4-FFF2-40B4-BE49-F238E27FC236}">
              <a16:creationId xmlns:a16="http://schemas.microsoft.com/office/drawing/2014/main" id="{23BEF05B-78FA-40E2-9BC0-5B52407B24D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71" name="Line 348">
          <a:extLst>
            <a:ext uri="{FF2B5EF4-FFF2-40B4-BE49-F238E27FC236}">
              <a16:creationId xmlns:a16="http://schemas.microsoft.com/office/drawing/2014/main" id="{FF2F5542-5720-43A3-B788-DDA578809FE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72" name="Line 349">
          <a:extLst>
            <a:ext uri="{FF2B5EF4-FFF2-40B4-BE49-F238E27FC236}">
              <a16:creationId xmlns:a16="http://schemas.microsoft.com/office/drawing/2014/main" id="{B2960AC8-64E0-42BD-BEBA-DB6EF590F868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3" name="Line 350">
          <a:extLst>
            <a:ext uri="{FF2B5EF4-FFF2-40B4-BE49-F238E27FC236}">
              <a16:creationId xmlns:a16="http://schemas.microsoft.com/office/drawing/2014/main" id="{0C37B23D-E6C1-4C64-8416-6243E7B0637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4" name="Line 351">
          <a:extLst>
            <a:ext uri="{FF2B5EF4-FFF2-40B4-BE49-F238E27FC236}">
              <a16:creationId xmlns:a16="http://schemas.microsoft.com/office/drawing/2014/main" id="{653FBD1C-27B0-4A0D-AC2E-4921A7EDB21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5" name="Line 352">
          <a:extLst>
            <a:ext uri="{FF2B5EF4-FFF2-40B4-BE49-F238E27FC236}">
              <a16:creationId xmlns:a16="http://schemas.microsoft.com/office/drawing/2014/main" id="{E3804BF7-53CD-4496-A4A0-EFA611B225C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6" name="Line 353">
          <a:extLst>
            <a:ext uri="{FF2B5EF4-FFF2-40B4-BE49-F238E27FC236}">
              <a16:creationId xmlns:a16="http://schemas.microsoft.com/office/drawing/2014/main" id="{CD992349-1A15-47D3-88BE-8C5D843A491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77" name="Line 354">
          <a:extLst>
            <a:ext uri="{FF2B5EF4-FFF2-40B4-BE49-F238E27FC236}">
              <a16:creationId xmlns:a16="http://schemas.microsoft.com/office/drawing/2014/main" id="{03F3F270-C926-4EDA-8BAC-7ABB0520009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78" name="Line 355">
          <a:extLst>
            <a:ext uri="{FF2B5EF4-FFF2-40B4-BE49-F238E27FC236}">
              <a16:creationId xmlns:a16="http://schemas.microsoft.com/office/drawing/2014/main" id="{538C52B7-3FEC-4492-8B69-0970B43492E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79" name="Line 356">
          <a:extLst>
            <a:ext uri="{FF2B5EF4-FFF2-40B4-BE49-F238E27FC236}">
              <a16:creationId xmlns:a16="http://schemas.microsoft.com/office/drawing/2014/main" id="{AB589D31-2C44-4609-8013-F96A04B9125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0" name="Line 357">
          <a:extLst>
            <a:ext uri="{FF2B5EF4-FFF2-40B4-BE49-F238E27FC236}">
              <a16:creationId xmlns:a16="http://schemas.microsoft.com/office/drawing/2014/main" id="{89C60E81-3E0F-45C6-B0CC-544E1A4B972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1" name="Line 358">
          <a:extLst>
            <a:ext uri="{FF2B5EF4-FFF2-40B4-BE49-F238E27FC236}">
              <a16:creationId xmlns:a16="http://schemas.microsoft.com/office/drawing/2014/main" id="{2A056D89-487A-4845-A771-5CE78993DB5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282" name="Line 359">
          <a:extLst>
            <a:ext uri="{FF2B5EF4-FFF2-40B4-BE49-F238E27FC236}">
              <a16:creationId xmlns:a16="http://schemas.microsoft.com/office/drawing/2014/main" id="{092A8F61-00B8-4615-8301-94BD0EFF0C0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3" name="Line 360">
          <a:extLst>
            <a:ext uri="{FF2B5EF4-FFF2-40B4-BE49-F238E27FC236}">
              <a16:creationId xmlns:a16="http://schemas.microsoft.com/office/drawing/2014/main" id="{90E211CB-B66E-45AC-8FEE-04BD9B82BEB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84" name="Line 361">
          <a:extLst>
            <a:ext uri="{FF2B5EF4-FFF2-40B4-BE49-F238E27FC236}">
              <a16:creationId xmlns:a16="http://schemas.microsoft.com/office/drawing/2014/main" id="{E0FECB51-8399-4DD6-B721-94D55DCB303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5" name="Line 362">
          <a:extLst>
            <a:ext uri="{FF2B5EF4-FFF2-40B4-BE49-F238E27FC236}">
              <a16:creationId xmlns:a16="http://schemas.microsoft.com/office/drawing/2014/main" id="{945BE800-F82A-4DA0-8120-2AE8FDFB57E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6" name="Line 363">
          <a:extLst>
            <a:ext uri="{FF2B5EF4-FFF2-40B4-BE49-F238E27FC236}">
              <a16:creationId xmlns:a16="http://schemas.microsoft.com/office/drawing/2014/main" id="{0359E8DB-6C7A-40ED-996F-5F2179CACBB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7" name="Line 364">
          <a:extLst>
            <a:ext uri="{FF2B5EF4-FFF2-40B4-BE49-F238E27FC236}">
              <a16:creationId xmlns:a16="http://schemas.microsoft.com/office/drawing/2014/main" id="{8F6352E6-DBAD-4856-9384-4C9B5AA7D85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88" name="Line 365">
          <a:extLst>
            <a:ext uri="{FF2B5EF4-FFF2-40B4-BE49-F238E27FC236}">
              <a16:creationId xmlns:a16="http://schemas.microsoft.com/office/drawing/2014/main" id="{1933A9A1-DC0A-45D4-B527-58D4E799C6A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89" name="Line 366">
          <a:extLst>
            <a:ext uri="{FF2B5EF4-FFF2-40B4-BE49-F238E27FC236}">
              <a16:creationId xmlns:a16="http://schemas.microsoft.com/office/drawing/2014/main" id="{6B2E999B-7D7B-4792-B6EA-8455295F5F1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90" name="Line 367">
          <a:extLst>
            <a:ext uri="{FF2B5EF4-FFF2-40B4-BE49-F238E27FC236}">
              <a16:creationId xmlns:a16="http://schemas.microsoft.com/office/drawing/2014/main" id="{3A7217FC-BA2E-46C0-9B98-93EE22A0E310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91" name="Line 368">
          <a:extLst>
            <a:ext uri="{FF2B5EF4-FFF2-40B4-BE49-F238E27FC236}">
              <a16:creationId xmlns:a16="http://schemas.microsoft.com/office/drawing/2014/main" id="{6431FF61-5752-49BE-A0AB-D91DC093817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92" name="Line 369">
          <a:extLst>
            <a:ext uri="{FF2B5EF4-FFF2-40B4-BE49-F238E27FC236}">
              <a16:creationId xmlns:a16="http://schemas.microsoft.com/office/drawing/2014/main" id="{FFD46A47-92D6-4B6A-AB90-16FD3539801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93" name="Line 370">
          <a:extLst>
            <a:ext uri="{FF2B5EF4-FFF2-40B4-BE49-F238E27FC236}">
              <a16:creationId xmlns:a16="http://schemas.microsoft.com/office/drawing/2014/main" id="{83CB3164-EBB8-4910-96F9-485FA6CF4B1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94" name="Line 371">
          <a:extLst>
            <a:ext uri="{FF2B5EF4-FFF2-40B4-BE49-F238E27FC236}">
              <a16:creationId xmlns:a16="http://schemas.microsoft.com/office/drawing/2014/main" id="{0FC3EC57-FFB1-442C-B28E-24680CEADD5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295" name="Line 372">
          <a:extLst>
            <a:ext uri="{FF2B5EF4-FFF2-40B4-BE49-F238E27FC236}">
              <a16:creationId xmlns:a16="http://schemas.microsoft.com/office/drawing/2014/main" id="{16B4BBD1-22A4-485C-AF4C-19F620133B5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96" name="Line 373">
          <a:extLst>
            <a:ext uri="{FF2B5EF4-FFF2-40B4-BE49-F238E27FC236}">
              <a16:creationId xmlns:a16="http://schemas.microsoft.com/office/drawing/2014/main" id="{2A7F13C3-7A34-4FC0-A9B5-22D2439F61F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97" name="Line 374">
          <a:extLst>
            <a:ext uri="{FF2B5EF4-FFF2-40B4-BE49-F238E27FC236}">
              <a16:creationId xmlns:a16="http://schemas.microsoft.com/office/drawing/2014/main" id="{B40A4951-DE86-4F56-A5D3-DF0E4F7AAF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98" name="Line 375">
          <a:extLst>
            <a:ext uri="{FF2B5EF4-FFF2-40B4-BE49-F238E27FC236}">
              <a16:creationId xmlns:a16="http://schemas.microsoft.com/office/drawing/2014/main" id="{2339A9E7-EA8B-4AE5-B249-646697C2202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299" name="Line 376">
          <a:extLst>
            <a:ext uri="{FF2B5EF4-FFF2-40B4-BE49-F238E27FC236}">
              <a16:creationId xmlns:a16="http://schemas.microsoft.com/office/drawing/2014/main" id="{90577BB9-8A4B-4A72-B86B-5E1FBD3D9C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00" name="Line 377">
          <a:extLst>
            <a:ext uri="{FF2B5EF4-FFF2-40B4-BE49-F238E27FC236}">
              <a16:creationId xmlns:a16="http://schemas.microsoft.com/office/drawing/2014/main" id="{D8D547E1-2CA7-466F-A3F7-A0C5E0AC23E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1" name="Line 378">
          <a:extLst>
            <a:ext uri="{FF2B5EF4-FFF2-40B4-BE49-F238E27FC236}">
              <a16:creationId xmlns:a16="http://schemas.microsoft.com/office/drawing/2014/main" id="{D9980464-7CB3-4012-99EA-8CA3114570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02" name="Line 379">
          <a:extLst>
            <a:ext uri="{FF2B5EF4-FFF2-40B4-BE49-F238E27FC236}">
              <a16:creationId xmlns:a16="http://schemas.microsoft.com/office/drawing/2014/main" id="{490FBEB5-DC7B-4A2B-9F6B-E68272DA1DF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3" name="Line 380">
          <a:extLst>
            <a:ext uri="{FF2B5EF4-FFF2-40B4-BE49-F238E27FC236}">
              <a16:creationId xmlns:a16="http://schemas.microsoft.com/office/drawing/2014/main" id="{40FC8E52-215E-413A-B745-9EE5CAC57D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4" name="Line 381">
          <a:extLst>
            <a:ext uri="{FF2B5EF4-FFF2-40B4-BE49-F238E27FC236}">
              <a16:creationId xmlns:a16="http://schemas.microsoft.com/office/drawing/2014/main" id="{F0CEA649-88BE-41E0-9BE7-4717B8F28C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5" name="Line 382">
          <a:extLst>
            <a:ext uri="{FF2B5EF4-FFF2-40B4-BE49-F238E27FC236}">
              <a16:creationId xmlns:a16="http://schemas.microsoft.com/office/drawing/2014/main" id="{80937DB9-0FF6-4DED-B9C1-01D3EEC97E2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6" name="Line 383">
          <a:extLst>
            <a:ext uri="{FF2B5EF4-FFF2-40B4-BE49-F238E27FC236}">
              <a16:creationId xmlns:a16="http://schemas.microsoft.com/office/drawing/2014/main" id="{0E9493C5-93BB-4DCE-BB57-2421B2A7484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07" name="Line 384">
          <a:extLst>
            <a:ext uri="{FF2B5EF4-FFF2-40B4-BE49-F238E27FC236}">
              <a16:creationId xmlns:a16="http://schemas.microsoft.com/office/drawing/2014/main" id="{C6FD2B34-E501-40A6-90FF-6EA5CF5F894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8" name="Line 385">
          <a:extLst>
            <a:ext uri="{FF2B5EF4-FFF2-40B4-BE49-F238E27FC236}">
              <a16:creationId xmlns:a16="http://schemas.microsoft.com/office/drawing/2014/main" id="{B6BFECFB-B4C1-4875-A5AB-16703F1F5C6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09" name="Line 386">
          <a:extLst>
            <a:ext uri="{FF2B5EF4-FFF2-40B4-BE49-F238E27FC236}">
              <a16:creationId xmlns:a16="http://schemas.microsoft.com/office/drawing/2014/main" id="{E19BA6D5-0675-4C87-B191-A1E193D5624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0" name="Line 387">
          <a:extLst>
            <a:ext uri="{FF2B5EF4-FFF2-40B4-BE49-F238E27FC236}">
              <a16:creationId xmlns:a16="http://schemas.microsoft.com/office/drawing/2014/main" id="{701C0EEC-9789-48A0-9932-BA79B3972CF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11" name="Line 388">
          <a:extLst>
            <a:ext uri="{FF2B5EF4-FFF2-40B4-BE49-F238E27FC236}">
              <a16:creationId xmlns:a16="http://schemas.microsoft.com/office/drawing/2014/main" id="{CFD5E832-52A0-4D5F-8B9E-9B056E24856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2" name="Line 389">
          <a:extLst>
            <a:ext uri="{FF2B5EF4-FFF2-40B4-BE49-F238E27FC236}">
              <a16:creationId xmlns:a16="http://schemas.microsoft.com/office/drawing/2014/main" id="{90499919-6C8F-4130-B912-36D4D2548B1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13" name="Line 390">
          <a:extLst>
            <a:ext uri="{FF2B5EF4-FFF2-40B4-BE49-F238E27FC236}">
              <a16:creationId xmlns:a16="http://schemas.microsoft.com/office/drawing/2014/main" id="{E73C0D2F-B3A3-45A4-8F08-F650BF9ED8C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4" name="Line 391">
          <a:extLst>
            <a:ext uri="{FF2B5EF4-FFF2-40B4-BE49-F238E27FC236}">
              <a16:creationId xmlns:a16="http://schemas.microsoft.com/office/drawing/2014/main" id="{E76DFE6D-EE18-4B7A-8094-4379CE31786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5" name="Line 392">
          <a:extLst>
            <a:ext uri="{FF2B5EF4-FFF2-40B4-BE49-F238E27FC236}">
              <a16:creationId xmlns:a16="http://schemas.microsoft.com/office/drawing/2014/main" id="{74DD1F78-ACA2-4B43-8D7C-18DDF41D2D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6" name="Line 393">
          <a:extLst>
            <a:ext uri="{FF2B5EF4-FFF2-40B4-BE49-F238E27FC236}">
              <a16:creationId xmlns:a16="http://schemas.microsoft.com/office/drawing/2014/main" id="{D569DD2E-6C01-46CA-8CD7-FF15EF717F6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17" name="Line 394">
          <a:extLst>
            <a:ext uri="{FF2B5EF4-FFF2-40B4-BE49-F238E27FC236}">
              <a16:creationId xmlns:a16="http://schemas.microsoft.com/office/drawing/2014/main" id="{DF0812FF-F6F3-4B78-9C91-212D70595E4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18" name="Line 395">
          <a:extLst>
            <a:ext uri="{FF2B5EF4-FFF2-40B4-BE49-F238E27FC236}">
              <a16:creationId xmlns:a16="http://schemas.microsoft.com/office/drawing/2014/main" id="{41A5BC50-8747-435F-8CA4-141C1BC8B1E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19" name="Line 396">
          <a:extLst>
            <a:ext uri="{FF2B5EF4-FFF2-40B4-BE49-F238E27FC236}">
              <a16:creationId xmlns:a16="http://schemas.microsoft.com/office/drawing/2014/main" id="{5FA00A67-38F1-471D-92F4-32AFCE6D6C8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0" name="Line 397">
          <a:extLst>
            <a:ext uri="{FF2B5EF4-FFF2-40B4-BE49-F238E27FC236}">
              <a16:creationId xmlns:a16="http://schemas.microsoft.com/office/drawing/2014/main" id="{E4CD2486-134C-4D6F-8164-B237731BFE6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21" name="Line 398">
          <a:extLst>
            <a:ext uri="{FF2B5EF4-FFF2-40B4-BE49-F238E27FC236}">
              <a16:creationId xmlns:a16="http://schemas.microsoft.com/office/drawing/2014/main" id="{60D03DF2-D5E4-4033-9FB4-70A240A7EAE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22" name="Line 399">
          <a:extLst>
            <a:ext uri="{FF2B5EF4-FFF2-40B4-BE49-F238E27FC236}">
              <a16:creationId xmlns:a16="http://schemas.microsoft.com/office/drawing/2014/main" id="{8B00462E-3092-4936-854C-E90394AACEE3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3" name="Line 400">
          <a:extLst>
            <a:ext uri="{FF2B5EF4-FFF2-40B4-BE49-F238E27FC236}">
              <a16:creationId xmlns:a16="http://schemas.microsoft.com/office/drawing/2014/main" id="{CB432E24-4E6B-407A-8D55-B0F7AE26744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4" name="Line 401">
          <a:extLst>
            <a:ext uri="{FF2B5EF4-FFF2-40B4-BE49-F238E27FC236}">
              <a16:creationId xmlns:a16="http://schemas.microsoft.com/office/drawing/2014/main" id="{ADD8588D-BFD9-4CBB-96AC-D95ADFE905B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5" name="Line 402">
          <a:extLst>
            <a:ext uri="{FF2B5EF4-FFF2-40B4-BE49-F238E27FC236}">
              <a16:creationId xmlns:a16="http://schemas.microsoft.com/office/drawing/2014/main" id="{947A9D7C-72D6-4BC6-B5E1-3CA9E3F8CBB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6" name="Line 403">
          <a:extLst>
            <a:ext uri="{FF2B5EF4-FFF2-40B4-BE49-F238E27FC236}">
              <a16:creationId xmlns:a16="http://schemas.microsoft.com/office/drawing/2014/main" id="{302DC3B6-DAA1-44E2-A13C-8F162893780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27" name="Line 404">
          <a:extLst>
            <a:ext uri="{FF2B5EF4-FFF2-40B4-BE49-F238E27FC236}">
              <a16:creationId xmlns:a16="http://schemas.microsoft.com/office/drawing/2014/main" id="{CCBDFA97-53E2-4507-B0DD-9C8D1FFA4B6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28" name="Line 405">
          <a:extLst>
            <a:ext uri="{FF2B5EF4-FFF2-40B4-BE49-F238E27FC236}">
              <a16:creationId xmlns:a16="http://schemas.microsoft.com/office/drawing/2014/main" id="{07E39FFD-C7C4-4447-A477-920173DEAC3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29" name="Line 406">
          <a:extLst>
            <a:ext uri="{FF2B5EF4-FFF2-40B4-BE49-F238E27FC236}">
              <a16:creationId xmlns:a16="http://schemas.microsoft.com/office/drawing/2014/main" id="{3ACCC98A-6370-4325-9C89-16ECECB6B4F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0" name="Line 407">
          <a:extLst>
            <a:ext uri="{FF2B5EF4-FFF2-40B4-BE49-F238E27FC236}">
              <a16:creationId xmlns:a16="http://schemas.microsoft.com/office/drawing/2014/main" id="{D09F7DB5-0C6E-49F6-AED1-6090A208636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1" name="Line 408">
          <a:extLst>
            <a:ext uri="{FF2B5EF4-FFF2-40B4-BE49-F238E27FC236}">
              <a16:creationId xmlns:a16="http://schemas.microsoft.com/office/drawing/2014/main" id="{A59065EA-58D2-4F60-AB62-16DB6A20D4A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32" name="Line 409">
          <a:extLst>
            <a:ext uri="{FF2B5EF4-FFF2-40B4-BE49-F238E27FC236}">
              <a16:creationId xmlns:a16="http://schemas.microsoft.com/office/drawing/2014/main" id="{B1C0FCB1-1AAF-45AA-B2A3-F8E505852D07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3" name="Line 410">
          <a:extLst>
            <a:ext uri="{FF2B5EF4-FFF2-40B4-BE49-F238E27FC236}">
              <a16:creationId xmlns:a16="http://schemas.microsoft.com/office/drawing/2014/main" id="{DB887966-95F5-40A7-82F5-CCFDE477D4E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34" name="Line 411">
          <a:extLst>
            <a:ext uri="{FF2B5EF4-FFF2-40B4-BE49-F238E27FC236}">
              <a16:creationId xmlns:a16="http://schemas.microsoft.com/office/drawing/2014/main" id="{05F80E6D-3A1B-4A48-9FEF-C929C47DFA2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5" name="Line 412">
          <a:extLst>
            <a:ext uri="{FF2B5EF4-FFF2-40B4-BE49-F238E27FC236}">
              <a16:creationId xmlns:a16="http://schemas.microsoft.com/office/drawing/2014/main" id="{203DBDF5-135A-4E27-87DC-5F78E161285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6" name="Line 413">
          <a:extLst>
            <a:ext uri="{FF2B5EF4-FFF2-40B4-BE49-F238E27FC236}">
              <a16:creationId xmlns:a16="http://schemas.microsoft.com/office/drawing/2014/main" id="{C8889E25-BD54-4C09-9B74-A7B9BDA5C28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7" name="Line 414">
          <a:extLst>
            <a:ext uri="{FF2B5EF4-FFF2-40B4-BE49-F238E27FC236}">
              <a16:creationId xmlns:a16="http://schemas.microsoft.com/office/drawing/2014/main" id="{F684BB8F-B99F-47EF-8219-E95735BB16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38" name="Line 415">
          <a:extLst>
            <a:ext uri="{FF2B5EF4-FFF2-40B4-BE49-F238E27FC236}">
              <a16:creationId xmlns:a16="http://schemas.microsoft.com/office/drawing/2014/main" id="{47499D60-97A2-48AC-A786-98C2015E21D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39" name="Line 416">
          <a:extLst>
            <a:ext uri="{FF2B5EF4-FFF2-40B4-BE49-F238E27FC236}">
              <a16:creationId xmlns:a16="http://schemas.microsoft.com/office/drawing/2014/main" id="{3C601486-5DAF-4EA7-9F06-0998080131A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40" name="Line 417">
          <a:extLst>
            <a:ext uri="{FF2B5EF4-FFF2-40B4-BE49-F238E27FC236}">
              <a16:creationId xmlns:a16="http://schemas.microsoft.com/office/drawing/2014/main" id="{D574D4B5-C93B-4C81-8FB0-DFA2C68A52C0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41" name="Line 418">
          <a:extLst>
            <a:ext uri="{FF2B5EF4-FFF2-40B4-BE49-F238E27FC236}">
              <a16:creationId xmlns:a16="http://schemas.microsoft.com/office/drawing/2014/main" id="{4D66A961-0EA6-4C5E-87C2-B1A076012FE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42" name="Line 419">
          <a:extLst>
            <a:ext uri="{FF2B5EF4-FFF2-40B4-BE49-F238E27FC236}">
              <a16:creationId xmlns:a16="http://schemas.microsoft.com/office/drawing/2014/main" id="{4729FB14-394B-48EC-AFD2-62E594E40E9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43" name="Line 420">
          <a:extLst>
            <a:ext uri="{FF2B5EF4-FFF2-40B4-BE49-F238E27FC236}">
              <a16:creationId xmlns:a16="http://schemas.microsoft.com/office/drawing/2014/main" id="{B7822C8F-AAF3-422E-8C93-76C179B566F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44" name="Line 421">
          <a:extLst>
            <a:ext uri="{FF2B5EF4-FFF2-40B4-BE49-F238E27FC236}">
              <a16:creationId xmlns:a16="http://schemas.microsoft.com/office/drawing/2014/main" id="{425EE328-6596-4F85-9215-4E012193651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45" name="Line 422">
          <a:extLst>
            <a:ext uri="{FF2B5EF4-FFF2-40B4-BE49-F238E27FC236}">
              <a16:creationId xmlns:a16="http://schemas.microsoft.com/office/drawing/2014/main" id="{C3DB77A0-D6AA-4A07-A84E-B88B613605F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46" name="Line 423">
          <a:extLst>
            <a:ext uri="{FF2B5EF4-FFF2-40B4-BE49-F238E27FC236}">
              <a16:creationId xmlns:a16="http://schemas.microsoft.com/office/drawing/2014/main" id="{5696F5C2-084A-4389-BFBC-D8D2A58EE0A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47" name="Line 424">
          <a:extLst>
            <a:ext uri="{FF2B5EF4-FFF2-40B4-BE49-F238E27FC236}">
              <a16:creationId xmlns:a16="http://schemas.microsoft.com/office/drawing/2014/main" id="{17E62E62-C68D-44F1-A756-37759F0D36F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48" name="Line 425">
          <a:extLst>
            <a:ext uri="{FF2B5EF4-FFF2-40B4-BE49-F238E27FC236}">
              <a16:creationId xmlns:a16="http://schemas.microsoft.com/office/drawing/2014/main" id="{4AAAE3C7-915F-4F78-A7C7-3AB0DF142D1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49" name="Line 426">
          <a:extLst>
            <a:ext uri="{FF2B5EF4-FFF2-40B4-BE49-F238E27FC236}">
              <a16:creationId xmlns:a16="http://schemas.microsoft.com/office/drawing/2014/main" id="{0838F1DB-011D-466A-AAEF-6E071E7EBC0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50" name="Line 427">
          <a:extLst>
            <a:ext uri="{FF2B5EF4-FFF2-40B4-BE49-F238E27FC236}">
              <a16:creationId xmlns:a16="http://schemas.microsoft.com/office/drawing/2014/main" id="{F2B856FD-CDDB-4128-BE75-B5CB75C49EAC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1" name="Line 428">
          <a:extLst>
            <a:ext uri="{FF2B5EF4-FFF2-40B4-BE49-F238E27FC236}">
              <a16:creationId xmlns:a16="http://schemas.microsoft.com/office/drawing/2014/main" id="{62F79297-76A1-465D-A3E9-9D701661B09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52" name="Line 429">
          <a:extLst>
            <a:ext uri="{FF2B5EF4-FFF2-40B4-BE49-F238E27FC236}">
              <a16:creationId xmlns:a16="http://schemas.microsoft.com/office/drawing/2014/main" id="{6F871DC0-DA8C-4654-B2A1-C50DC168DEB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3" name="Line 430">
          <a:extLst>
            <a:ext uri="{FF2B5EF4-FFF2-40B4-BE49-F238E27FC236}">
              <a16:creationId xmlns:a16="http://schemas.microsoft.com/office/drawing/2014/main" id="{B81C3102-2F51-4EF2-A2AA-2E6AD2505E5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4" name="Line 431">
          <a:extLst>
            <a:ext uri="{FF2B5EF4-FFF2-40B4-BE49-F238E27FC236}">
              <a16:creationId xmlns:a16="http://schemas.microsoft.com/office/drawing/2014/main" id="{4E26499B-BF78-4DAD-B985-8D43F5AD741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5" name="Line 432">
          <a:extLst>
            <a:ext uri="{FF2B5EF4-FFF2-40B4-BE49-F238E27FC236}">
              <a16:creationId xmlns:a16="http://schemas.microsoft.com/office/drawing/2014/main" id="{727F3CAC-A336-431D-978F-C9237903562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6" name="Line 433">
          <a:extLst>
            <a:ext uri="{FF2B5EF4-FFF2-40B4-BE49-F238E27FC236}">
              <a16:creationId xmlns:a16="http://schemas.microsoft.com/office/drawing/2014/main" id="{5A7C097B-7CB4-4BC4-A09A-D63B799954F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57" name="Line 434">
          <a:extLst>
            <a:ext uri="{FF2B5EF4-FFF2-40B4-BE49-F238E27FC236}">
              <a16:creationId xmlns:a16="http://schemas.microsoft.com/office/drawing/2014/main" id="{F54D1CC2-46CD-4C73-B995-679DE449156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8" name="Line 435">
          <a:extLst>
            <a:ext uri="{FF2B5EF4-FFF2-40B4-BE49-F238E27FC236}">
              <a16:creationId xmlns:a16="http://schemas.microsoft.com/office/drawing/2014/main" id="{6A4C3923-870D-43A7-856E-7C8379B133C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59" name="Line 436">
          <a:extLst>
            <a:ext uri="{FF2B5EF4-FFF2-40B4-BE49-F238E27FC236}">
              <a16:creationId xmlns:a16="http://schemas.microsoft.com/office/drawing/2014/main" id="{7FC06157-4F68-4981-ABDA-791614DA6AC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0" name="Line 437">
          <a:extLst>
            <a:ext uri="{FF2B5EF4-FFF2-40B4-BE49-F238E27FC236}">
              <a16:creationId xmlns:a16="http://schemas.microsoft.com/office/drawing/2014/main" id="{6B4BF8F2-0020-4407-9A2A-CE48BBAB4A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61" name="Line 438">
          <a:extLst>
            <a:ext uri="{FF2B5EF4-FFF2-40B4-BE49-F238E27FC236}">
              <a16:creationId xmlns:a16="http://schemas.microsoft.com/office/drawing/2014/main" id="{76B29B2C-5E7D-411A-845D-F1C6EE5B9904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2" name="Line 439">
          <a:extLst>
            <a:ext uri="{FF2B5EF4-FFF2-40B4-BE49-F238E27FC236}">
              <a16:creationId xmlns:a16="http://schemas.microsoft.com/office/drawing/2014/main" id="{89168BBD-E8DA-44C6-9FDF-7173E8F9543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63" name="Line 440">
          <a:extLst>
            <a:ext uri="{FF2B5EF4-FFF2-40B4-BE49-F238E27FC236}">
              <a16:creationId xmlns:a16="http://schemas.microsoft.com/office/drawing/2014/main" id="{C916E2F9-35ED-452F-A93E-94DA2BECB95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4" name="Line 441">
          <a:extLst>
            <a:ext uri="{FF2B5EF4-FFF2-40B4-BE49-F238E27FC236}">
              <a16:creationId xmlns:a16="http://schemas.microsoft.com/office/drawing/2014/main" id="{13CBC141-C3BB-4EDB-90A7-5CCBEF8C8F1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5" name="Line 442">
          <a:extLst>
            <a:ext uri="{FF2B5EF4-FFF2-40B4-BE49-F238E27FC236}">
              <a16:creationId xmlns:a16="http://schemas.microsoft.com/office/drawing/2014/main" id="{3C7B8219-A6A9-4C19-98C1-4DC532CB3D3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6" name="Line 443">
          <a:extLst>
            <a:ext uri="{FF2B5EF4-FFF2-40B4-BE49-F238E27FC236}">
              <a16:creationId xmlns:a16="http://schemas.microsoft.com/office/drawing/2014/main" id="{DE673369-74D7-40A4-B712-D0BD9B61258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67" name="Line 444">
          <a:extLst>
            <a:ext uri="{FF2B5EF4-FFF2-40B4-BE49-F238E27FC236}">
              <a16:creationId xmlns:a16="http://schemas.microsoft.com/office/drawing/2014/main" id="{46BC8470-4AA0-47CA-B7CD-1D3581B08A3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68" name="Line 445">
          <a:extLst>
            <a:ext uri="{FF2B5EF4-FFF2-40B4-BE49-F238E27FC236}">
              <a16:creationId xmlns:a16="http://schemas.microsoft.com/office/drawing/2014/main" id="{6F95A4ED-63AA-4E59-9DF3-7D9EA664A4B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69" name="Line 446">
          <a:extLst>
            <a:ext uri="{FF2B5EF4-FFF2-40B4-BE49-F238E27FC236}">
              <a16:creationId xmlns:a16="http://schemas.microsoft.com/office/drawing/2014/main" id="{E4DF20D3-5C04-4900-B151-99F9F67859E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0" name="Line 447">
          <a:extLst>
            <a:ext uri="{FF2B5EF4-FFF2-40B4-BE49-F238E27FC236}">
              <a16:creationId xmlns:a16="http://schemas.microsoft.com/office/drawing/2014/main" id="{3D0E8C87-C11F-44CD-A360-FB6B599FA46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71" name="Line 448">
          <a:extLst>
            <a:ext uri="{FF2B5EF4-FFF2-40B4-BE49-F238E27FC236}">
              <a16:creationId xmlns:a16="http://schemas.microsoft.com/office/drawing/2014/main" id="{82C06724-3D0A-4BC2-952E-B93C516ED20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72" name="Line 449">
          <a:extLst>
            <a:ext uri="{FF2B5EF4-FFF2-40B4-BE49-F238E27FC236}">
              <a16:creationId xmlns:a16="http://schemas.microsoft.com/office/drawing/2014/main" id="{AEA9561C-ED5A-4C9B-9878-5E41C8059AA2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3" name="Line 450">
          <a:extLst>
            <a:ext uri="{FF2B5EF4-FFF2-40B4-BE49-F238E27FC236}">
              <a16:creationId xmlns:a16="http://schemas.microsoft.com/office/drawing/2014/main" id="{C0DEAF27-97D4-4F19-8996-F59F45F68E8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4" name="Line 451">
          <a:extLst>
            <a:ext uri="{FF2B5EF4-FFF2-40B4-BE49-F238E27FC236}">
              <a16:creationId xmlns:a16="http://schemas.microsoft.com/office/drawing/2014/main" id="{DA6ECB26-3AA5-4246-B1C7-B2626997EB6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5" name="Line 452">
          <a:extLst>
            <a:ext uri="{FF2B5EF4-FFF2-40B4-BE49-F238E27FC236}">
              <a16:creationId xmlns:a16="http://schemas.microsoft.com/office/drawing/2014/main" id="{3B4E8BAC-7E24-4DB8-BBC4-6864296C006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6" name="Line 453">
          <a:extLst>
            <a:ext uri="{FF2B5EF4-FFF2-40B4-BE49-F238E27FC236}">
              <a16:creationId xmlns:a16="http://schemas.microsoft.com/office/drawing/2014/main" id="{AB29F3BA-99F3-47DE-96B9-28B308F9EE2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77" name="Line 454">
          <a:extLst>
            <a:ext uri="{FF2B5EF4-FFF2-40B4-BE49-F238E27FC236}">
              <a16:creationId xmlns:a16="http://schemas.microsoft.com/office/drawing/2014/main" id="{660860A9-470D-44A9-953B-DF3EC7FA537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78" name="Line 455">
          <a:extLst>
            <a:ext uri="{FF2B5EF4-FFF2-40B4-BE49-F238E27FC236}">
              <a16:creationId xmlns:a16="http://schemas.microsoft.com/office/drawing/2014/main" id="{BD4DEDDA-E5C8-4513-9DDC-CD7A0F49594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79" name="Line 456">
          <a:extLst>
            <a:ext uri="{FF2B5EF4-FFF2-40B4-BE49-F238E27FC236}">
              <a16:creationId xmlns:a16="http://schemas.microsoft.com/office/drawing/2014/main" id="{9B56AB79-93F8-479F-B34A-A6EAE639D8B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0" name="Line 457">
          <a:extLst>
            <a:ext uri="{FF2B5EF4-FFF2-40B4-BE49-F238E27FC236}">
              <a16:creationId xmlns:a16="http://schemas.microsoft.com/office/drawing/2014/main" id="{6D1DC2C1-27A4-4746-A23A-BF435E23499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1" name="Line 458">
          <a:extLst>
            <a:ext uri="{FF2B5EF4-FFF2-40B4-BE49-F238E27FC236}">
              <a16:creationId xmlns:a16="http://schemas.microsoft.com/office/drawing/2014/main" id="{C7D43A6A-E29E-49C1-9658-78E4853237B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382" name="Line 459">
          <a:extLst>
            <a:ext uri="{FF2B5EF4-FFF2-40B4-BE49-F238E27FC236}">
              <a16:creationId xmlns:a16="http://schemas.microsoft.com/office/drawing/2014/main" id="{B2B40ABC-337B-423B-8E4B-D91D0EC99D72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3" name="Line 460">
          <a:extLst>
            <a:ext uri="{FF2B5EF4-FFF2-40B4-BE49-F238E27FC236}">
              <a16:creationId xmlns:a16="http://schemas.microsoft.com/office/drawing/2014/main" id="{26B906F8-5BCF-48FD-B6BF-504599874C3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84" name="Line 461">
          <a:extLst>
            <a:ext uri="{FF2B5EF4-FFF2-40B4-BE49-F238E27FC236}">
              <a16:creationId xmlns:a16="http://schemas.microsoft.com/office/drawing/2014/main" id="{0DA333C3-1D04-4BDB-9701-7C7D6208732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5" name="Line 462">
          <a:extLst>
            <a:ext uri="{FF2B5EF4-FFF2-40B4-BE49-F238E27FC236}">
              <a16:creationId xmlns:a16="http://schemas.microsoft.com/office/drawing/2014/main" id="{E97DE757-2D53-4567-A18A-0D44BE92F99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6" name="Line 463">
          <a:extLst>
            <a:ext uri="{FF2B5EF4-FFF2-40B4-BE49-F238E27FC236}">
              <a16:creationId xmlns:a16="http://schemas.microsoft.com/office/drawing/2014/main" id="{CC5E0B3E-BD79-4C7D-BC82-60684CAFE60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7" name="Line 464">
          <a:extLst>
            <a:ext uri="{FF2B5EF4-FFF2-40B4-BE49-F238E27FC236}">
              <a16:creationId xmlns:a16="http://schemas.microsoft.com/office/drawing/2014/main" id="{D7884FBB-4DB6-4CAB-AADD-D32611C618C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88" name="Line 465">
          <a:extLst>
            <a:ext uri="{FF2B5EF4-FFF2-40B4-BE49-F238E27FC236}">
              <a16:creationId xmlns:a16="http://schemas.microsoft.com/office/drawing/2014/main" id="{C791771B-8856-434C-9EC2-600A5EC8324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89" name="Line 466">
          <a:extLst>
            <a:ext uri="{FF2B5EF4-FFF2-40B4-BE49-F238E27FC236}">
              <a16:creationId xmlns:a16="http://schemas.microsoft.com/office/drawing/2014/main" id="{BE02961A-5518-45B6-A71D-862B98F71A5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390" name="Line 467">
          <a:extLst>
            <a:ext uri="{FF2B5EF4-FFF2-40B4-BE49-F238E27FC236}">
              <a16:creationId xmlns:a16="http://schemas.microsoft.com/office/drawing/2014/main" id="{958EB41F-DE43-4DB9-8BF6-68333020CF2B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1" name="Line 468">
          <a:extLst>
            <a:ext uri="{FF2B5EF4-FFF2-40B4-BE49-F238E27FC236}">
              <a16:creationId xmlns:a16="http://schemas.microsoft.com/office/drawing/2014/main" id="{FCF77DE6-F490-40C0-87B3-7A1DD2B835C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2" name="Line 469">
          <a:extLst>
            <a:ext uri="{FF2B5EF4-FFF2-40B4-BE49-F238E27FC236}">
              <a16:creationId xmlns:a16="http://schemas.microsoft.com/office/drawing/2014/main" id="{24A1CC54-45A5-4B74-BDF5-7BA9E090753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3" name="Line 470">
          <a:extLst>
            <a:ext uri="{FF2B5EF4-FFF2-40B4-BE49-F238E27FC236}">
              <a16:creationId xmlns:a16="http://schemas.microsoft.com/office/drawing/2014/main" id="{F7108341-E663-4321-9C17-4DA1ED70992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4" name="Line 471">
          <a:extLst>
            <a:ext uri="{FF2B5EF4-FFF2-40B4-BE49-F238E27FC236}">
              <a16:creationId xmlns:a16="http://schemas.microsoft.com/office/drawing/2014/main" id="{5150D283-C1E9-4426-9BFB-D7254C44FF1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395" name="Line 472">
          <a:extLst>
            <a:ext uri="{FF2B5EF4-FFF2-40B4-BE49-F238E27FC236}">
              <a16:creationId xmlns:a16="http://schemas.microsoft.com/office/drawing/2014/main" id="{7487C79F-1C11-48D2-865A-ED720A21038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6" name="Line 473">
          <a:extLst>
            <a:ext uri="{FF2B5EF4-FFF2-40B4-BE49-F238E27FC236}">
              <a16:creationId xmlns:a16="http://schemas.microsoft.com/office/drawing/2014/main" id="{80EF4F98-1BA9-4705-B922-918F43DEBD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7" name="Line 474">
          <a:extLst>
            <a:ext uri="{FF2B5EF4-FFF2-40B4-BE49-F238E27FC236}">
              <a16:creationId xmlns:a16="http://schemas.microsoft.com/office/drawing/2014/main" id="{78FFC3FD-BF7C-4F6C-81EA-4AF7F50D532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8" name="Line 475">
          <a:extLst>
            <a:ext uri="{FF2B5EF4-FFF2-40B4-BE49-F238E27FC236}">
              <a16:creationId xmlns:a16="http://schemas.microsoft.com/office/drawing/2014/main" id="{47E97F05-184D-4422-BC00-078B6375E62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399" name="Line 476">
          <a:extLst>
            <a:ext uri="{FF2B5EF4-FFF2-40B4-BE49-F238E27FC236}">
              <a16:creationId xmlns:a16="http://schemas.microsoft.com/office/drawing/2014/main" id="{4C27EFE7-D183-4384-B301-3C61C98B66B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00" name="Line 477">
          <a:extLst>
            <a:ext uri="{FF2B5EF4-FFF2-40B4-BE49-F238E27FC236}">
              <a16:creationId xmlns:a16="http://schemas.microsoft.com/office/drawing/2014/main" id="{0E463ACD-71D2-4A67-BE91-8A543229AA2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1" name="Line 478">
          <a:extLst>
            <a:ext uri="{FF2B5EF4-FFF2-40B4-BE49-F238E27FC236}">
              <a16:creationId xmlns:a16="http://schemas.microsoft.com/office/drawing/2014/main" id="{D54E8EA6-E9E5-4314-87D2-E605B25D7F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02" name="Line 479">
          <a:extLst>
            <a:ext uri="{FF2B5EF4-FFF2-40B4-BE49-F238E27FC236}">
              <a16:creationId xmlns:a16="http://schemas.microsoft.com/office/drawing/2014/main" id="{5999DA5A-130E-411B-AB8D-C0905BB6D24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3" name="Line 480">
          <a:extLst>
            <a:ext uri="{FF2B5EF4-FFF2-40B4-BE49-F238E27FC236}">
              <a16:creationId xmlns:a16="http://schemas.microsoft.com/office/drawing/2014/main" id="{E245DF71-DC6F-413E-8BFA-90C010679D7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4" name="Line 481">
          <a:extLst>
            <a:ext uri="{FF2B5EF4-FFF2-40B4-BE49-F238E27FC236}">
              <a16:creationId xmlns:a16="http://schemas.microsoft.com/office/drawing/2014/main" id="{FC2F5E2A-4A96-4849-8996-2F46EDB4850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5" name="Line 482">
          <a:extLst>
            <a:ext uri="{FF2B5EF4-FFF2-40B4-BE49-F238E27FC236}">
              <a16:creationId xmlns:a16="http://schemas.microsoft.com/office/drawing/2014/main" id="{53AB9931-9E8A-4C5D-B650-EDDDAA7B48B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6" name="Line 483">
          <a:extLst>
            <a:ext uri="{FF2B5EF4-FFF2-40B4-BE49-F238E27FC236}">
              <a16:creationId xmlns:a16="http://schemas.microsoft.com/office/drawing/2014/main" id="{1F067B07-0D47-49BF-A663-4A0BB214A75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07" name="Line 484">
          <a:extLst>
            <a:ext uri="{FF2B5EF4-FFF2-40B4-BE49-F238E27FC236}">
              <a16:creationId xmlns:a16="http://schemas.microsoft.com/office/drawing/2014/main" id="{6A33A8BD-04BB-4EA8-90B7-E5277DE829F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8" name="Line 485">
          <a:extLst>
            <a:ext uri="{FF2B5EF4-FFF2-40B4-BE49-F238E27FC236}">
              <a16:creationId xmlns:a16="http://schemas.microsoft.com/office/drawing/2014/main" id="{1839D1B8-BA86-4A3E-8C14-416455C312F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09" name="Line 486">
          <a:extLst>
            <a:ext uri="{FF2B5EF4-FFF2-40B4-BE49-F238E27FC236}">
              <a16:creationId xmlns:a16="http://schemas.microsoft.com/office/drawing/2014/main" id="{B816EC41-803F-45BB-BAA7-DD62FE5C678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0" name="Line 487">
          <a:extLst>
            <a:ext uri="{FF2B5EF4-FFF2-40B4-BE49-F238E27FC236}">
              <a16:creationId xmlns:a16="http://schemas.microsoft.com/office/drawing/2014/main" id="{45E91EDE-83D4-4C7A-BC25-7204C75E087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11" name="Line 488">
          <a:extLst>
            <a:ext uri="{FF2B5EF4-FFF2-40B4-BE49-F238E27FC236}">
              <a16:creationId xmlns:a16="http://schemas.microsoft.com/office/drawing/2014/main" id="{E0125E0D-F300-4068-B09B-1E779E98A5E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2" name="Line 489">
          <a:extLst>
            <a:ext uri="{FF2B5EF4-FFF2-40B4-BE49-F238E27FC236}">
              <a16:creationId xmlns:a16="http://schemas.microsoft.com/office/drawing/2014/main" id="{B677808A-2047-464D-858D-3BC6E8D8686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13" name="Line 490">
          <a:extLst>
            <a:ext uri="{FF2B5EF4-FFF2-40B4-BE49-F238E27FC236}">
              <a16:creationId xmlns:a16="http://schemas.microsoft.com/office/drawing/2014/main" id="{BDAFDD0A-114E-424C-A4B9-BCFE165F7A5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4" name="Line 491">
          <a:extLst>
            <a:ext uri="{FF2B5EF4-FFF2-40B4-BE49-F238E27FC236}">
              <a16:creationId xmlns:a16="http://schemas.microsoft.com/office/drawing/2014/main" id="{CF3655BB-B624-4ECC-B8D7-41C1C3BCBCD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5" name="Line 492">
          <a:extLst>
            <a:ext uri="{FF2B5EF4-FFF2-40B4-BE49-F238E27FC236}">
              <a16:creationId xmlns:a16="http://schemas.microsoft.com/office/drawing/2014/main" id="{7BFDCCE8-C932-4A0A-8928-8392EF78FB8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6" name="Line 493">
          <a:extLst>
            <a:ext uri="{FF2B5EF4-FFF2-40B4-BE49-F238E27FC236}">
              <a16:creationId xmlns:a16="http://schemas.microsoft.com/office/drawing/2014/main" id="{463BD5A9-E6E4-45EF-B60C-0FCC9AE8786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17" name="Line 494">
          <a:extLst>
            <a:ext uri="{FF2B5EF4-FFF2-40B4-BE49-F238E27FC236}">
              <a16:creationId xmlns:a16="http://schemas.microsoft.com/office/drawing/2014/main" id="{0FE95B2D-4813-40FF-ADA6-2A25B78BD7A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18" name="Line 495">
          <a:extLst>
            <a:ext uri="{FF2B5EF4-FFF2-40B4-BE49-F238E27FC236}">
              <a16:creationId xmlns:a16="http://schemas.microsoft.com/office/drawing/2014/main" id="{637590E2-CF09-4452-A1D9-C9366BF391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19" name="Line 496">
          <a:extLst>
            <a:ext uri="{FF2B5EF4-FFF2-40B4-BE49-F238E27FC236}">
              <a16:creationId xmlns:a16="http://schemas.microsoft.com/office/drawing/2014/main" id="{A007F72B-1DDF-4A9A-9C5D-21676F6813B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0" name="Line 497">
          <a:extLst>
            <a:ext uri="{FF2B5EF4-FFF2-40B4-BE49-F238E27FC236}">
              <a16:creationId xmlns:a16="http://schemas.microsoft.com/office/drawing/2014/main" id="{381932CA-1D4F-4ADF-B7B8-5DA31E22A86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21" name="Line 498">
          <a:extLst>
            <a:ext uri="{FF2B5EF4-FFF2-40B4-BE49-F238E27FC236}">
              <a16:creationId xmlns:a16="http://schemas.microsoft.com/office/drawing/2014/main" id="{21229060-012A-473A-BEE4-6011F604D6C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422" name="Line 499">
          <a:extLst>
            <a:ext uri="{FF2B5EF4-FFF2-40B4-BE49-F238E27FC236}">
              <a16:creationId xmlns:a16="http://schemas.microsoft.com/office/drawing/2014/main" id="{CD8AC637-2941-45BE-9278-25F4DBA89A83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3" name="Line 500">
          <a:extLst>
            <a:ext uri="{FF2B5EF4-FFF2-40B4-BE49-F238E27FC236}">
              <a16:creationId xmlns:a16="http://schemas.microsoft.com/office/drawing/2014/main" id="{B0C499D2-6AA1-4A57-B730-88D053FBB1D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4" name="Line 501">
          <a:extLst>
            <a:ext uri="{FF2B5EF4-FFF2-40B4-BE49-F238E27FC236}">
              <a16:creationId xmlns:a16="http://schemas.microsoft.com/office/drawing/2014/main" id="{E47A29F2-C5B3-4D92-92B7-EF0B65F9B58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5" name="Line 502">
          <a:extLst>
            <a:ext uri="{FF2B5EF4-FFF2-40B4-BE49-F238E27FC236}">
              <a16:creationId xmlns:a16="http://schemas.microsoft.com/office/drawing/2014/main" id="{DBAE383C-2557-41C0-B03E-FD5C1E1B122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6" name="Line 503">
          <a:extLst>
            <a:ext uri="{FF2B5EF4-FFF2-40B4-BE49-F238E27FC236}">
              <a16:creationId xmlns:a16="http://schemas.microsoft.com/office/drawing/2014/main" id="{E4620461-8005-4140-8A14-57A1DF10AC6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27" name="Line 504">
          <a:extLst>
            <a:ext uri="{FF2B5EF4-FFF2-40B4-BE49-F238E27FC236}">
              <a16:creationId xmlns:a16="http://schemas.microsoft.com/office/drawing/2014/main" id="{3D3A40D1-2133-43B2-BD78-5EF2A49E850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28" name="Line 505">
          <a:extLst>
            <a:ext uri="{FF2B5EF4-FFF2-40B4-BE49-F238E27FC236}">
              <a16:creationId xmlns:a16="http://schemas.microsoft.com/office/drawing/2014/main" id="{88626132-6705-45D4-BBE2-696F0CE1EEA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29" name="Line 506">
          <a:extLst>
            <a:ext uri="{FF2B5EF4-FFF2-40B4-BE49-F238E27FC236}">
              <a16:creationId xmlns:a16="http://schemas.microsoft.com/office/drawing/2014/main" id="{272F077C-719D-4A31-B144-794C3770A07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0" name="Line 507">
          <a:extLst>
            <a:ext uri="{FF2B5EF4-FFF2-40B4-BE49-F238E27FC236}">
              <a16:creationId xmlns:a16="http://schemas.microsoft.com/office/drawing/2014/main" id="{BA5C345E-B966-4901-9D40-58D29028113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1" name="Line 508">
          <a:extLst>
            <a:ext uri="{FF2B5EF4-FFF2-40B4-BE49-F238E27FC236}">
              <a16:creationId xmlns:a16="http://schemas.microsoft.com/office/drawing/2014/main" id="{732EFD52-0EC1-47DE-A734-D8D4EE0AB0A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32" name="Line 509">
          <a:extLst>
            <a:ext uri="{FF2B5EF4-FFF2-40B4-BE49-F238E27FC236}">
              <a16:creationId xmlns:a16="http://schemas.microsoft.com/office/drawing/2014/main" id="{5DEE8DAE-3D16-4583-A36D-BFAC3AB5106D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3" name="Line 510">
          <a:extLst>
            <a:ext uri="{FF2B5EF4-FFF2-40B4-BE49-F238E27FC236}">
              <a16:creationId xmlns:a16="http://schemas.microsoft.com/office/drawing/2014/main" id="{5FC8A660-C941-4D2B-8DA8-F2A773762A1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34" name="Line 511">
          <a:extLst>
            <a:ext uri="{FF2B5EF4-FFF2-40B4-BE49-F238E27FC236}">
              <a16:creationId xmlns:a16="http://schemas.microsoft.com/office/drawing/2014/main" id="{AF1ED80F-68C5-45C3-BDD1-98F26FCE820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5" name="Line 512">
          <a:extLst>
            <a:ext uri="{FF2B5EF4-FFF2-40B4-BE49-F238E27FC236}">
              <a16:creationId xmlns:a16="http://schemas.microsoft.com/office/drawing/2014/main" id="{9BAA0150-FCEC-40CB-A4AA-80D43897A7F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6" name="Line 513">
          <a:extLst>
            <a:ext uri="{FF2B5EF4-FFF2-40B4-BE49-F238E27FC236}">
              <a16:creationId xmlns:a16="http://schemas.microsoft.com/office/drawing/2014/main" id="{2D2E92CC-8032-4340-9B75-3D37B20AF25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7" name="Line 514">
          <a:extLst>
            <a:ext uri="{FF2B5EF4-FFF2-40B4-BE49-F238E27FC236}">
              <a16:creationId xmlns:a16="http://schemas.microsoft.com/office/drawing/2014/main" id="{805CA731-8712-4BAB-AE0E-CCF8EA94BFD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38" name="Line 515">
          <a:extLst>
            <a:ext uri="{FF2B5EF4-FFF2-40B4-BE49-F238E27FC236}">
              <a16:creationId xmlns:a16="http://schemas.microsoft.com/office/drawing/2014/main" id="{D7620453-B16D-447B-A838-706648CA5EA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39" name="Line 516">
          <a:extLst>
            <a:ext uri="{FF2B5EF4-FFF2-40B4-BE49-F238E27FC236}">
              <a16:creationId xmlns:a16="http://schemas.microsoft.com/office/drawing/2014/main" id="{40D1AC5C-09AC-4872-AE44-16CCE278076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440" name="Line 517">
          <a:extLst>
            <a:ext uri="{FF2B5EF4-FFF2-40B4-BE49-F238E27FC236}">
              <a16:creationId xmlns:a16="http://schemas.microsoft.com/office/drawing/2014/main" id="{D2709BB6-DC25-4ABA-9830-E7383ED280B2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41" name="Line 518">
          <a:extLst>
            <a:ext uri="{FF2B5EF4-FFF2-40B4-BE49-F238E27FC236}">
              <a16:creationId xmlns:a16="http://schemas.microsoft.com/office/drawing/2014/main" id="{ABA0C1E3-607A-492A-982D-E7CAAFCA1A9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42" name="Line 519">
          <a:extLst>
            <a:ext uri="{FF2B5EF4-FFF2-40B4-BE49-F238E27FC236}">
              <a16:creationId xmlns:a16="http://schemas.microsoft.com/office/drawing/2014/main" id="{21F74449-539B-4092-B376-639475B70E5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43" name="Line 520">
          <a:extLst>
            <a:ext uri="{FF2B5EF4-FFF2-40B4-BE49-F238E27FC236}">
              <a16:creationId xmlns:a16="http://schemas.microsoft.com/office/drawing/2014/main" id="{6AB40E2F-F577-4FD5-8D76-0B87C97E1E9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44" name="Line 521">
          <a:extLst>
            <a:ext uri="{FF2B5EF4-FFF2-40B4-BE49-F238E27FC236}">
              <a16:creationId xmlns:a16="http://schemas.microsoft.com/office/drawing/2014/main" id="{56CCF194-1CB0-44F2-93F2-9CFAFB15FE2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45" name="Line 522">
          <a:extLst>
            <a:ext uri="{FF2B5EF4-FFF2-40B4-BE49-F238E27FC236}">
              <a16:creationId xmlns:a16="http://schemas.microsoft.com/office/drawing/2014/main" id="{E0910120-E376-4CFB-9FF8-A2E5822EC51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46" name="Line 523">
          <a:extLst>
            <a:ext uri="{FF2B5EF4-FFF2-40B4-BE49-F238E27FC236}">
              <a16:creationId xmlns:a16="http://schemas.microsoft.com/office/drawing/2014/main" id="{A2CF76C8-3540-4633-AF22-88057DFF9DA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47" name="Line 524">
          <a:extLst>
            <a:ext uri="{FF2B5EF4-FFF2-40B4-BE49-F238E27FC236}">
              <a16:creationId xmlns:a16="http://schemas.microsoft.com/office/drawing/2014/main" id="{8BB922B6-2BA4-4659-9833-9C6B31E5221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48" name="Line 525">
          <a:extLst>
            <a:ext uri="{FF2B5EF4-FFF2-40B4-BE49-F238E27FC236}">
              <a16:creationId xmlns:a16="http://schemas.microsoft.com/office/drawing/2014/main" id="{DF1E1DA7-CCDB-4F41-81F3-1920FC7C885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49" name="Line 526">
          <a:extLst>
            <a:ext uri="{FF2B5EF4-FFF2-40B4-BE49-F238E27FC236}">
              <a16:creationId xmlns:a16="http://schemas.microsoft.com/office/drawing/2014/main" id="{A7D2BB12-3775-4B39-872D-589E01F0D35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50" name="Line 527">
          <a:extLst>
            <a:ext uri="{FF2B5EF4-FFF2-40B4-BE49-F238E27FC236}">
              <a16:creationId xmlns:a16="http://schemas.microsoft.com/office/drawing/2014/main" id="{3BBC2923-5833-4803-BE48-87F9672C01C3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1" name="Line 528">
          <a:extLst>
            <a:ext uri="{FF2B5EF4-FFF2-40B4-BE49-F238E27FC236}">
              <a16:creationId xmlns:a16="http://schemas.microsoft.com/office/drawing/2014/main" id="{422C2841-A8B1-4A9D-A085-B261518872C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52" name="Line 529">
          <a:extLst>
            <a:ext uri="{FF2B5EF4-FFF2-40B4-BE49-F238E27FC236}">
              <a16:creationId xmlns:a16="http://schemas.microsoft.com/office/drawing/2014/main" id="{6DFF60B9-1890-418D-9A84-EC576F8EB26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3" name="Line 530">
          <a:extLst>
            <a:ext uri="{FF2B5EF4-FFF2-40B4-BE49-F238E27FC236}">
              <a16:creationId xmlns:a16="http://schemas.microsoft.com/office/drawing/2014/main" id="{7BA2D594-51E1-461A-803C-0D8BE1970FF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4" name="Line 531">
          <a:extLst>
            <a:ext uri="{FF2B5EF4-FFF2-40B4-BE49-F238E27FC236}">
              <a16:creationId xmlns:a16="http://schemas.microsoft.com/office/drawing/2014/main" id="{21BCFF58-5DCF-41CC-8793-B60A3D1815F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5" name="Line 532">
          <a:extLst>
            <a:ext uri="{FF2B5EF4-FFF2-40B4-BE49-F238E27FC236}">
              <a16:creationId xmlns:a16="http://schemas.microsoft.com/office/drawing/2014/main" id="{B859D711-62B6-430A-B95C-909E5846310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6" name="Line 533">
          <a:extLst>
            <a:ext uri="{FF2B5EF4-FFF2-40B4-BE49-F238E27FC236}">
              <a16:creationId xmlns:a16="http://schemas.microsoft.com/office/drawing/2014/main" id="{8A843A9C-93CB-43D4-888C-76757496380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57" name="Line 534">
          <a:extLst>
            <a:ext uri="{FF2B5EF4-FFF2-40B4-BE49-F238E27FC236}">
              <a16:creationId xmlns:a16="http://schemas.microsoft.com/office/drawing/2014/main" id="{946CA83A-3C9C-4304-9F44-D77695C78A2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8" name="Line 535">
          <a:extLst>
            <a:ext uri="{FF2B5EF4-FFF2-40B4-BE49-F238E27FC236}">
              <a16:creationId xmlns:a16="http://schemas.microsoft.com/office/drawing/2014/main" id="{742A5CCB-4E69-45B2-BB9E-C7D21175170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59" name="Line 536">
          <a:extLst>
            <a:ext uri="{FF2B5EF4-FFF2-40B4-BE49-F238E27FC236}">
              <a16:creationId xmlns:a16="http://schemas.microsoft.com/office/drawing/2014/main" id="{141125AD-26E0-417F-A238-6568DA4411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0" name="Line 537">
          <a:extLst>
            <a:ext uri="{FF2B5EF4-FFF2-40B4-BE49-F238E27FC236}">
              <a16:creationId xmlns:a16="http://schemas.microsoft.com/office/drawing/2014/main" id="{FC6F21F3-5F99-4F5B-952E-37D0ED7012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61" name="Line 538">
          <a:extLst>
            <a:ext uri="{FF2B5EF4-FFF2-40B4-BE49-F238E27FC236}">
              <a16:creationId xmlns:a16="http://schemas.microsoft.com/office/drawing/2014/main" id="{B453EBEB-CBE9-4DEE-938C-850EE8144816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2" name="Line 539">
          <a:extLst>
            <a:ext uri="{FF2B5EF4-FFF2-40B4-BE49-F238E27FC236}">
              <a16:creationId xmlns:a16="http://schemas.microsoft.com/office/drawing/2014/main" id="{1082733B-9CDB-4DD1-BE4F-99F2689C326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63" name="Line 540">
          <a:extLst>
            <a:ext uri="{FF2B5EF4-FFF2-40B4-BE49-F238E27FC236}">
              <a16:creationId xmlns:a16="http://schemas.microsoft.com/office/drawing/2014/main" id="{740BAE63-2CA3-4BAB-8A55-99FC66EF870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4" name="Line 541">
          <a:extLst>
            <a:ext uri="{FF2B5EF4-FFF2-40B4-BE49-F238E27FC236}">
              <a16:creationId xmlns:a16="http://schemas.microsoft.com/office/drawing/2014/main" id="{4D905768-82D6-4125-911D-C75942A55AB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5" name="Line 542">
          <a:extLst>
            <a:ext uri="{FF2B5EF4-FFF2-40B4-BE49-F238E27FC236}">
              <a16:creationId xmlns:a16="http://schemas.microsoft.com/office/drawing/2014/main" id="{FEFFFD26-4C77-4409-870A-1CFB9491D51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6" name="Line 543">
          <a:extLst>
            <a:ext uri="{FF2B5EF4-FFF2-40B4-BE49-F238E27FC236}">
              <a16:creationId xmlns:a16="http://schemas.microsoft.com/office/drawing/2014/main" id="{14C8DF37-1217-4E44-86A6-3896EB4A80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67" name="Line 544">
          <a:extLst>
            <a:ext uri="{FF2B5EF4-FFF2-40B4-BE49-F238E27FC236}">
              <a16:creationId xmlns:a16="http://schemas.microsoft.com/office/drawing/2014/main" id="{D200C560-F6EC-400E-82EA-79F52EBECE9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68" name="Line 545">
          <a:extLst>
            <a:ext uri="{FF2B5EF4-FFF2-40B4-BE49-F238E27FC236}">
              <a16:creationId xmlns:a16="http://schemas.microsoft.com/office/drawing/2014/main" id="{E09DF543-97D6-4B00-89DA-4590092F5AA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69" name="Line 546">
          <a:extLst>
            <a:ext uri="{FF2B5EF4-FFF2-40B4-BE49-F238E27FC236}">
              <a16:creationId xmlns:a16="http://schemas.microsoft.com/office/drawing/2014/main" id="{A02EBF71-FCEC-47B1-AC4C-E62AC3F1387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0" name="Line 547">
          <a:extLst>
            <a:ext uri="{FF2B5EF4-FFF2-40B4-BE49-F238E27FC236}">
              <a16:creationId xmlns:a16="http://schemas.microsoft.com/office/drawing/2014/main" id="{0DAC4F9D-682E-4BF2-A77F-2BB9A76F8EE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71" name="Line 548">
          <a:extLst>
            <a:ext uri="{FF2B5EF4-FFF2-40B4-BE49-F238E27FC236}">
              <a16:creationId xmlns:a16="http://schemas.microsoft.com/office/drawing/2014/main" id="{E55DB9D1-B508-48A3-8EEF-F0209897DF1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472" name="Line 549">
          <a:extLst>
            <a:ext uri="{FF2B5EF4-FFF2-40B4-BE49-F238E27FC236}">
              <a16:creationId xmlns:a16="http://schemas.microsoft.com/office/drawing/2014/main" id="{71E4AACF-EE38-4900-A98A-1CE01B49AFC6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3" name="Line 550">
          <a:extLst>
            <a:ext uri="{FF2B5EF4-FFF2-40B4-BE49-F238E27FC236}">
              <a16:creationId xmlns:a16="http://schemas.microsoft.com/office/drawing/2014/main" id="{1EF2A6BC-0782-429E-95F6-07E9C08422C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4" name="Line 551">
          <a:extLst>
            <a:ext uri="{FF2B5EF4-FFF2-40B4-BE49-F238E27FC236}">
              <a16:creationId xmlns:a16="http://schemas.microsoft.com/office/drawing/2014/main" id="{72B2F9AB-BE70-4198-8067-A3314CA2161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5" name="Line 552">
          <a:extLst>
            <a:ext uri="{FF2B5EF4-FFF2-40B4-BE49-F238E27FC236}">
              <a16:creationId xmlns:a16="http://schemas.microsoft.com/office/drawing/2014/main" id="{E1EF578F-E004-4926-A705-16A5DA41578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6" name="Line 553">
          <a:extLst>
            <a:ext uri="{FF2B5EF4-FFF2-40B4-BE49-F238E27FC236}">
              <a16:creationId xmlns:a16="http://schemas.microsoft.com/office/drawing/2014/main" id="{002569FB-0E8E-45BA-B750-05D017BD270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77" name="Line 554">
          <a:extLst>
            <a:ext uri="{FF2B5EF4-FFF2-40B4-BE49-F238E27FC236}">
              <a16:creationId xmlns:a16="http://schemas.microsoft.com/office/drawing/2014/main" id="{0373A38D-9FA0-48BA-8F46-BEA90E21D7B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78" name="Line 555">
          <a:extLst>
            <a:ext uri="{FF2B5EF4-FFF2-40B4-BE49-F238E27FC236}">
              <a16:creationId xmlns:a16="http://schemas.microsoft.com/office/drawing/2014/main" id="{CF89DAEF-0038-4D8F-94AA-2837D9E3002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79" name="Line 556">
          <a:extLst>
            <a:ext uri="{FF2B5EF4-FFF2-40B4-BE49-F238E27FC236}">
              <a16:creationId xmlns:a16="http://schemas.microsoft.com/office/drawing/2014/main" id="{9654BA2A-8EEE-4B95-84DB-3D9070F764D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0" name="Line 557">
          <a:extLst>
            <a:ext uri="{FF2B5EF4-FFF2-40B4-BE49-F238E27FC236}">
              <a16:creationId xmlns:a16="http://schemas.microsoft.com/office/drawing/2014/main" id="{75739CB6-4BD1-4063-BB74-926CD713033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1" name="Line 558">
          <a:extLst>
            <a:ext uri="{FF2B5EF4-FFF2-40B4-BE49-F238E27FC236}">
              <a16:creationId xmlns:a16="http://schemas.microsoft.com/office/drawing/2014/main" id="{66E03DA0-7003-4281-BD6D-B9E094D9884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482" name="Line 559">
          <a:extLst>
            <a:ext uri="{FF2B5EF4-FFF2-40B4-BE49-F238E27FC236}">
              <a16:creationId xmlns:a16="http://schemas.microsoft.com/office/drawing/2014/main" id="{37D63248-B909-4906-AF5C-14056EEE5FC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3" name="Line 560">
          <a:extLst>
            <a:ext uri="{FF2B5EF4-FFF2-40B4-BE49-F238E27FC236}">
              <a16:creationId xmlns:a16="http://schemas.microsoft.com/office/drawing/2014/main" id="{8F8884AB-F315-4B64-90DA-8EE170B5BB7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84" name="Line 561">
          <a:extLst>
            <a:ext uri="{FF2B5EF4-FFF2-40B4-BE49-F238E27FC236}">
              <a16:creationId xmlns:a16="http://schemas.microsoft.com/office/drawing/2014/main" id="{7561835E-5B7B-4DF9-94BD-B8CAA2F0395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5" name="Line 562">
          <a:extLst>
            <a:ext uri="{FF2B5EF4-FFF2-40B4-BE49-F238E27FC236}">
              <a16:creationId xmlns:a16="http://schemas.microsoft.com/office/drawing/2014/main" id="{85FF3328-8122-444D-A391-3A7311F0A58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6" name="Line 563">
          <a:extLst>
            <a:ext uri="{FF2B5EF4-FFF2-40B4-BE49-F238E27FC236}">
              <a16:creationId xmlns:a16="http://schemas.microsoft.com/office/drawing/2014/main" id="{6DFB602A-6E78-4033-B88E-D1A5544C6F1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7" name="Line 564">
          <a:extLst>
            <a:ext uri="{FF2B5EF4-FFF2-40B4-BE49-F238E27FC236}">
              <a16:creationId xmlns:a16="http://schemas.microsoft.com/office/drawing/2014/main" id="{BCF463DD-259F-42B5-AEAE-5067A29604B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88" name="Line 565">
          <a:extLst>
            <a:ext uri="{FF2B5EF4-FFF2-40B4-BE49-F238E27FC236}">
              <a16:creationId xmlns:a16="http://schemas.microsoft.com/office/drawing/2014/main" id="{62357BFB-82C6-4DAD-B059-E204C0BE2C6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89" name="Line 566">
          <a:extLst>
            <a:ext uri="{FF2B5EF4-FFF2-40B4-BE49-F238E27FC236}">
              <a16:creationId xmlns:a16="http://schemas.microsoft.com/office/drawing/2014/main" id="{DA4D4ECD-C42E-4910-A821-9E542F33F06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490" name="Line 567">
          <a:extLst>
            <a:ext uri="{FF2B5EF4-FFF2-40B4-BE49-F238E27FC236}">
              <a16:creationId xmlns:a16="http://schemas.microsoft.com/office/drawing/2014/main" id="{A6B68DB6-E86A-4DF4-852A-D15498E980E7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91" name="Line 568">
          <a:extLst>
            <a:ext uri="{FF2B5EF4-FFF2-40B4-BE49-F238E27FC236}">
              <a16:creationId xmlns:a16="http://schemas.microsoft.com/office/drawing/2014/main" id="{1B94F736-A74D-442F-90DB-F242A62C86D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92" name="Line 569">
          <a:extLst>
            <a:ext uri="{FF2B5EF4-FFF2-40B4-BE49-F238E27FC236}">
              <a16:creationId xmlns:a16="http://schemas.microsoft.com/office/drawing/2014/main" id="{CF8E4796-4867-436F-8A00-D8073F0E4C3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93" name="Line 570">
          <a:extLst>
            <a:ext uri="{FF2B5EF4-FFF2-40B4-BE49-F238E27FC236}">
              <a16:creationId xmlns:a16="http://schemas.microsoft.com/office/drawing/2014/main" id="{FCDAB238-59A4-4898-A046-AF8AF852F29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94" name="Line 571">
          <a:extLst>
            <a:ext uri="{FF2B5EF4-FFF2-40B4-BE49-F238E27FC236}">
              <a16:creationId xmlns:a16="http://schemas.microsoft.com/office/drawing/2014/main" id="{3B0F268E-A390-458A-9E84-6177D98E407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495" name="Line 572">
          <a:extLst>
            <a:ext uri="{FF2B5EF4-FFF2-40B4-BE49-F238E27FC236}">
              <a16:creationId xmlns:a16="http://schemas.microsoft.com/office/drawing/2014/main" id="{73554D7A-4D8E-41B4-9411-EE192BB52AD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96" name="Line 573">
          <a:extLst>
            <a:ext uri="{FF2B5EF4-FFF2-40B4-BE49-F238E27FC236}">
              <a16:creationId xmlns:a16="http://schemas.microsoft.com/office/drawing/2014/main" id="{65B79502-A713-4248-8AC0-4AAB23E637A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97" name="Line 574">
          <a:extLst>
            <a:ext uri="{FF2B5EF4-FFF2-40B4-BE49-F238E27FC236}">
              <a16:creationId xmlns:a16="http://schemas.microsoft.com/office/drawing/2014/main" id="{8D840B98-54E0-430B-AA59-5E0963AC911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98" name="Line 575">
          <a:extLst>
            <a:ext uri="{FF2B5EF4-FFF2-40B4-BE49-F238E27FC236}">
              <a16:creationId xmlns:a16="http://schemas.microsoft.com/office/drawing/2014/main" id="{122E4838-F8B9-4D5D-AEB2-EE6C7571A13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499" name="Line 576">
          <a:extLst>
            <a:ext uri="{FF2B5EF4-FFF2-40B4-BE49-F238E27FC236}">
              <a16:creationId xmlns:a16="http://schemas.microsoft.com/office/drawing/2014/main" id="{744C42B1-F6AB-4770-9358-014FE8BD553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00" name="Line 577">
          <a:extLst>
            <a:ext uri="{FF2B5EF4-FFF2-40B4-BE49-F238E27FC236}">
              <a16:creationId xmlns:a16="http://schemas.microsoft.com/office/drawing/2014/main" id="{2654ECFE-8432-4A65-98B2-14AA0AB8005A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1" name="Line 578">
          <a:extLst>
            <a:ext uri="{FF2B5EF4-FFF2-40B4-BE49-F238E27FC236}">
              <a16:creationId xmlns:a16="http://schemas.microsoft.com/office/drawing/2014/main" id="{F84AC714-AC84-4517-8079-65021209B20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02" name="Line 579">
          <a:extLst>
            <a:ext uri="{FF2B5EF4-FFF2-40B4-BE49-F238E27FC236}">
              <a16:creationId xmlns:a16="http://schemas.microsoft.com/office/drawing/2014/main" id="{12D34076-ADEF-40EB-B309-C43CF73FFD3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3" name="Line 580">
          <a:extLst>
            <a:ext uri="{FF2B5EF4-FFF2-40B4-BE49-F238E27FC236}">
              <a16:creationId xmlns:a16="http://schemas.microsoft.com/office/drawing/2014/main" id="{C7573109-E380-4944-A6B4-A50883CDE71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4" name="Line 581">
          <a:extLst>
            <a:ext uri="{FF2B5EF4-FFF2-40B4-BE49-F238E27FC236}">
              <a16:creationId xmlns:a16="http://schemas.microsoft.com/office/drawing/2014/main" id="{4D3917E8-BD02-4E16-B8CC-EF9DD5964EE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5" name="Line 582">
          <a:extLst>
            <a:ext uri="{FF2B5EF4-FFF2-40B4-BE49-F238E27FC236}">
              <a16:creationId xmlns:a16="http://schemas.microsoft.com/office/drawing/2014/main" id="{C78DA3E6-3A73-49C1-994D-14C10413B65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6" name="Line 583">
          <a:extLst>
            <a:ext uri="{FF2B5EF4-FFF2-40B4-BE49-F238E27FC236}">
              <a16:creationId xmlns:a16="http://schemas.microsoft.com/office/drawing/2014/main" id="{0273E9F4-B669-49A5-8FEA-A9302E5815F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07" name="Line 584">
          <a:extLst>
            <a:ext uri="{FF2B5EF4-FFF2-40B4-BE49-F238E27FC236}">
              <a16:creationId xmlns:a16="http://schemas.microsoft.com/office/drawing/2014/main" id="{8AA929A3-989E-4F58-AF5A-90D5EE1EDCA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8" name="Line 585">
          <a:extLst>
            <a:ext uri="{FF2B5EF4-FFF2-40B4-BE49-F238E27FC236}">
              <a16:creationId xmlns:a16="http://schemas.microsoft.com/office/drawing/2014/main" id="{E5B0E07B-F2D5-492A-8BDA-F24CC7F4F3E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09" name="Line 586">
          <a:extLst>
            <a:ext uri="{FF2B5EF4-FFF2-40B4-BE49-F238E27FC236}">
              <a16:creationId xmlns:a16="http://schemas.microsoft.com/office/drawing/2014/main" id="{51349765-2E3E-461F-A504-7C2373357B2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0" name="Line 587">
          <a:extLst>
            <a:ext uri="{FF2B5EF4-FFF2-40B4-BE49-F238E27FC236}">
              <a16:creationId xmlns:a16="http://schemas.microsoft.com/office/drawing/2014/main" id="{F4CFCB68-CEA4-4388-BF78-EBE1075CB37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11" name="Line 588">
          <a:extLst>
            <a:ext uri="{FF2B5EF4-FFF2-40B4-BE49-F238E27FC236}">
              <a16:creationId xmlns:a16="http://schemas.microsoft.com/office/drawing/2014/main" id="{C48F03CE-AAAC-4AE1-8A0B-553BEEE97508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2" name="Line 589">
          <a:extLst>
            <a:ext uri="{FF2B5EF4-FFF2-40B4-BE49-F238E27FC236}">
              <a16:creationId xmlns:a16="http://schemas.microsoft.com/office/drawing/2014/main" id="{87316E35-A769-4B33-B128-5E32F2A7223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13" name="Line 590">
          <a:extLst>
            <a:ext uri="{FF2B5EF4-FFF2-40B4-BE49-F238E27FC236}">
              <a16:creationId xmlns:a16="http://schemas.microsoft.com/office/drawing/2014/main" id="{E430C263-9229-4A5C-B732-7F29ECEA2B9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4" name="Line 591">
          <a:extLst>
            <a:ext uri="{FF2B5EF4-FFF2-40B4-BE49-F238E27FC236}">
              <a16:creationId xmlns:a16="http://schemas.microsoft.com/office/drawing/2014/main" id="{4372A3DF-0272-4BCA-9571-18968BDD0C6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5" name="Line 592">
          <a:extLst>
            <a:ext uri="{FF2B5EF4-FFF2-40B4-BE49-F238E27FC236}">
              <a16:creationId xmlns:a16="http://schemas.microsoft.com/office/drawing/2014/main" id="{82DC25D5-5307-4DBC-BE86-CA868B7477B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6" name="Line 593">
          <a:extLst>
            <a:ext uri="{FF2B5EF4-FFF2-40B4-BE49-F238E27FC236}">
              <a16:creationId xmlns:a16="http://schemas.microsoft.com/office/drawing/2014/main" id="{73CC00DA-49C0-488F-B281-2AD340F1989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17" name="Line 594">
          <a:extLst>
            <a:ext uri="{FF2B5EF4-FFF2-40B4-BE49-F238E27FC236}">
              <a16:creationId xmlns:a16="http://schemas.microsoft.com/office/drawing/2014/main" id="{00F38749-0E37-4BF2-AA78-D7A16E1FA26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18" name="Line 595">
          <a:extLst>
            <a:ext uri="{FF2B5EF4-FFF2-40B4-BE49-F238E27FC236}">
              <a16:creationId xmlns:a16="http://schemas.microsoft.com/office/drawing/2014/main" id="{362E4820-E7B7-438E-8BDC-525DF2ED30E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19" name="Line 596">
          <a:extLst>
            <a:ext uri="{FF2B5EF4-FFF2-40B4-BE49-F238E27FC236}">
              <a16:creationId xmlns:a16="http://schemas.microsoft.com/office/drawing/2014/main" id="{CC8A113D-AF55-4A45-AF7B-713D27DA228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0" name="Line 597">
          <a:extLst>
            <a:ext uri="{FF2B5EF4-FFF2-40B4-BE49-F238E27FC236}">
              <a16:creationId xmlns:a16="http://schemas.microsoft.com/office/drawing/2014/main" id="{AAE925ED-8A57-411E-B731-308305C50A2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21" name="Line 598">
          <a:extLst>
            <a:ext uri="{FF2B5EF4-FFF2-40B4-BE49-F238E27FC236}">
              <a16:creationId xmlns:a16="http://schemas.microsoft.com/office/drawing/2014/main" id="{859167C7-B7EF-4CE0-9B8D-D605913CF7D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522" name="Line 599">
          <a:extLst>
            <a:ext uri="{FF2B5EF4-FFF2-40B4-BE49-F238E27FC236}">
              <a16:creationId xmlns:a16="http://schemas.microsoft.com/office/drawing/2014/main" id="{C6BAA462-4D77-4EC9-845A-88F3D0E0FE55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3" name="Line 600">
          <a:extLst>
            <a:ext uri="{FF2B5EF4-FFF2-40B4-BE49-F238E27FC236}">
              <a16:creationId xmlns:a16="http://schemas.microsoft.com/office/drawing/2014/main" id="{034E27B0-00EE-4446-8FDD-9922E37D3DF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4" name="Line 601">
          <a:extLst>
            <a:ext uri="{FF2B5EF4-FFF2-40B4-BE49-F238E27FC236}">
              <a16:creationId xmlns:a16="http://schemas.microsoft.com/office/drawing/2014/main" id="{28FED194-BCFF-44B7-9D8A-F925A3FCFC8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5" name="Line 602">
          <a:extLst>
            <a:ext uri="{FF2B5EF4-FFF2-40B4-BE49-F238E27FC236}">
              <a16:creationId xmlns:a16="http://schemas.microsoft.com/office/drawing/2014/main" id="{5687004A-43E0-4060-925A-1B486A63383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6" name="Line 603">
          <a:extLst>
            <a:ext uri="{FF2B5EF4-FFF2-40B4-BE49-F238E27FC236}">
              <a16:creationId xmlns:a16="http://schemas.microsoft.com/office/drawing/2014/main" id="{5907DCF9-C668-4FF0-871D-F3448056F63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27" name="Line 604">
          <a:extLst>
            <a:ext uri="{FF2B5EF4-FFF2-40B4-BE49-F238E27FC236}">
              <a16:creationId xmlns:a16="http://schemas.microsoft.com/office/drawing/2014/main" id="{47CBCAAB-102C-492C-B88A-8D8BCEA9456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28" name="Line 605">
          <a:extLst>
            <a:ext uri="{FF2B5EF4-FFF2-40B4-BE49-F238E27FC236}">
              <a16:creationId xmlns:a16="http://schemas.microsoft.com/office/drawing/2014/main" id="{2B9A5B08-2553-4F50-B948-EB0C873C42A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29" name="Line 606">
          <a:extLst>
            <a:ext uri="{FF2B5EF4-FFF2-40B4-BE49-F238E27FC236}">
              <a16:creationId xmlns:a16="http://schemas.microsoft.com/office/drawing/2014/main" id="{A225F1E4-BD1A-428A-A949-83194EEF942B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0" name="Line 607">
          <a:extLst>
            <a:ext uri="{FF2B5EF4-FFF2-40B4-BE49-F238E27FC236}">
              <a16:creationId xmlns:a16="http://schemas.microsoft.com/office/drawing/2014/main" id="{F90691D3-42F9-44A4-98EC-0C4C9581ABA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1" name="Line 608">
          <a:extLst>
            <a:ext uri="{FF2B5EF4-FFF2-40B4-BE49-F238E27FC236}">
              <a16:creationId xmlns:a16="http://schemas.microsoft.com/office/drawing/2014/main" id="{6B4DFFB1-5244-4A67-AB0D-08A0880525B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32" name="Line 609">
          <a:extLst>
            <a:ext uri="{FF2B5EF4-FFF2-40B4-BE49-F238E27FC236}">
              <a16:creationId xmlns:a16="http://schemas.microsoft.com/office/drawing/2014/main" id="{0F0A7E15-0A79-480D-81C2-3847A7555ED9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3" name="Line 610">
          <a:extLst>
            <a:ext uri="{FF2B5EF4-FFF2-40B4-BE49-F238E27FC236}">
              <a16:creationId xmlns:a16="http://schemas.microsoft.com/office/drawing/2014/main" id="{EC0D1CFA-3DE3-4AF5-99BA-AC67D3F5EF3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34" name="Line 611">
          <a:extLst>
            <a:ext uri="{FF2B5EF4-FFF2-40B4-BE49-F238E27FC236}">
              <a16:creationId xmlns:a16="http://schemas.microsoft.com/office/drawing/2014/main" id="{A91BCDBA-052F-402D-A557-B4D81ACC769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5" name="Line 612">
          <a:extLst>
            <a:ext uri="{FF2B5EF4-FFF2-40B4-BE49-F238E27FC236}">
              <a16:creationId xmlns:a16="http://schemas.microsoft.com/office/drawing/2014/main" id="{FF647B68-FBFA-4730-9B3F-E45B4C12B69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6" name="Line 613">
          <a:extLst>
            <a:ext uri="{FF2B5EF4-FFF2-40B4-BE49-F238E27FC236}">
              <a16:creationId xmlns:a16="http://schemas.microsoft.com/office/drawing/2014/main" id="{22D9EF2E-45A7-4EB1-82CE-43AFBB422B7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7" name="Line 614">
          <a:extLst>
            <a:ext uri="{FF2B5EF4-FFF2-40B4-BE49-F238E27FC236}">
              <a16:creationId xmlns:a16="http://schemas.microsoft.com/office/drawing/2014/main" id="{5D90BE86-9229-4EEB-86C2-9CD8899E738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38" name="Line 615">
          <a:extLst>
            <a:ext uri="{FF2B5EF4-FFF2-40B4-BE49-F238E27FC236}">
              <a16:creationId xmlns:a16="http://schemas.microsoft.com/office/drawing/2014/main" id="{6F0F9052-A4A0-4E2A-916F-38D307CC00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39" name="Line 616">
          <a:extLst>
            <a:ext uri="{FF2B5EF4-FFF2-40B4-BE49-F238E27FC236}">
              <a16:creationId xmlns:a16="http://schemas.microsoft.com/office/drawing/2014/main" id="{3D6E2314-CA2A-4DA0-BFAD-3C561A2EFAD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540" name="Line 617">
          <a:extLst>
            <a:ext uri="{FF2B5EF4-FFF2-40B4-BE49-F238E27FC236}">
              <a16:creationId xmlns:a16="http://schemas.microsoft.com/office/drawing/2014/main" id="{828274F8-C4BB-42E7-8D0E-474A75986F5E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41" name="Line 618">
          <a:extLst>
            <a:ext uri="{FF2B5EF4-FFF2-40B4-BE49-F238E27FC236}">
              <a16:creationId xmlns:a16="http://schemas.microsoft.com/office/drawing/2014/main" id="{1BD19119-E02B-4A78-8A92-2E526AA5144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42" name="Line 619">
          <a:extLst>
            <a:ext uri="{FF2B5EF4-FFF2-40B4-BE49-F238E27FC236}">
              <a16:creationId xmlns:a16="http://schemas.microsoft.com/office/drawing/2014/main" id="{37B07715-C458-4319-9F22-C3C14D2DE30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43" name="Line 620">
          <a:extLst>
            <a:ext uri="{FF2B5EF4-FFF2-40B4-BE49-F238E27FC236}">
              <a16:creationId xmlns:a16="http://schemas.microsoft.com/office/drawing/2014/main" id="{5F2C3A3B-9F07-41A8-8F35-ACD16955B6FE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44" name="Line 621">
          <a:extLst>
            <a:ext uri="{FF2B5EF4-FFF2-40B4-BE49-F238E27FC236}">
              <a16:creationId xmlns:a16="http://schemas.microsoft.com/office/drawing/2014/main" id="{51832F2B-9ADC-4062-AEF3-B000243E495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45" name="Line 622">
          <a:extLst>
            <a:ext uri="{FF2B5EF4-FFF2-40B4-BE49-F238E27FC236}">
              <a16:creationId xmlns:a16="http://schemas.microsoft.com/office/drawing/2014/main" id="{AE39F913-0F2E-47E3-8C4E-B22389303B0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46" name="Line 623">
          <a:extLst>
            <a:ext uri="{FF2B5EF4-FFF2-40B4-BE49-F238E27FC236}">
              <a16:creationId xmlns:a16="http://schemas.microsoft.com/office/drawing/2014/main" id="{A08BBC49-BFEC-4EA8-8DF8-6A4008869AD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47" name="Line 624">
          <a:extLst>
            <a:ext uri="{FF2B5EF4-FFF2-40B4-BE49-F238E27FC236}">
              <a16:creationId xmlns:a16="http://schemas.microsoft.com/office/drawing/2014/main" id="{37CA9172-D8EB-42BD-ACB2-B66D77DB59C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48" name="Line 625">
          <a:extLst>
            <a:ext uri="{FF2B5EF4-FFF2-40B4-BE49-F238E27FC236}">
              <a16:creationId xmlns:a16="http://schemas.microsoft.com/office/drawing/2014/main" id="{ED180350-CC18-4584-A654-758BDC652D5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49" name="Line 626">
          <a:extLst>
            <a:ext uri="{FF2B5EF4-FFF2-40B4-BE49-F238E27FC236}">
              <a16:creationId xmlns:a16="http://schemas.microsoft.com/office/drawing/2014/main" id="{DDCFAA9C-E048-43C2-B51C-33AADAEA062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50" name="Line 627">
          <a:extLst>
            <a:ext uri="{FF2B5EF4-FFF2-40B4-BE49-F238E27FC236}">
              <a16:creationId xmlns:a16="http://schemas.microsoft.com/office/drawing/2014/main" id="{1195B350-B9D5-4AAE-9BF2-641FF9479513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1" name="Line 628">
          <a:extLst>
            <a:ext uri="{FF2B5EF4-FFF2-40B4-BE49-F238E27FC236}">
              <a16:creationId xmlns:a16="http://schemas.microsoft.com/office/drawing/2014/main" id="{3096A8EB-5AD6-48AE-86E2-222ADE13575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52" name="Line 629">
          <a:extLst>
            <a:ext uri="{FF2B5EF4-FFF2-40B4-BE49-F238E27FC236}">
              <a16:creationId xmlns:a16="http://schemas.microsoft.com/office/drawing/2014/main" id="{C59E9F24-EA78-4BC4-885F-E721290641C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3" name="Line 630">
          <a:extLst>
            <a:ext uri="{FF2B5EF4-FFF2-40B4-BE49-F238E27FC236}">
              <a16:creationId xmlns:a16="http://schemas.microsoft.com/office/drawing/2014/main" id="{14AAEB68-1382-46BC-8BBB-2BD3E0901D9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4" name="Line 631">
          <a:extLst>
            <a:ext uri="{FF2B5EF4-FFF2-40B4-BE49-F238E27FC236}">
              <a16:creationId xmlns:a16="http://schemas.microsoft.com/office/drawing/2014/main" id="{5F0F11C1-E9B5-4C99-9523-642851D1DF2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5" name="Line 632">
          <a:extLst>
            <a:ext uri="{FF2B5EF4-FFF2-40B4-BE49-F238E27FC236}">
              <a16:creationId xmlns:a16="http://schemas.microsoft.com/office/drawing/2014/main" id="{FED97F38-9DE2-4B64-B66D-2DB3AB36F65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6" name="Line 633">
          <a:extLst>
            <a:ext uri="{FF2B5EF4-FFF2-40B4-BE49-F238E27FC236}">
              <a16:creationId xmlns:a16="http://schemas.microsoft.com/office/drawing/2014/main" id="{D81E140A-951B-4377-8814-D18E21C9E17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57" name="Line 634">
          <a:extLst>
            <a:ext uri="{FF2B5EF4-FFF2-40B4-BE49-F238E27FC236}">
              <a16:creationId xmlns:a16="http://schemas.microsoft.com/office/drawing/2014/main" id="{4BA61FE0-6358-4082-810D-38D4E260F0D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8" name="Line 635">
          <a:extLst>
            <a:ext uri="{FF2B5EF4-FFF2-40B4-BE49-F238E27FC236}">
              <a16:creationId xmlns:a16="http://schemas.microsoft.com/office/drawing/2014/main" id="{823A9388-ECD0-4B81-A57A-0EE4739605E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59" name="Line 636">
          <a:extLst>
            <a:ext uri="{FF2B5EF4-FFF2-40B4-BE49-F238E27FC236}">
              <a16:creationId xmlns:a16="http://schemas.microsoft.com/office/drawing/2014/main" id="{181AA6EE-E8F9-4FFD-A0E9-1434A304B72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0" name="Line 637">
          <a:extLst>
            <a:ext uri="{FF2B5EF4-FFF2-40B4-BE49-F238E27FC236}">
              <a16:creationId xmlns:a16="http://schemas.microsoft.com/office/drawing/2014/main" id="{EADB4FC5-FFD0-4565-BCC6-2B1E3480154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61" name="Line 638">
          <a:extLst>
            <a:ext uri="{FF2B5EF4-FFF2-40B4-BE49-F238E27FC236}">
              <a16:creationId xmlns:a16="http://schemas.microsoft.com/office/drawing/2014/main" id="{4BB0389C-E68A-49B5-B599-918C813D0BF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2" name="Line 639">
          <a:extLst>
            <a:ext uri="{FF2B5EF4-FFF2-40B4-BE49-F238E27FC236}">
              <a16:creationId xmlns:a16="http://schemas.microsoft.com/office/drawing/2014/main" id="{2749B3D3-B821-4A08-8656-2E6D3B81534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63" name="Line 640">
          <a:extLst>
            <a:ext uri="{FF2B5EF4-FFF2-40B4-BE49-F238E27FC236}">
              <a16:creationId xmlns:a16="http://schemas.microsoft.com/office/drawing/2014/main" id="{E972B31E-74C8-4E79-BCAB-8CE25395D9A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4" name="Line 641">
          <a:extLst>
            <a:ext uri="{FF2B5EF4-FFF2-40B4-BE49-F238E27FC236}">
              <a16:creationId xmlns:a16="http://schemas.microsoft.com/office/drawing/2014/main" id="{A8AA7418-BFA2-4C79-ACBE-CE0652A685A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5" name="Line 642">
          <a:extLst>
            <a:ext uri="{FF2B5EF4-FFF2-40B4-BE49-F238E27FC236}">
              <a16:creationId xmlns:a16="http://schemas.microsoft.com/office/drawing/2014/main" id="{821E196A-8653-4044-821F-2BF6A10C6D3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6" name="Line 643">
          <a:extLst>
            <a:ext uri="{FF2B5EF4-FFF2-40B4-BE49-F238E27FC236}">
              <a16:creationId xmlns:a16="http://schemas.microsoft.com/office/drawing/2014/main" id="{6A44186F-3A6E-41C8-A5D4-CE44665A654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67" name="Line 644">
          <a:extLst>
            <a:ext uri="{FF2B5EF4-FFF2-40B4-BE49-F238E27FC236}">
              <a16:creationId xmlns:a16="http://schemas.microsoft.com/office/drawing/2014/main" id="{1197EFDE-D884-4161-BDD9-58A773FE4B0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68" name="Line 645">
          <a:extLst>
            <a:ext uri="{FF2B5EF4-FFF2-40B4-BE49-F238E27FC236}">
              <a16:creationId xmlns:a16="http://schemas.microsoft.com/office/drawing/2014/main" id="{18769986-3EB9-4DA4-B170-005833213FD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69" name="Line 646">
          <a:extLst>
            <a:ext uri="{FF2B5EF4-FFF2-40B4-BE49-F238E27FC236}">
              <a16:creationId xmlns:a16="http://schemas.microsoft.com/office/drawing/2014/main" id="{866EF452-46B0-485A-8472-94720D54BA4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0" name="Line 647">
          <a:extLst>
            <a:ext uri="{FF2B5EF4-FFF2-40B4-BE49-F238E27FC236}">
              <a16:creationId xmlns:a16="http://schemas.microsoft.com/office/drawing/2014/main" id="{D3DC2913-390C-48EE-BD56-E80471B4857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71" name="Line 648">
          <a:extLst>
            <a:ext uri="{FF2B5EF4-FFF2-40B4-BE49-F238E27FC236}">
              <a16:creationId xmlns:a16="http://schemas.microsoft.com/office/drawing/2014/main" id="{5F4C80FE-9383-44E5-B8E3-50AD3A29CA8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572" name="Line 649">
          <a:extLst>
            <a:ext uri="{FF2B5EF4-FFF2-40B4-BE49-F238E27FC236}">
              <a16:creationId xmlns:a16="http://schemas.microsoft.com/office/drawing/2014/main" id="{A95CFABE-32EB-442B-A40C-AAEE4D3BA6A3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3" name="Line 650">
          <a:extLst>
            <a:ext uri="{FF2B5EF4-FFF2-40B4-BE49-F238E27FC236}">
              <a16:creationId xmlns:a16="http://schemas.microsoft.com/office/drawing/2014/main" id="{BACA66CE-1A3D-4292-A268-52A13804773C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4" name="Line 651">
          <a:extLst>
            <a:ext uri="{FF2B5EF4-FFF2-40B4-BE49-F238E27FC236}">
              <a16:creationId xmlns:a16="http://schemas.microsoft.com/office/drawing/2014/main" id="{BDB7B8D0-05E5-455C-9484-1618E35C448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5" name="Line 652">
          <a:extLst>
            <a:ext uri="{FF2B5EF4-FFF2-40B4-BE49-F238E27FC236}">
              <a16:creationId xmlns:a16="http://schemas.microsoft.com/office/drawing/2014/main" id="{E601D31F-C6EB-4C5E-A009-EF95E73A75F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6" name="Line 653">
          <a:extLst>
            <a:ext uri="{FF2B5EF4-FFF2-40B4-BE49-F238E27FC236}">
              <a16:creationId xmlns:a16="http://schemas.microsoft.com/office/drawing/2014/main" id="{CC458A48-6ABC-4047-96A1-F020A3E9626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77" name="Line 654">
          <a:extLst>
            <a:ext uri="{FF2B5EF4-FFF2-40B4-BE49-F238E27FC236}">
              <a16:creationId xmlns:a16="http://schemas.microsoft.com/office/drawing/2014/main" id="{FC9C0DE7-BC81-450D-8291-0880087C26B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78" name="Line 655">
          <a:extLst>
            <a:ext uri="{FF2B5EF4-FFF2-40B4-BE49-F238E27FC236}">
              <a16:creationId xmlns:a16="http://schemas.microsoft.com/office/drawing/2014/main" id="{5C21B79D-F843-44FD-ACAB-0DB5A595173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79" name="Line 656">
          <a:extLst>
            <a:ext uri="{FF2B5EF4-FFF2-40B4-BE49-F238E27FC236}">
              <a16:creationId xmlns:a16="http://schemas.microsoft.com/office/drawing/2014/main" id="{35CC76E7-90EE-4234-8D77-B30E792FFB0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0" name="Line 657">
          <a:extLst>
            <a:ext uri="{FF2B5EF4-FFF2-40B4-BE49-F238E27FC236}">
              <a16:creationId xmlns:a16="http://schemas.microsoft.com/office/drawing/2014/main" id="{41BD4E75-C533-429E-BD0A-1207846F6D4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1" name="Line 658">
          <a:extLst>
            <a:ext uri="{FF2B5EF4-FFF2-40B4-BE49-F238E27FC236}">
              <a16:creationId xmlns:a16="http://schemas.microsoft.com/office/drawing/2014/main" id="{DD39B60F-CCED-418F-BADF-543A41D2010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582" name="Line 659">
          <a:extLst>
            <a:ext uri="{FF2B5EF4-FFF2-40B4-BE49-F238E27FC236}">
              <a16:creationId xmlns:a16="http://schemas.microsoft.com/office/drawing/2014/main" id="{9AF716D8-ACE6-4DF3-AA33-485560061930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3" name="Line 660">
          <a:extLst>
            <a:ext uri="{FF2B5EF4-FFF2-40B4-BE49-F238E27FC236}">
              <a16:creationId xmlns:a16="http://schemas.microsoft.com/office/drawing/2014/main" id="{4AFFE48F-C04A-4261-B619-E7167BCE7C2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84" name="Line 661">
          <a:extLst>
            <a:ext uri="{FF2B5EF4-FFF2-40B4-BE49-F238E27FC236}">
              <a16:creationId xmlns:a16="http://schemas.microsoft.com/office/drawing/2014/main" id="{95335505-264A-45A6-84FF-D8CFF2E2BEB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5" name="Line 662">
          <a:extLst>
            <a:ext uri="{FF2B5EF4-FFF2-40B4-BE49-F238E27FC236}">
              <a16:creationId xmlns:a16="http://schemas.microsoft.com/office/drawing/2014/main" id="{9604D101-65CF-4A63-A080-B49C222F518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6" name="Line 663">
          <a:extLst>
            <a:ext uri="{FF2B5EF4-FFF2-40B4-BE49-F238E27FC236}">
              <a16:creationId xmlns:a16="http://schemas.microsoft.com/office/drawing/2014/main" id="{09946195-D8B9-4A17-B4FE-E5D924E7730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7" name="Line 664">
          <a:extLst>
            <a:ext uri="{FF2B5EF4-FFF2-40B4-BE49-F238E27FC236}">
              <a16:creationId xmlns:a16="http://schemas.microsoft.com/office/drawing/2014/main" id="{5EEED5CA-61C3-4834-A5A4-6C43059DE5D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88" name="Line 665">
          <a:extLst>
            <a:ext uri="{FF2B5EF4-FFF2-40B4-BE49-F238E27FC236}">
              <a16:creationId xmlns:a16="http://schemas.microsoft.com/office/drawing/2014/main" id="{F9A2AA45-9C86-4F76-A6CD-0AD30C7018D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89" name="Line 666">
          <a:extLst>
            <a:ext uri="{FF2B5EF4-FFF2-40B4-BE49-F238E27FC236}">
              <a16:creationId xmlns:a16="http://schemas.microsoft.com/office/drawing/2014/main" id="{B0379D4A-D2E4-4310-8EB1-27650A2E2A8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590" name="Line 667">
          <a:extLst>
            <a:ext uri="{FF2B5EF4-FFF2-40B4-BE49-F238E27FC236}">
              <a16:creationId xmlns:a16="http://schemas.microsoft.com/office/drawing/2014/main" id="{2237FEE4-8694-42C0-8901-43DCA27CFB2B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91" name="Line 668">
          <a:extLst>
            <a:ext uri="{FF2B5EF4-FFF2-40B4-BE49-F238E27FC236}">
              <a16:creationId xmlns:a16="http://schemas.microsoft.com/office/drawing/2014/main" id="{579ABD97-555D-4F03-ABF1-08D3E437B33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92" name="Line 669">
          <a:extLst>
            <a:ext uri="{FF2B5EF4-FFF2-40B4-BE49-F238E27FC236}">
              <a16:creationId xmlns:a16="http://schemas.microsoft.com/office/drawing/2014/main" id="{58076FB5-750D-4C9A-8CCA-53697628753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93" name="Line 670">
          <a:extLst>
            <a:ext uri="{FF2B5EF4-FFF2-40B4-BE49-F238E27FC236}">
              <a16:creationId xmlns:a16="http://schemas.microsoft.com/office/drawing/2014/main" id="{E44DD0D3-522C-4DBD-9E97-6D4AC6113EB2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94" name="Line 671">
          <a:extLst>
            <a:ext uri="{FF2B5EF4-FFF2-40B4-BE49-F238E27FC236}">
              <a16:creationId xmlns:a16="http://schemas.microsoft.com/office/drawing/2014/main" id="{4798AD12-EB41-4BB1-81E5-EB732D18D3F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595" name="Line 672">
          <a:extLst>
            <a:ext uri="{FF2B5EF4-FFF2-40B4-BE49-F238E27FC236}">
              <a16:creationId xmlns:a16="http://schemas.microsoft.com/office/drawing/2014/main" id="{8649F04B-3439-475A-A324-3CE0A6C4629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96" name="Line 673">
          <a:extLst>
            <a:ext uri="{FF2B5EF4-FFF2-40B4-BE49-F238E27FC236}">
              <a16:creationId xmlns:a16="http://schemas.microsoft.com/office/drawing/2014/main" id="{21C70F1F-DFA8-4BF5-8B16-1FEBADD9E43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97" name="Line 674">
          <a:extLst>
            <a:ext uri="{FF2B5EF4-FFF2-40B4-BE49-F238E27FC236}">
              <a16:creationId xmlns:a16="http://schemas.microsoft.com/office/drawing/2014/main" id="{B4BA9141-32B0-4F43-9A1F-824C68D76C5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98" name="Line 675">
          <a:extLst>
            <a:ext uri="{FF2B5EF4-FFF2-40B4-BE49-F238E27FC236}">
              <a16:creationId xmlns:a16="http://schemas.microsoft.com/office/drawing/2014/main" id="{5AC8C116-05BC-4F73-A895-BC408053EA7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599" name="Line 676">
          <a:extLst>
            <a:ext uri="{FF2B5EF4-FFF2-40B4-BE49-F238E27FC236}">
              <a16:creationId xmlns:a16="http://schemas.microsoft.com/office/drawing/2014/main" id="{7041A1D3-FDEE-4670-9ED0-27F8B629008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600" name="Line 677">
          <a:extLst>
            <a:ext uri="{FF2B5EF4-FFF2-40B4-BE49-F238E27FC236}">
              <a16:creationId xmlns:a16="http://schemas.microsoft.com/office/drawing/2014/main" id="{D1A38429-95A9-4277-A958-2BB547640A9E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1" name="Line 678">
          <a:extLst>
            <a:ext uri="{FF2B5EF4-FFF2-40B4-BE49-F238E27FC236}">
              <a16:creationId xmlns:a16="http://schemas.microsoft.com/office/drawing/2014/main" id="{CE40D6DF-6BD8-41AF-BAF9-350DBFA539D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02" name="Line 679">
          <a:extLst>
            <a:ext uri="{FF2B5EF4-FFF2-40B4-BE49-F238E27FC236}">
              <a16:creationId xmlns:a16="http://schemas.microsoft.com/office/drawing/2014/main" id="{D425E675-46D3-4306-9CA4-C8931CE1AEB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3" name="Line 680">
          <a:extLst>
            <a:ext uri="{FF2B5EF4-FFF2-40B4-BE49-F238E27FC236}">
              <a16:creationId xmlns:a16="http://schemas.microsoft.com/office/drawing/2014/main" id="{EB3E8173-2DD0-4216-8BD7-D5A166E830D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4" name="Line 681">
          <a:extLst>
            <a:ext uri="{FF2B5EF4-FFF2-40B4-BE49-F238E27FC236}">
              <a16:creationId xmlns:a16="http://schemas.microsoft.com/office/drawing/2014/main" id="{53E4608D-5EDF-408D-94FE-692F5D36870A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5" name="Line 682">
          <a:extLst>
            <a:ext uri="{FF2B5EF4-FFF2-40B4-BE49-F238E27FC236}">
              <a16:creationId xmlns:a16="http://schemas.microsoft.com/office/drawing/2014/main" id="{ED435790-C98F-42FA-9E0F-A65FBCDCACE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6" name="Line 683">
          <a:extLst>
            <a:ext uri="{FF2B5EF4-FFF2-40B4-BE49-F238E27FC236}">
              <a16:creationId xmlns:a16="http://schemas.microsoft.com/office/drawing/2014/main" id="{7C368BBE-C427-4FBF-972E-DC6E7441B7F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07" name="Line 684">
          <a:extLst>
            <a:ext uri="{FF2B5EF4-FFF2-40B4-BE49-F238E27FC236}">
              <a16:creationId xmlns:a16="http://schemas.microsoft.com/office/drawing/2014/main" id="{95DE7FAB-5646-4218-8B04-1D65BDD7602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8" name="Line 685">
          <a:extLst>
            <a:ext uri="{FF2B5EF4-FFF2-40B4-BE49-F238E27FC236}">
              <a16:creationId xmlns:a16="http://schemas.microsoft.com/office/drawing/2014/main" id="{68FA2236-77FA-4785-A709-12A2A8A78A8C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09" name="Line 686">
          <a:extLst>
            <a:ext uri="{FF2B5EF4-FFF2-40B4-BE49-F238E27FC236}">
              <a16:creationId xmlns:a16="http://schemas.microsoft.com/office/drawing/2014/main" id="{C3FD49FA-B391-4D81-B3B3-B7AEE8B4F0D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0" name="Line 687">
          <a:extLst>
            <a:ext uri="{FF2B5EF4-FFF2-40B4-BE49-F238E27FC236}">
              <a16:creationId xmlns:a16="http://schemas.microsoft.com/office/drawing/2014/main" id="{CB9C5A74-1298-4838-B10E-4C9BF105E9C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611" name="Line 688">
          <a:extLst>
            <a:ext uri="{FF2B5EF4-FFF2-40B4-BE49-F238E27FC236}">
              <a16:creationId xmlns:a16="http://schemas.microsoft.com/office/drawing/2014/main" id="{9F35C60D-81B0-4C7B-B3BC-99A93B7B2936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2" name="Line 689">
          <a:extLst>
            <a:ext uri="{FF2B5EF4-FFF2-40B4-BE49-F238E27FC236}">
              <a16:creationId xmlns:a16="http://schemas.microsoft.com/office/drawing/2014/main" id="{5B9A6053-49FB-4A10-BE4E-93BDF08D64D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13" name="Line 690">
          <a:extLst>
            <a:ext uri="{FF2B5EF4-FFF2-40B4-BE49-F238E27FC236}">
              <a16:creationId xmlns:a16="http://schemas.microsoft.com/office/drawing/2014/main" id="{640EBC30-CC6E-46A3-B2AF-E3F98DEF9E20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4" name="Line 691">
          <a:extLst>
            <a:ext uri="{FF2B5EF4-FFF2-40B4-BE49-F238E27FC236}">
              <a16:creationId xmlns:a16="http://schemas.microsoft.com/office/drawing/2014/main" id="{691F6F0A-42A6-4FC4-8857-86AC20D23FD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5" name="Line 692">
          <a:extLst>
            <a:ext uri="{FF2B5EF4-FFF2-40B4-BE49-F238E27FC236}">
              <a16:creationId xmlns:a16="http://schemas.microsoft.com/office/drawing/2014/main" id="{DE3617BA-D904-429C-9B84-926560EB2FA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6" name="Line 693">
          <a:extLst>
            <a:ext uri="{FF2B5EF4-FFF2-40B4-BE49-F238E27FC236}">
              <a16:creationId xmlns:a16="http://schemas.microsoft.com/office/drawing/2014/main" id="{198A43C0-7798-4167-B17C-7AE072CEE0E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17" name="Line 694">
          <a:extLst>
            <a:ext uri="{FF2B5EF4-FFF2-40B4-BE49-F238E27FC236}">
              <a16:creationId xmlns:a16="http://schemas.microsoft.com/office/drawing/2014/main" id="{67640355-349D-4621-A04C-D2D01333D2B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18" name="Line 695">
          <a:extLst>
            <a:ext uri="{FF2B5EF4-FFF2-40B4-BE49-F238E27FC236}">
              <a16:creationId xmlns:a16="http://schemas.microsoft.com/office/drawing/2014/main" id="{08BE1A4F-6665-4B11-8C35-5490D9891B1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19" name="Line 696">
          <a:extLst>
            <a:ext uri="{FF2B5EF4-FFF2-40B4-BE49-F238E27FC236}">
              <a16:creationId xmlns:a16="http://schemas.microsoft.com/office/drawing/2014/main" id="{90ED9A83-A080-4B03-A42C-602B668BE27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0" name="Line 697">
          <a:extLst>
            <a:ext uri="{FF2B5EF4-FFF2-40B4-BE49-F238E27FC236}">
              <a16:creationId xmlns:a16="http://schemas.microsoft.com/office/drawing/2014/main" id="{E914ECB7-C169-42E2-9B57-082EDEBBE60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21" name="Line 698">
          <a:extLst>
            <a:ext uri="{FF2B5EF4-FFF2-40B4-BE49-F238E27FC236}">
              <a16:creationId xmlns:a16="http://schemas.microsoft.com/office/drawing/2014/main" id="{81E4B579-608F-44A8-B05D-03FEA037807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622" name="Line 699">
          <a:extLst>
            <a:ext uri="{FF2B5EF4-FFF2-40B4-BE49-F238E27FC236}">
              <a16:creationId xmlns:a16="http://schemas.microsoft.com/office/drawing/2014/main" id="{CF9EAA34-1925-40B0-B301-04606873DDA6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3" name="Line 700">
          <a:extLst>
            <a:ext uri="{FF2B5EF4-FFF2-40B4-BE49-F238E27FC236}">
              <a16:creationId xmlns:a16="http://schemas.microsoft.com/office/drawing/2014/main" id="{568C4E3F-113A-4E13-B57F-85B4F578E54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4" name="Line 701">
          <a:extLst>
            <a:ext uri="{FF2B5EF4-FFF2-40B4-BE49-F238E27FC236}">
              <a16:creationId xmlns:a16="http://schemas.microsoft.com/office/drawing/2014/main" id="{EB96120E-F042-4AEB-967F-3690CA4B717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5" name="Line 702">
          <a:extLst>
            <a:ext uri="{FF2B5EF4-FFF2-40B4-BE49-F238E27FC236}">
              <a16:creationId xmlns:a16="http://schemas.microsoft.com/office/drawing/2014/main" id="{406F4580-5129-4A97-AE7A-043D47AD8378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6" name="Line 703">
          <a:extLst>
            <a:ext uri="{FF2B5EF4-FFF2-40B4-BE49-F238E27FC236}">
              <a16:creationId xmlns:a16="http://schemas.microsoft.com/office/drawing/2014/main" id="{0F9D6A17-43A1-419B-8313-F56D6C6130F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27" name="Line 704">
          <a:extLst>
            <a:ext uri="{FF2B5EF4-FFF2-40B4-BE49-F238E27FC236}">
              <a16:creationId xmlns:a16="http://schemas.microsoft.com/office/drawing/2014/main" id="{E045C640-4AEE-4178-AB20-8DF8E4FB7DA6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28" name="Line 705">
          <a:extLst>
            <a:ext uri="{FF2B5EF4-FFF2-40B4-BE49-F238E27FC236}">
              <a16:creationId xmlns:a16="http://schemas.microsoft.com/office/drawing/2014/main" id="{F7C9FDB6-F798-4CB5-83DC-9CE2F818308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29" name="Line 706">
          <a:extLst>
            <a:ext uri="{FF2B5EF4-FFF2-40B4-BE49-F238E27FC236}">
              <a16:creationId xmlns:a16="http://schemas.microsoft.com/office/drawing/2014/main" id="{BDD97EF8-16D9-4B52-A0B5-53500112BF6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0" name="Line 707">
          <a:extLst>
            <a:ext uri="{FF2B5EF4-FFF2-40B4-BE49-F238E27FC236}">
              <a16:creationId xmlns:a16="http://schemas.microsoft.com/office/drawing/2014/main" id="{716B048A-4CE2-4385-934A-A5E6BF13FCB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1" name="Line 708">
          <a:extLst>
            <a:ext uri="{FF2B5EF4-FFF2-40B4-BE49-F238E27FC236}">
              <a16:creationId xmlns:a16="http://schemas.microsoft.com/office/drawing/2014/main" id="{2A73CF6F-2893-46D5-BD04-41FC2381F413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632" name="Line 709">
          <a:extLst>
            <a:ext uri="{FF2B5EF4-FFF2-40B4-BE49-F238E27FC236}">
              <a16:creationId xmlns:a16="http://schemas.microsoft.com/office/drawing/2014/main" id="{D644880D-0D56-423F-99A2-3433571E52D6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3" name="Line 710">
          <a:extLst>
            <a:ext uri="{FF2B5EF4-FFF2-40B4-BE49-F238E27FC236}">
              <a16:creationId xmlns:a16="http://schemas.microsoft.com/office/drawing/2014/main" id="{9F198D88-3AF6-4CCE-8854-3CA16F0087B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34" name="Line 711">
          <a:extLst>
            <a:ext uri="{FF2B5EF4-FFF2-40B4-BE49-F238E27FC236}">
              <a16:creationId xmlns:a16="http://schemas.microsoft.com/office/drawing/2014/main" id="{D3F1DFF4-6881-4230-8D7B-6760C0B69989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5" name="Line 712">
          <a:extLst>
            <a:ext uri="{FF2B5EF4-FFF2-40B4-BE49-F238E27FC236}">
              <a16:creationId xmlns:a16="http://schemas.microsoft.com/office/drawing/2014/main" id="{7DBCB0FE-75C7-4DD8-86EE-9D8ECB4FED8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6" name="Line 713">
          <a:extLst>
            <a:ext uri="{FF2B5EF4-FFF2-40B4-BE49-F238E27FC236}">
              <a16:creationId xmlns:a16="http://schemas.microsoft.com/office/drawing/2014/main" id="{AF5B4729-23A5-4167-B1C0-2C13D710E1C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7" name="Line 714">
          <a:extLst>
            <a:ext uri="{FF2B5EF4-FFF2-40B4-BE49-F238E27FC236}">
              <a16:creationId xmlns:a16="http://schemas.microsoft.com/office/drawing/2014/main" id="{B27A20C0-852A-48ED-B15F-16ACE8566AF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38" name="Line 715">
          <a:extLst>
            <a:ext uri="{FF2B5EF4-FFF2-40B4-BE49-F238E27FC236}">
              <a16:creationId xmlns:a16="http://schemas.microsoft.com/office/drawing/2014/main" id="{246A109B-550C-4CB5-9051-6EE1D5A8E3E9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39" name="Line 716">
          <a:extLst>
            <a:ext uri="{FF2B5EF4-FFF2-40B4-BE49-F238E27FC236}">
              <a16:creationId xmlns:a16="http://schemas.microsoft.com/office/drawing/2014/main" id="{11F6338F-FA1D-45FD-907D-CBEC4094D8D7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640" name="Line 717">
          <a:extLst>
            <a:ext uri="{FF2B5EF4-FFF2-40B4-BE49-F238E27FC236}">
              <a16:creationId xmlns:a16="http://schemas.microsoft.com/office/drawing/2014/main" id="{BE6D26B0-4C34-4D68-A100-03B14BCBD58B}"/>
            </a:ext>
          </a:extLst>
        </xdr:cNvPr>
        <xdr:cNvSpPr>
          <a:spLocks noChangeShapeType="1"/>
        </xdr:cNvSpPr>
      </xdr:nvSpPr>
      <xdr:spPr bwMode="auto">
        <a:xfrm>
          <a:off x="4800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41" name="Line 718">
          <a:extLst>
            <a:ext uri="{FF2B5EF4-FFF2-40B4-BE49-F238E27FC236}">
              <a16:creationId xmlns:a16="http://schemas.microsoft.com/office/drawing/2014/main" id="{2570F6D9-601F-4357-B876-A1E46B2BB6B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42" name="Line 719">
          <a:extLst>
            <a:ext uri="{FF2B5EF4-FFF2-40B4-BE49-F238E27FC236}">
              <a16:creationId xmlns:a16="http://schemas.microsoft.com/office/drawing/2014/main" id="{C9B51A06-157A-4856-B67B-05A1C599981B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43" name="Line 720">
          <a:extLst>
            <a:ext uri="{FF2B5EF4-FFF2-40B4-BE49-F238E27FC236}">
              <a16:creationId xmlns:a16="http://schemas.microsoft.com/office/drawing/2014/main" id="{C6015D57-7E9B-4A97-94A7-76B8CF4B2C75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44" name="Line 721">
          <a:extLst>
            <a:ext uri="{FF2B5EF4-FFF2-40B4-BE49-F238E27FC236}">
              <a16:creationId xmlns:a16="http://schemas.microsoft.com/office/drawing/2014/main" id="{2DD9C033-2EA8-461A-8746-02F07F27317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45" name="Line 722">
          <a:extLst>
            <a:ext uri="{FF2B5EF4-FFF2-40B4-BE49-F238E27FC236}">
              <a16:creationId xmlns:a16="http://schemas.microsoft.com/office/drawing/2014/main" id="{B6473506-D93E-45C4-8BD0-D8DEDF42C281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46" name="Line 723">
          <a:extLst>
            <a:ext uri="{FF2B5EF4-FFF2-40B4-BE49-F238E27FC236}">
              <a16:creationId xmlns:a16="http://schemas.microsoft.com/office/drawing/2014/main" id="{EF918177-AB8E-4094-88EC-35118422B4B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47" name="Line 724">
          <a:extLst>
            <a:ext uri="{FF2B5EF4-FFF2-40B4-BE49-F238E27FC236}">
              <a16:creationId xmlns:a16="http://schemas.microsoft.com/office/drawing/2014/main" id="{188BD297-A7CD-4822-9FC2-EFD1226D9F7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48" name="Line 725">
          <a:extLst>
            <a:ext uri="{FF2B5EF4-FFF2-40B4-BE49-F238E27FC236}">
              <a16:creationId xmlns:a16="http://schemas.microsoft.com/office/drawing/2014/main" id="{8A14F116-D5A2-420E-A89D-3F0AC21C5CB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49" name="Line 726">
          <a:extLst>
            <a:ext uri="{FF2B5EF4-FFF2-40B4-BE49-F238E27FC236}">
              <a16:creationId xmlns:a16="http://schemas.microsoft.com/office/drawing/2014/main" id="{D15FEF80-0BC0-4EB2-ACD1-0B97C7DA4426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650" name="Line 727">
          <a:extLst>
            <a:ext uri="{FF2B5EF4-FFF2-40B4-BE49-F238E27FC236}">
              <a16:creationId xmlns:a16="http://schemas.microsoft.com/office/drawing/2014/main" id="{6C3EA655-0C07-4567-A76C-C52DCB5D94D1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1" name="Line 728">
          <a:extLst>
            <a:ext uri="{FF2B5EF4-FFF2-40B4-BE49-F238E27FC236}">
              <a16:creationId xmlns:a16="http://schemas.microsoft.com/office/drawing/2014/main" id="{DEC84D30-EFE5-48EB-B7CA-7096C01536E0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52" name="Line 729">
          <a:extLst>
            <a:ext uri="{FF2B5EF4-FFF2-40B4-BE49-F238E27FC236}">
              <a16:creationId xmlns:a16="http://schemas.microsoft.com/office/drawing/2014/main" id="{E210D1C7-73A1-4F60-9062-BD61B2C3467D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3" name="Line 730">
          <a:extLst>
            <a:ext uri="{FF2B5EF4-FFF2-40B4-BE49-F238E27FC236}">
              <a16:creationId xmlns:a16="http://schemas.microsoft.com/office/drawing/2014/main" id="{2264E0BB-DE1E-4FEB-BA8A-B8F48A9083AF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4" name="Line 731">
          <a:extLst>
            <a:ext uri="{FF2B5EF4-FFF2-40B4-BE49-F238E27FC236}">
              <a16:creationId xmlns:a16="http://schemas.microsoft.com/office/drawing/2014/main" id="{FB24AD17-1C92-440D-A3D3-BEEF09E959A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5" name="Line 732">
          <a:extLst>
            <a:ext uri="{FF2B5EF4-FFF2-40B4-BE49-F238E27FC236}">
              <a16:creationId xmlns:a16="http://schemas.microsoft.com/office/drawing/2014/main" id="{6F51587F-F152-4BCD-97FB-F403BC7A6068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6" name="Line 733">
          <a:extLst>
            <a:ext uri="{FF2B5EF4-FFF2-40B4-BE49-F238E27FC236}">
              <a16:creationId xmlns:a16="http://schemas.microsoft.com/office/drawing/2014/main" id="{ABA1C44B-9380-4538-BB9D-8421ACFCC47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57" name="Line 734">
          <a:extLst>
            <a:ext uri="{FF2B5EF4-FFF2-40B4-BE49-F238E27FC236}">
              <a16:creationId xmlns:a16="http://schemas.microsoft.com/office/drawing/2014/main" id="{AE53F831-DD66-4309-8447-E6CD9CE1AE0F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8" name="Line 735">
          <a:extLst>
            <a:ext uri="{FF2B5EF4-FFF2-40B4-BE49-F238E27FC236}">
              <a16:creationId xmlns:a16="http://schemas.microsoft.com/office/drawing/2014/main" id="{69C1ACCF-576B-484F-B230-E592134F7BC5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59" name="Line 736">
          <a:extLst>
            <a:ext uri="{FF2B5EF4-FFF2-40B4-BE49-F238E27FC236}">
              <a16:creationId xmlns:a16="http://schemas.microsoft.com/office/drawing/2014/main" id="{244E074A-6B40-442A-963E-3481434FC812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0" name="Line 737">
          <a:extLst>
            <a:ext uri="{FF2B5EF4-FFF2-40B4-BE49-F238E27FC236}">
              <a16:creationId xmlns:a16="http://schemas.microsoft.com/office/drawing/2014/main" id="{A370D433-2D7D-4A32-AF51-8C88A0A546A1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0</xdr:colOff>
      <xdr:row>3</xdr:row>
      <xdr:rowOff>0</xdr:rowOff>
    </xdr:to>
    <xdr:sp macro="" textlink="">
      <xdr:nvSpPr>
        <xdr:cNvPr id="661" name="Line 738">
          <a:extLst>
            <a:ext uri="{FF2B5EF4-FFF2-40B4-BE49-F238E27FC236}">
              <a16:creationId xmlns:a16="http://schemas.microsoft.com/office/drawing/2014/main" id="{100AA9C1-698F-466A-8E9A-6D9CEC860F77}"/>
            </a:ext>
          </a:extLst>
        </xdr:cNvPr>
        <xdr:cNvSpPr>
          <a:spLocks noChangeShapeType="1"/>
        </xdr:cNvSpPr>
      </xdr:nvSpPr>
      <xdr:spPr bwMode="auto">
        <a:xfrm>
          <a:off x="45720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2" name="Line 739">
          <a:extLst>
            <a:ext uri="{FF2B5EF4-FFF2-40B4-BE49-F238E27FC236}">
              <a16:creationId xmlns:a16="http://schemas.microsoft.com/office/drawing/2014/main" id="{9B239B68-C8CB-4C14-973E-90251F12DBE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63" name="Line 740">
          <a:extLst>
            <a:ext uri="{FF2B5EF4-FFF2-40B4-BE49-F238E27FC236}">
              <a16:creationId xmlns:a16="http://schemas.microsoft.com/office/drawing/2014/main" id="{BDCBD4F6-F199-455D-ADD2-2DA6D6AD286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4" name="Line 741">
          <a:extLst>
            <a:ext uri="{FF2B5EF4-FFF2-40B4-BE49-F238E27FC236}">
              <a16:creationId xmlns:a16="http://schemas.microsoft.com/office/drawing/2014/main" id="{BFFAB475-3E83-4146-AA09-38FC677FE0A7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5" name="Line 742">
          <a:extLst>
            <a:ext uri="{FF2B5EF4-FFF2-40B4-BE49-F238E27FC236}">
              <a16:creationId xmlns:a16="http://schemas.microsoft.com/office/drawing/2014/main" id="{D666206D-01DF-4068-AF34-58D3D75976DD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6" name="Line 743">
          <a:extLst>
            <a:ext uri="{FF2B5EF4-FFF2-40B4-BE49-F238E27FC236}">
              <a16:creationId xmlns:a16="http://schemas.microsoft.com/office/drawing/2014/main" id="{6FFCA7A9-22D9-4703-A3F5-53F6383B6AEE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67" name="Line 744">
          <a:extLst>
            <a:ext uri="{FF2B5EF4-FFF2-40B4-BE49-F238E27FC236}">
              <a16:creationId xmlns:a16="http://schemas.microsoft.com/office/drawing/2014/main" id="{FC88FDD1-F2AE-45CA-83B0-0DE8CFA61B2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68" name="Line 745">
          <a:extLst>
            <a:ext uri="{FF2B5EF4-FFF2-40B4-BE49-F238E27FC236}">
              <a16:creationId xmlns:a16="http://schemas.microsoft.com/office/drawing/2014/main" id="{9394FCDA-8ECF-43AF-82F4-8EDB77CDC103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69" name="Line 746">
          <a:extLst>
            <a:ext uri="{FF2B5EF4-FFF2-40B4-BE49-F238E27FC236}">
              <a16:creationId xmlns:a16="http://schemas.microsoft.com/office/drawing/2014/main" id="{14B91589-5062-4F1C-9849-73457ABF6D54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0</xdr:colOff>
      <xdr:row>3</xdr:row>
      <xdr:rowOff>0</xdr:rowOff>
    </xdr:to>
    <xdr:sp macro="" textlink="">
      <xdr:nvSpPr>
        <xdr:cNvPr id="670" name="Line 747">
          <a:extLst>
            <a:ext uri="{FF2B5EF4-FFF2-40B4-BE49-F238E27FC236}">
              <a16:creationId xmlns:a16="http://schemas.microsoft.com/office/drawing/2014/main" id="{EEE4E0D3-41D4-4AB8-8CB5-B68D21402F6A}"/>
            </a:ext>
          </a:extLst>
        </xdr:cNvPr>
        <xdr:cNvSpPr>
          <a:spLocks noChangeShapeType="1"/>
        </xdr:cNvSpPr>
      </xdr:nvSpPr>
      <xdr:spPr bwMode="auto">
        <a:xfrm>
          <a:off x="38862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0</xdr:colOff>
      <xdr:row>3</xdr:row>
      <xdr:rowOff>0</xdr:rowOff>
    </xdr:to>
    <xdr:sp macro="" textlink="">
      <xdr:nvSpPr>
        <xdr:cNvPr id="671" name="Line 748">
          <a:extLst>
            <a:ext uri="{FF2B5EF4-FFF2-40B4-BE49-F238E27FC236}">
              <a16:creationId xmlns:a16="http://schemas.microsoft.com/office/drawing/2014/main" id="{875C6904-9D52-4FFE-B2E7-53213BCB6BC4}"/>
            </a:ext>
          </a:extLst>
        </xdr:cNvPr>
        <xdr:cNvSpPr>
          <a:spLocks noChangeShapeType="1"/>
        </xdr:cNvSpPr>
      </xdr:nvSpPr>
      <xdr:spPr bwMode="auto">
        <a:xfrm>
          <a:off x="3657600" y="571500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672" name="Line 2379">
          <a:extLst>
            <a:ext uri="{FF2B5EF4-FFF2-40B4-BE49-F238E27FC236}">
              <a16:creationId xmlns:a16="http://schemas.microsoft.com/office/drawing/2014/main" id="{0A725691-05B1-410C-965D-CBE914A5F8F7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73" name="Line 2380">
          <a:extLst>
            <a:ext uri="{FF2B5EF4-FFF2-40B4-BE49-F238E27FC236}">
              <a16:creationId xmlns:a16="http://schemas.microsoft.com/office/drawing/2014/main" id="{C009B52D-BC27-4901-A0F4-80C4D94F07DC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74" name="Line 2381">
          <a:extLst>
            <a:ext uri="{FF2B5EF4-FFF2-40B4-BE49-F238E27FC236}">
              <a16:creationId xmlns:a16="http://schemas.microsoft.com/office/drawing/2014/main" id="{38D9EF4F-584E-40A9-85FD-E3690E95A703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75" name="Line 2382">
          <a:extLst>
            <a:ext uri="{FF2B5EF4-FFF2-40B4-BE49-F238E27FC236}">
              <a16:creationId xmlns:a16="http://schemas.microsoft.com/office/drawing/2014/main" id="{4C33DE95-C70B-4FCF-AAC3-A305AF2129D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76" name="Line 2383">
          <a:extLst>
            <a:ext uri="{FF2B5EF4-FFF2-40B4-BE49-F238E27FC236}">
              <a16:creationId xmlns:a16="http://schemas.microsoft.com/office/drawing/2014/main" id="{86AF9324-7A66-48E4-B222-27D46407473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77" name="Line 2384">
          <a:extLst>
            <a:ext uri="{FF2B5EF4-FFF2-40B4-BE49-F238E27FC236}">
              <a16:creationId xmlns:a16="http://schemas.microsoft.com/office/drawing/2014/main" id="{607C327C-52CD-40A4-84B6-467141A5228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78" name="Line 2385">
          <a:extLst>
            <a:ext uri="{FF2B5EF4-FFF2-40B4-BE49-F238E27FC236}">
              <a16:creationId xmlns:a16="http://schemas.microsoft.com/office/drawing/2014/main" id="{603127EE-2BD7-483B-881B-3096930C747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79" name="Line 2386">
          <a:extLst>
            <a:ext uri="{FF2B5EF4-FFF2-40B4-BE49-F238E27FC236}">
              <a16:creationId xmlns:a16="http://schemas.microsoft.com/office/drawing/2014/main" id="{7C63CF97-B57A-40EE-ACEA-D6CE19FD591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0" name="Line 2387">
          <a:extLst>
            <a:ext uri="{FF2B5EF4-FFF2-40B4-BE49-F238E27FC236}">
              <a16:creationId xmlns:a16="http://schemas.microsoft.com/office/drawing/2014/main" id="{2DE6DD5A-F00D-4628-A876-A8CD2FF912A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1" name="Line 2388">
          <a:extLst>
            <a:ext uri="{FF2B5EF4-FFF2-40B4-BE49-F238E27FC236}">
              <a16:creationId xmlns:a16="http://schemas.microsoft.com/office/drawing/2014/main" id="{8E5A51FD-0DCD-4E0A-8888-171E2027627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682" name="Line 2389">
          <a:extLst>
            <a:ext uri="{FF2B5EF4-FFF2-40B4-BE49-F238E27FC236}">
              <a16:creationId xmlns:a16="http://schemas.microsoft.com/office/drawing/2014/main" id="{7FE825FE-BC44-43D0-B1CA-5FBB005C6E2E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3" name="Line 2390">
          <a:extLst>
            <a:ext uri="{FF2B5EF4-FFF2-40B4-BE49-F238E27FC236}">
              <a16:creationId xmlns:a16="http://schemas.microsoft.com/office/drawing/2014/main" id="{528B82A6-F8E9-4E4A-9CCE-ABE3DED5658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84" name="Line 2391">
          <a:extLst>
            <a:ext uri="{FF2B5EF4-FFF2-40B4-BE49-F238E27FC236}">
              <a16:creationId xmlns:a16="http://schemas.microsoft.com/office/drawing/2014/main" id="{FDB7359E-AE7B-4433-ADF5-17B386A7A9F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5" name="Line 2392">
          <a:extLst>
            <a:ext uri="{FF2B5EF4-FFF2-40B4-BE49-F238E27FC236}">
              <a16:creationId xmlns:a16="http://schemas.microsoft.com/office/drawing/2014/main" id="{A8997317-18EC-45A6-AD3E-BD9EB2D48AF5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6" name="Line 2393">
          <a:extLst>
            <a:ext uri="{FF2B5EF4-FFF2-40B4-BE49-F238E27FC236}">
              <a16:creationId xmlns:a16="http://schemas.microsoft.com/office/drawing/2014/main" id="{B8CC971E-03E8-4DC2-8431-606B25686CE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7" name="Line 2394">
          <a:extLst>
            <a:ext uri="{FF2B5EF4-FFF2-40B4-BE49-F238E27FC236}">
              <a16:creationId xmlns:a16="http://schemas.microsoft.com/office/drawing/2014/main" id="{11B3978C-E2ED-4F46-8BF1-9872F493F6BE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88" name="Line 2395">
          <a:extLst>
            <a:ext uri="{FF2B5EF4-FFF2-40B4-BE49-F238E27FC236}">
              <a16:creationId xmlns:a16="http://schemas.microsoft.com/office/drawing/2014/main" id="{05EC2670-B3F3-4B3C-B350-396F6DE9071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89" name="Line 2396">
          <a:extLst>
            <a:ext uri="{FF2B5EF4-FFF2-40B4-BE49-F238E27FC236}">
              <a16:creationId xmlns:a16="http://schemas.microsoft.com/office/drawing/2014/main" id="{6AB3B64E-922B-4AD5-A566-31FCD8E9C9E6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21</xdr:col>
      <xdr:colOff>0</xdr:colOff>
      <xdr:row>2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690" name="Line 2397">
          <a:extLst>
            <a:ext uri="{FF2B5EF4-FFF2-40B4-BE49-F238E27FC236}">
              <a16:creationId xmlns:a16="http://schemas.microsoft.com/office/drawing/2014/main" id="{B4F6AFB9-0D25-4C4C-BA59-BB44760E310C}"/>
            </a:ext>
          </a:extLst>
        </xdr:cNvPr>
        <xdr:cNvSpPr>
          <a:spLocks noChangeShapeType="1"/>
        </xdr:cNvSpPr>
      </xdr:nvSpPr>
      <xdr:spPr bwMode="auto">
        <a:xfrm>
          <a:off x="4800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1" name="Line 2398">
          <a:extLst>
            <a:ext uri="{FF2B5EF4-FFF2-40B4-BE49-F238E27FC236}">
              <a16:creationId xmlns:a16="http://schemas.microsoft.com/office/drawing/2014/main" id="{776868C2-95E6-4B2B-BA7A-78B77FB4CB15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2" name="Line 2399">
          <a:extLst>
            <a:ext uri="{FF2B5EF4-FFF2-40B4-BE49-F238E27FC236}">
              <a16:creationId xmlns:a16="http://schemas.microsoft.com/office/drawing/2014/main" id="{DA33F7A3-EF1B-4166-B4C1-4A57F959F79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3" name="Line 2400">
          <a:extLst>
            <a:ext uri="{FF2B5EF4-FFF2-40B4-BE49-F238E27FC236}">
              <a16:creationId xmlns:a16="http://schemas.microsoft.com/office/drawing/2014/main" id="{4CBD2A15-9337-4952-9E48-1F0A5426BF2B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4" name="Line 2401">
          <a:extLst>
            <a:ext uri="{FF2B5EF4-FFF2-40B4-BE49-F238E27FC236}">
              <a16:creationId xmlns:a16="http://schemas.microsoft.com/office/drawing/2014/main" id="{0FC46555-5732-402D-8FB9-B617E5109E6D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695" name="Line 2402">
          <a:extLst>
            <a:ext uri="{FF2B5EF4-FFF2-40B4-BE49-F238E27FC236}">
              <a16:creationId xmlns:a16="http://schemas.microsoft.com/office/drawing/2014/main" id="{6E1F53D5-DFCB-483E-B5B6-425682D73B40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96" name="Line 2403">
          <a:extLst>
            <a:ext uri="{FF2B5EF4-FFF2-40B4-BE49-F238E27FC236}">
              <a16:creationId xmlns:a16="http://schemas.microsoft.com/office/drawing/2014/main" id="{AD1EF659-786B-4465-BA48-F220E169AD5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97" name="Line 2404">
          <a:extLst>
            <a:ext uri="{FF2B5EF4-FFF2-40B4-BE49-F238E27FC236}">
              <a16:creationId xmlns:a16="http://schemas.microsoft.com/office/drawing/2014/main" id="{2F8A3C4A-3F64-4C6E-8FAC-B079BDCD40CD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98" name="Line 2405">
          <a:extLst>
            <a:ext uri="{FF2B5EF4-FFF2-40B4-BE49-F238E27FC236}">
              <a16:creationId xmlns:a16="http://schemas.microsoft.com/office/drawing/2014/main" id="{BD69B9B2-5386-4C13-BB3D-7F3B56349CAB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699" name="Line 2406">
          <a:extLst>
            <a:ext uri="{FF2B5EF4-FFF2-40B4-BE49-F238E27FC236}">
              <a16:creationId xmlns:a16="http://schemas.microsoft.com/office/drawing/2014/main" id="{18753769-08B5-4A65-99C8-A62ACC06ACBB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700" name="Line 2407">
          <a:extLst>
            <a:ext uri="{FF2B5EF4-FFF2-40B4-BE49-F238E27FC236}">
              <a16:creationId xmlns:a16="http://schemas.microsoft.com/office/drawing/2014/main" id="{8D97E76F-3947-4D12-8894-BC7E83908FEF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1" name="Line 2408">
          <a:extLst>
            <a:ext uri="{FF2B5EF4-FFF2-40B4-BE49-F238E27FC236}">
              <a16:creationId xmlns:a16="http://schemas.microsoft.com/office/drawing/2014/main" id="{DEDB3217-3095-4890-86C3-378DC8D6505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02" name="Line 2409">
          <a:extLst>
            <a:ext uri="{FF2B5EF4-FFF2-40B4-BE49-F238E27FC236}">
              <a16:creationId xmlns:a16="http://schemas.microsoft.com/office/drawing/2014/main" id="{516EFFD8-DA1C-4F94-ABA4-E32A03434B6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3" name="Line 2410">
          <a:extLst>
            <a:ext uri="{FF2B5EF4-FFF2-40B4-BE49-F238E27FC236}">
              <a16:creationId xmlns:a16="http://schemas.microsoft.com/office/drawing/2014/main" id="{5FC2E58E-5236-41B1-9E2E-4CFD2DFF380A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4" name="Line 2411">
          <a:extLst>
            <a:ext uri="{FF2B5EF4-FFF2-40B4-BE49-F238E27FC236}">
              <a16:creationId xmlns:a16="http://schemas.microsoft.com/office/drawing/2014/main" id="{14C1A5EC-3EA1-403F-8800-9D206E518F6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5" name="Line 2412">
          <a:extLst>
            <a:ext uri="{FF2B5EF4-FFF2-40B4-BE49-F238E27FC236}">
              <a16:creationId xmlns:a16="http://schemas.microsoft.com/office/drawing/2014/main" id="{D7E0C768-E8C7-4E58-832D-518EDA62EAB1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6" name="Line 2413">
          <a:extLst>
            <a:ext uri="{FF2B5EF4-FFF2-40B4-BE49-F238E27FC236}">
              <a16:creationId xmlns:a16="http://schemas.microsoft.com/office/drawing/2014/main" id="{D9786931-7925-40CC-B3B6-69839A738720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07" name="Line 2414">
          <a:extLst>
            <a:ext uri="{FF2B5EF4-FFF2-40B4-BE49-F238E27FC236}">
              <a16:creationId xmlns:a16="http://schemas.microsoft.com/office/drawing/2014/main" id="{17C6225C-905A-4B07-834A-F0CECA81FDAE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8" name="Line 2417">
          <a:extLst>
            <a:ext uri="{FF2B5EF4-FFF2-40B4-BE49-F238E27FC236}">
              <a16:creationId xmlns:a16="http://schemas.microsoft.com/office/drawing/2014/main" id="{66C9177D-1A3D-475E-850B-07542EA464D7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09" name="Line 2418">
          <a:extLst>
            <a:ext uri="{FF2B5EF4-FFF2-40B4-BE49-F238E27FC236}">
              <a16:creationId xmlns:a16="http://schemas.microsoft.com/office/drawing/2014/main" id="{EB87930E-4CC2-4123-829D-331CBBF12922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0" name="Line 2419">
          <a:extLst>
            <a:ext uri="{FF2B5EF4-FFF2-40B4-BE49-F238E27FC236}">
              <a16:creationId xmlns:a16="http://schemas.microsoft.com/office/drawing/2014/main" id="{A93B9AEC-C1A9-4932-8849-63035DFD93E3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711" name="Line 2420">
          <a:extLst>
            <a:ext uri="{FF2B5EF4-FFF2-40B4-BE49-F238E27FC236}">
              <a16:creationId xmlns:a16="http://schemas.microsoft.com/office/drawing/2014/main" id="{B05ED7AA-3AFF-4004-A1D8-E7E7953BA191}"/>
            </a:ext>
          </a:extLst>
        </xdr:cNvPr>
        <xdr:cNvSpPr>
          <a:spLocks noChangeShapeType="1"/>
        </xdr:cNvSpPr>
      </xdr:nvSpPr>
      <xdr:spPr bwMode="auto">
        <a:xfrm>
          <a:off x="45720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2" name="Line 2421">
          <a:extLst>
            <a:ext uri="{FF2B5EF4-FFF2-40B4-BE49-F238E27FC236}">
              <a16:creationId xmlns:a16="http://schemas.microsoft.com/office/drawing/2014/main" id="{77CD5169-7308-4931-9EF1-A3A15407F4C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13" name="Line 2422">
          <a:extLst>
            <a:ext uri="{FF2B5EF4-FFF2-40B4-BE49-F238E27FC236}">
              <a16:creationId xmlns:a16="http://schemas.microsoft.com/office/drawing/2014/main" id="{DFBD73F8-854F-41DE-9FF0-66A885CB1F0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4" name="Line 2423">
          <a:extLst>
            <a:ext uri="{FF2B5EF4-FFF2-40B4-BE49-F238E27FC236}">
              <a16:creationId xmlns:a16="http://schemas.microsoft.com/office/drawing/2014/main" id="{D7C07ABD-0398-450A-BD85-8903114BAE4B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5" name="Line 2424">
          <a:extLst>
            <a:ext uri="{FF2B5EF4-FFF2-40B4-BE49-F238E27FC236}">
              <a16:creationId xmlns:a16="http://schemas.microsoft.com/office/drawing/2014/main" id="{6AE831E5-6465-481C-8159-08452557510C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6" name="Line 2425">
          <a:extLst>
            <a:ext uri="{FF2B5EF4-FFF2-40B4-BE49-F238E27FC236}">
              <a16:creationId xmlns:a16="http://schemas.microsoft.com/office/drawing/2014/main" id="{B3168B63-4D4B-46A3-BCCE-2EF1CAD8A0E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17" name="Line 2426">
          <a:extLst>
            <a:ext uri="{FF2B5EF4-FFF2-40B4-BE49-F238E27FC236}">
              <a16:creationId xmlns:a16="http://schemas.microsoft.com/office/drawing/2014/main" id="{23FD65C9-0CCC-487A-8AD3-5FCF01731864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18" name="Line 2427">
          <a:extLst>
            <a:ext uri="{FF2B5EF4-FFF2-40B4-BE49-F238E27FC236}">
              <a16:creationId xmlns:a16="http://schemas.microsoft.com/office/drawing/2014/main" id="{33EA0E3C-EC67-458D-9284-3F199BBB508F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19" name="Line 2428">
          <a:extLst>
            <a:ext uri="{FF2B5EF4-FFF2-40B4-BE49-F238E27FC236}">
              <a16:creationId xmlns:a16="http://schemas.microsoft.com/office/drawing/2014/main" id="{E273D5C3-A6A7-41F5-85BA-02EECF327509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720" name="Line 2429">
          <a:extLst>
            <a:ext uri="{FF2B5EF4-FFF2-40B4-BE49-F238E27FC236}">
              <a16:creationId xmlns:a16="http://schemas.microsoft.com/office/drawing/2014/main" id="{5D898C05-2BA3-4020-9936-6DC255713698}"/>
            </a:ext>
          </a:extLst>
        </xdr:cNvPr>
        <xdr:cNvSpPr>
          <a:spLocks noChangeShapeType="1"/>
        </xdr:cNvSpPr>
      </xdr:nvSpPr>
      <xdr:spPr bwMode="auto">
        <a:xfrm>
          <a:off x="38862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  <xdr:twoCellAnchor>
    <xdr:from>
      <xdr:col>16</xdr:col>
      <xdr:colOff>0</xdr:colOff>
      <xdr:row>2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721" name="Line 2430">
          <a:extLst>
            <a:ext uri="{FF2B5EF4-FFF2-40B4-BE49-F238E27FC236}">
              <a16:creationId xmlns:a16="http://schemas.microsoft.com/office/drawing/2014/main" id="{DF92684C-C399-4500-8799-C6271BED7E39}"/>
            </a:ext>
          </a:extLst>
        </xdr:cNvPr>
        <xdr:cNvSpPr>
          <a:spLocks noChangeShapeType="1"/>
        </xdr:cNvSpPr>
      </xdr:nvSpPr>
      <xdr:spPr bwMode="auto">
        <a:xfrm>
          <a:off x="3657600" y="409575"/>
          <a:ext cx="0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 type="arrow" w="sm" len="sm"/>
              <a:tailEnd type="arrow" w="sm" len="sm"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view="pageBreakPreview" zoomScaleNormal="100" zoomScaleSheetLayoutView="100" workbookViewId="0">
      <selection sqref="A1:H1"/>
    </sheetView>
  </sheetViews>
  <sheetFormatPr defaultRowHeight="13.5"/>
  <cols>
    <col min="1" max="16384" width="9.140625" style="105"/>
  </cols>
  <sheetData>
    <row r="1" spans="1:8" s="104" customFormat="1" ht="33">
      <c r="A1" s="288" t="s">
        <v>253</v>
      </c>
      <c r="B1" s="289"/>
      <c r="C1" s="289"/>
      <c r="D1" s="289"/>
      <c r="E1" s="289"/>
      <c r="F1" s="289"/>
      <c r="G1" s="289"/>
      <c r="H1" s="289"/>
    </row>
    <row r="2" spans="1:8" s="104" customFormat="1"/>
    <row r="3" spans="1:8" s="104" customFormat="1"/>
    <row r="4" spans="1:8" s="104" customFormat="1"/>
    <row r="5" spans="1:8" s="104" customFormat="1"/>
    <row r="6" spans="1:8" s="104" customFormat="1"/>
    <row r="7" spans="1:8" s="104" customFormat="1"/>
    <row r="8" spans="1:8" s="104" customFormat="1"/>
    <row r="9" spans="1:8" s="104" customFormat="1"/>
    <row r="10" spans="1:8" s="104" customFormat="1"/>
    <row r="11" spans="1:8" s="104" customFormat="1"/>
    <row r="12" spans="1:8" s="104" customFormat="1"/>
    <row r="13" spans="1:8" s="104" customFormat="1"/>
    <row r="14" spans="1:8" s="104" customFormat="1"/>
    <row r="15" spans="1:8" s="104" customFormat="1"/>
    <row r="16" spans="1:8" s="104" customFormat="1"/>
  </sheetData>
  <mergeCells count="1">
    <mergeCell ref="A1:H1"/>
  </mergeCells>
  <phoneticPr fontId="12" type="noConversion"/>
  <printOptions horizontalCentered="1"/>
  <pageMargins left="0.70866141732283472" right="0.70866141732283472" top="3.9370078740157481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tabSelected="1" view="pageBreakPreview" zoomScaleNormal="100" zoomScaleSheetLayoutView="100" workbookViewId="0">
      <selection activeCell="N56" sqref="N56"/>
    </sheetView>
  </sheetViews>
  <sheetFormatPr defaultRowHeight="20.100000000000001" customHeight="1"/>
  <cols>
    <col min="1" max="1" width="25.7109375" style="106" customWidth="1"/>
    <col min="2" max="2" width="18.7109375" style="121" customWidth="1"/>
    <col min="3" max="3" width="5.7109375" style="106" customWidth="1"/>
    <col min="4" max="5" width="11.85546875" style="106" customWidth="1"/>
    <col min="6" max="7" width="9.7109375" style="106" hidden="1" customWidth="1"/>
    <col min="8" max="8" width="11.42578125" style="106" customWidth="1"/>
    <col min="9" max="9" width="5.7109375" style="106" customWidth="1"/>
    <col min="10" max="16384" width="9.140625" style="106"/>
  </cols>
  <sheetData>
    <row r="1" spans="1:9" ht="24.95" customHeight="1">
      <c r="A1" s="291" t="s">
        <v>5</v>
      </c>
      <c r="B1" s="291"/>
      <c r="C1" s="291"/>
      <c r="D1" s="291"/>
      <c r="E1" s="291"/>
      <c r="F1" s="291"/>
      <c r="G1" s="291"/>
      <c r="H1" s="291"/>
      <c r="I1" s="291"/>
    </row>
    <row r="2" spans="1:9" s="111" customFormat="1" ht="20.100000000000001" customHeight="1">
      <c r="A2" s="107" t="s">
        <v>167</v>
      </c>
      <c r="B2" s="108" t="s">
        <v>108</v>
      </c>
      <c r="C2" s="108" t="s">
        <v>82</v>
      </c>
      <c r="D2" s="109" t="s">
        <v>316</v>
      </c>
      <c r="E2" s="109" t="s">
        <v>319</v>
      </c>
      <c r="F2" s="109"/>
      <c r="G2" s="109"/>
      <c r="H2" s="109" t="s">
        <v>168</v>
      </c>
      <c r="I2" s="110" t="s">
        <v>169</v>
      </c>
    </row>
    <row r="3" spans="1:9" s="111" customFormat="1" ht="20.100000000000001" hidden="1" customHeight="1">
      <c r="A3" s="294" t="s">
        <v>170</v>
      </c>
      <c r="B3" s="113" t="s">
        <v>83</v>
      </c>
      <c r="C3" s="113" t="s">
        <v>84</v>
      </c>
      <c r="D3" s="123"/>
      <c r="E3" s="124"/>
      <c r="F3" s="124"/>
      <c r="G3" s="124"/>
      <c r="H3" s="124">
        <f>SUM(D3:G3)</f>
        <v>0</v>
      </c>
      <c r="I3" s="114"/>
    </row>
    <row r="4" spans="1:9" s="111" customFormat="1" ht="20.100000000000001" hidden="1" customHeight="1">
      <c r="A4" s="295"/>
      <c r="B4" s="113" t="s">
        <v>85</v>
      </c>
      <c r="C4" s="113" t="s">
        <v>84</v>
      </c>
      <c r="D4" s="123"/>
      <c r="E4" s="124"/>
      <c r="F4" s="124"/>
      <c r="G4" s="124"/>
      <c r="H4" s="124">
        <f>SUM(D4:G4)</f>
        <v>0</v>
      </c>
      <c r="I4" s="114"/>
    </row>
    <row r="5" spans="1:9" s="111" customFormat="1" ht="20.100000000000001" hidden="1" customHeight="1">
      <c r="A5" s="115" t="s">
        <v>171</v>
      </c>
      <c r="B5" s="113" t="s">
        <v>86</v>
      </c>
      <c r="C5" s="113" t="s">
        <v>87</v>
      </c>
      <c r="D5" s="123"/>
      <c r="E5" s="124"/>
      <c r="F5" s="124"/>
      <c r="G5" s="124"/>
      <c r="H5" s="124"/>
      <c r="I5" s="114"/>
    </row>
    <row r="6" spans="1:9" s="111" customFormat="1" ht="20.100000000000001" hidden="1" customHeight="1">
      <c r="A6" s="115" t="s">
        <v>172</v>
      </c>
      <c r="B6" s="113" t="s">
        <v>82</v>
      </c>
      <c r="C6" s="113" t="s">
        <v>84</v>
      </c>
      <c r="D6" s="123"/>
      <c r="E6" s="124"/>
      <c r="F6" s="124"/>
      <c r="G6" s="124"/>
      <c r="H6" s="124">
        <f>SUM(D6:G6)</f>
        <v>0</v>
      </c>
      <c r="I6" s="114"/>
    </row>
    <row r="7" spans="1:9" s="111" customFormat="1" ht="20.100000000000001" hidden="1" customHeight="1">
      <c r="A7" s="115" t="s">
        <v>137</v>
      </c>
      <c r="B7" s="113" t="s">
        <v>82</v>
      </c>
      <c r="C7" s="113" t="s">
        <v>88</v>
      </c>
      <c r="D7" s="123"/>
      <c r="E7" s="124"/>
      <c r="F7" s="124"/>
      <c r="G7" s="124"/>
      <c r="H7" s="124"/>
      <c r="I7" s="114"/>
    </row>
    <row r="8" spans="1:9" s="111" customFormat="1" ht="20.100000000000001" hidden="1" customHeight="1">
      <c r="A8" s="115" t="s">
        <v>173</v>
      </c>
      <c r="B8" s="113" t="s">
        <v>82</v>
      </c>
      <c r="C8" s="113" t="s">
        <v>87</v>
      </c>
      <c r="D8" s="123"/>
      <c r="E8" s="124"/>
      <c r="F8" s="124"/>
      <c r="G8" s="124"/>
      <c r="H8" s="124"/>
      <c r="I8" s="114"/>
    </row>
    <row r="9" spans="1:9" s="111" customFormat="1" ht="20.100000000000001" hidden="1" customHeight="1">
      <c r="A9" s="115" t="s">
        <v>174</v>
      </c>
      <c r="B9" s="113" t="s">
        <v>82</v>
      </c>
      <c r="C9" s="113" t="s">
        <v>89</v>
      </c>
      <c r="D9" s="123"/>
      <c r="E9" s="124"/>
      <c r="F9" s="124"/>
      <c r="G9" s="124"/>
      <c r="H9" s="124"/>
      <c r="I9" s="114"/>
    </row>
    <row r="10" spans="1:9" s="111" customFormat="1" ht="20.100000000000001" hidden="1" customHeight="1">
      <c r="A10" s="115" t="s">
        <v>175</v>
      </c>
      <c r="B10" s="113" t="s">
        <v>82</v>
      </c>
      <c r="C10" s="113" t="s">
        <v>84</v>
      </c>
      <c r="D10" s="123"/>
      <c r="E10" s="124"/>
      <c r="F10" s="124"/>
      <c r="G10" s="124"/>
      <c r="H10" s="124">
        <f t="shared" ref="H10:H31" si="0">SUM(D10:G10)</f>
        <v>0</v>
      </c>
      <c r="I10" s="114"/>
    </row>
    <row r="11" spans="1:9" s="111" customFormat="1" ht="20.100000000000001" hidden="1" customHeight="1">
      <c r="A11" s="112" t="s">
        <v>176</v>
      </c>
      <c r="B11" s="116" t="s">
        <v>208</v>
      </c>
      <c r="C11" s="116" t="s">
        <v>90</v>
      </c>
      <c r="D11" s="125"/>
      <c r="E11" s="126"/>
      <c r="F11" s="126"/>
      <c r="G11" s="126"/>
      <c r="H11" s="126">
        <f t="shared" si="0"/>
        <v>0</v>
      </c>
      <c r="I11" s="117"/>
    </row>
    <row r="12" spans="1:9" s="111" customFormat="1" ht="20.100000000000001" hidden="1" customHeight="1">
      <c r="A12" s="290" t="s">
        <v>177</v>
      </c>
      <c r="B12" s="113" t="s">
        <v>83</v>
      </c>
      <c r="C12" s="113" t="s">
        <v>84</v>
      </c>
      <c r="D12" s="123"/>
      <c r="E12" s="124"/>
      <c r="F12" s="124"/>
      <c r="G12" s="124"/>
      <c r="H12" s="124">
        <f t="shared" si="0"/>
        <v>0</v>
      </c>
      <c r="I12" s="114"/>
    </row>
    <row r="13" spans="1:9" s="111" customFormat="1" ht="20.100000000000001" hidden="1" customHeight="1">
      <c r="A13" s="290"/>
      <c r="B13" s="113" t="s">
        <v>85</v>
      </c>
      <c r="C13" s="113" t="s">
        <v>84</v>
      </c>
      <c r="D13" s="123"/>
      <c r="E13" s="124"/>
      <c r="F13" s="124"/>
      <c r="G13" s="124"/>
      <c r="H13" s="124">
        <f t="shared" si="0"/>
        <v>0</v>
      </c>
      <c r="I13" s="114"/>
    </row>
    <row r="14" spans="1:9" s="111" customFormat="1" ht="20.100000000000001" hidden="1" customHeight="1">
      <c r="A14" s="115" t="s">
        <v>199</v>
      </c>
      <c r="B14" s="113" t="s">
        <v>82</v>
      </c>
      <c r="C14" s="113" t="s">
        <v>91</v>
      </c>
      <c r="D14" s="123"/>
      <c r="E14" s="124"/>
      <c r="F14" s="124"/>
      <c r="G14" s="124"/>
      <c r="H14" s="124">
        <f t="shared" si="0"/>
        <v>0</v>
      </c>
      <c r="I14" s="114"/>
    </row>
    <row r="15" spans="1:9" s="111" customFormat="1" ht="20.100000000000001" hidden="1" customHeight="1">
      <c r="A15" s="115" t="s">
        <v>178</v>
      </c>
      <c r="B15" s="113" t="s">
        <v>256</v>
      </c>
      <c r="C15" s="113" t="s">
        <v>89</v>
      </c>
      <c r="D15" s="123"/>
      <c r="E15" s="124"/>
      <c r="F15" s="124"/>
      <c r="G15" s="124"/>
      <c r="H15" s="124">
        <f t="shared" si="0"/>
        <v>0</v>
      </c>
      <c r="I15" s="114"/>
    </row>
    <row r="16" spans="1:9" s="111" customFormat="1" ht="20.100000000000001" hidden="1" customHeight="1">
      <c r="A16" s="115" t="s">
        <v>179</v>
      </c>
      <c r="B16" s="113" t="s">
        <v>82</v>
      </c>
      <c r="C16" s="113" t="s">
        <v>91</v>
      </c>
      <c r="D16" s="123"/>
      <c r="E16" s="124"/>
      <c r="F16" s="124"/>
      <c r="G16" s="124"/>
      <c r="H16" s="124">
        <f t="shared" si="0"/>
        <v>0</v>
      </c>
      <c r="I16" s="114"/>
    </row>
    <row r="17" spans="1:9" s="111" customFormat="1" ht="20.100000000000001" hidden="1" customHeight="1">
      <c r="A17" s="115" t="s">
        <v>138</v>
      </c>
      <c r="B17" s="113" t="s">
        <v>82</v>
      </c>
      <c r="C17" s="113" t="s">
        <v>91</v>
      </c>
      <c r="D17" s="123"/>
      <c r="E17" s="124"/>
      <c r="F17" s="124"/>
      <c r="G17" s="124"/>
      <c r="H17" s="124">
        <f t="shared" si="0"/>
        <v>0</v>
      </c>
      <c r="I17" s="114"/>
    </row>
    <row r="18" spans="1:9" s="111" customFormat="1" ht="20.100000000000001" hidden="1" customHeight="1">
      <c r="A18" s="261" t="s">
        <v>139</v>
      </c>
      <c r="B18" s="116" t="s">
        <v>82</v>
      </c>
      <c r="C18" s="116" t="s">
        <v>91</v>
      </c>
      <c r="D18" s="125"/>
      <c r="E18" s="126"/>
      <c r="F18" s="126"/>
      <c r="G18" s="126"/>
      <c r="H18" s="126">
        <f t="shared" si="0"/>
        <v>0</v>
      </c>
      <c r="I18" s="117"/>
    </row>
    <row r="19" spans="1:9" s="111" customFormat="1" ht="20.100000000000001" customHeight="1">
      <c r="A19" s="296" t="s">
        <v>321</v>
      </c>
      <c r="B19" s="156" t="s">
        <v>83</v>
      </c>
      <c r="C19" s="156" t="s">
        <v>84</v>
      </c>
      <c r="D19" s="282">
        <f>시점!AA48</f>
        <v>3814.44</v>
      </c>
      <c r="E19" s="283">
        <f>종점!AA48</f>
        <v>3074.4</v>
      </c>
      <c r="F19" s="283"/>
      <c r="G19" s="283"/>
      <c r="H19" s="284">
        <f t="shared" si="0"/>
        <v>6888.84</v>
      </c>
      <c r="I19" s="157"/>
    </row>
    <row r="20" spans="1:9" s="111" customFormat="1" ht="20.100000000000001" customHeight="1">
      <c r="A20" s="292"/>
      <c r="B20" s="113" t="s">
        <v>85</v>
      </c>
      <c r="C20" s="113" t="s">
        <v>84</v>
      </c>
      <c r="D20" s="123">
        <f>시점!AA51</f>
        <v>0</v>
      </c>
      <c r="E20" s="124">
        <f>종점!AA54</f>
        <v>0</v>
      </c>
      <c r="F20" s="124"/>
      <c r="G20" s="124"/>
      <c r="H20" s="285">
        <f t="shared" si="0"/>
        <v>0</v>
      </c>
      <c r="I20" s="114"/>
    </row>
    <row r="21" spans="1:9" s="111" customFormat="1" ht="20.100000000000001" customHeight="1">
      <c r="A21" s="274" t="s">
        <v>297</v>
      </c>
      <c r="B21" s="113" t="s">
        <v>82</v>
      </c>
      <c r="C21" s="113" t="s">
        <v>84</v>
      </c>
      <c r="D21" s="123">
        <f>시점!AA65</f>
        <v>3814.44</v>
      </c>
      <c r="E21" s="124">
        <f>종점!AA65</f>
        <v>3074.3999999999996</v>
      </c>
      <c r="F21" s="124"/>
      <c r="G21" s="124"/>
      <c r="H21" s="285">
        <f t="shared" si="0"/>
        <v>6888.84</v>
      </c>
      <c r="I21" s="114"/>
    </row>
    <row r="22" spans="1:9" s="111" customFormat="1" ht="20.100000000000001" customHeight="1">
      <c r="A22" s="274" t="s">
        <v>313</v>
      </c>
      <c r="B22" s="113" t="s">
        <v>82</v>
      </c>
      <c r="C22" s="113" t="s">
        <v>88</v>
      </c>
      <c r="D22" s="189">
        <v>1</v>
      </c>
      <c r="E22" s="189">
        <v>1</v>
      </c>
      <c r="F22" s="190"/>
      <c r="G22" s="190"/>
      <c r="H22" s="286">
        <f t="shared" ref="H22" si="1">SUM(D22:G22)</f>
        <v>2</v>
      </c>
      <c r="I22" s="114"/>
    </row>
    <row r="23" spans="1:9" s="111" customFormat="1" ht="20.100000000000001" customHeight="1">
      <c r="A23" s="274" t="s">
        <v>298</v>
      </c>
      <c r="B23" s="113" t="s">
        <v>180</v>
      </c>
      <c r="C23" s="113" t="s">
        <v>87</v>
      </c>
      <c r="D23" s="161">
        <f>시점!AA20</f>
        <v>1</v>
      </c>
      <c r="E23" s="118">
        <f>종점!AA20</f>
        <v>1</v>
      </c>
      <c r="F23" s="118"/>
      <c r="G23" s="118"/>
      <c r="H23" s="287">
        <f t="shared" si="0"/>
        <v>2</v>
      </c>
      <c r="I23" s="114"/>
    </row>
    <row r="24" spans="1:9" s="111" customFormat="1" ht="20.100000000000001" customHeight="1">
      <c r="A24" s="274" t="s">
        <v>140</v>
      </c>
      <c r="B24" s="113" t="s">
        <v>198</v>
      </c>
      <c r="C24" s="113" t="s">
        <v>93</v>
      </c>
      <c r="D24" s="122">
        <f>시점!AB32</f>
        <v>11</v>
      </c>
      <c r="E24" s="118">
        <f>종점!AB32</f>
        <v>11</v>
      </c>
      <c r="F24" s="118"/>
      <c r="G24" s="118"/>
      <c r="H24" s="287">
        <f t="shared" si="0"/>
        <v>22</v>
      </c>
      <c r="I24" s="114"/>
    </row>
    <row r="25" spans="1:9" s="111" customFormat="1" ht="20.100000000000001" customHeight="1">
      <c r="A25" s="274" t="s">
        <v>299</v>
      </c>
      <c r="B25" s="113" t="s">
        <v>82</v>
      </c>
      <c r="C25" s="113" t="s">
        <v>84</v>
      </c>
      <c r="D25" s="123">
        <f>시점!AA58</f>
        <v>3814.44</v>
      </c>
      <c r="E25" s="124">
        <f>종점!AA58</f>
        <v>3074.3999999999996</v>
      </c>
      <c r="F25" s="124"/>
      <c r="G25" s="124"/>
      <c r="H25" s="285">
        <f t="shared" si="0"/>
        <v>6888.84</v>
      </c>
      <c r="I25" s="114"/>
    </row>
    <row r="26" spans="1:9" s="111" customFormat="1" ht="20.100000000000001" customHeight="1">
      <c r="A26" s="274" t="s">
        <v>181</v>
      </c>
      <c r="B26" s="113" t="s">
        <v>82</v>
      </c>
      <c r="C26" s="113" t="s">
        <v>88</v>
      </c>
      <c r="D26" s="122">
        <f>시점!AA38</f>
        <v>4</v>
      </c>
      <c r="E26" s="118">
        <f>종점!AA38</f>
        <v>4</v>
      </c>
      <c r="F26" s="118"/>
      <c r="G26" s="118"/>
      <c r="H26" s="287">
        <f t="shared" si="0"/>
        <v>8</v>
      </c>
      <c r="I26" s="114"/>
    </row>
    <row r="27" spans="1:9" s="111" customFormat="1" ht="20.100000000000001" hidden="1" customHeight="1">
      <c r="A27" s="292" t="s">
        <v>141</v>
      </c>
      <c r="B27" s="113" t="s">
        <v>201</v>
      </c>
      <c r="C27" s="113" t="s">
        <v>87</v>
      </c>
      <c r="D27" s="122"/>
      <c r="E27" s="118"/>
      <c r="F27" s="118"/>
      <c r="G27" s="118"/>
      <c r="H27" s="287">
        <f t="shared" si="0"/>
        <v>0</v>
      </c>
      <c r="I27" s="114"/>
    </row>
    <row r="28" spans="1:9" s="111" customFormat="1" ht="20.100000000000001" hidden="1" customHeight="1">
      <c r="A28" s="292"/>
      <c r="B28" s="113" t="s">
        <v>202</v>
      </c>
      <c r="C28" s="113" t="s">
        <v>87</v>
      </c>
      <c r="D28" s="122"/>
      <c r="E28" s="118"/>
      <c r="F28" s="118"/>
      <c r="G28" s="118"/>
      <c r="H28" s="287">
        <f t="shared" si="0"/>
        <v>0</v>
      </c>
      <c r="I28" s="114"/>
    </row>
    <row r="29" spans="1:9" s="111" customFormat="1" ht="20.100000000000001" hidden="1" customHeight="1">
      <c r="A29" s="292"/>
      <c r="B29" s="113" t="s">
        <v>203</v>
      </c>
      <c r="C29" s="113" t="s">
        <v>87</v>
      </c>
      <c r="D29" s="122"/>
      <c r="E29" s="118"/>
      <c r="F29" s="118"/>
      <c r="G29" s="118"/>
      <c r="H29" s="287">
        <f t="shared" si="0"/>
        <v>0</v>
      </c>
      <c r="I29" s="114"/>
    </row>
    <row r="30" spans="1:9" s="111" customFormat="1" ht="20.100000000000001" customHeight="1">
      <c r="A30" s="292" t="s">
        <v>300</v>
      </c>
      <c r="B30" s="113" t="s">
        <v>314</v>
      </c>
      <c r="C30" s="113" t="s">
        <v>87</v>
      </c>
      <c r="D30" s="122">
        <f>시점!AA74</f>
        <v>4</v>
      </c>
      <c r="E30" s="118">
        <f>종점!AA74</f>
        <v>4</v>
      </c>
      <c r="F30" s="118"/>
      <c r="G30" s="118"/>
      <c r="H30" s="287">
        <f t="shared" si="0"/>
        <v>8</v>
      </c>
      <c r="I30" s="114"/>
    </row>
    <row r="31" spans="1:9" s="111" customFormat="1" ht="20.100000000000001" customHeight="1">
      <c r="A31" s="292"/>
      <c r="B31" s="113" t="s">
        <v>182</v>
      </c>
      <c r="C31" s="113" t="s">
        <v>87</v>
      </c>
      <c r="D31" s="122">
        <f>시점!AA76</f>
        <v>16</v>
      </c>
      <c r="E31" s="118">
        <f>종점!AA76</f>
        <v>16</v>
      </c>
      <c r="F31" s="118"/>
      <c r="G31" s="118"/>
      <c r="H31" s="287">
        <f t="shared" si="0"/>
        <v>32</v>
      </c>
      <c r="I31" s="114"/>
    </row>
    <row r="32" spans="1:9" s="111" customFormat="1" ht="20.100000000000001" hidden="1" customHeight="1">
      <c r="A32" s="292"/>
      <c r="B32" s="113" t="s">
        <v>183</v>
      </c>
      <c r="C32" s="113" t="s">
        <v>87</v>
      </c>
      <c r="D32" s="123"/>
      <c r="E32" s="124"/>
      <c r="F32" s="124"/>
      <c r="G32" s="124"/>
      <c r="H32" s="285"/>
      <c r="I32" s="114"/>
    </row>
    <row r="33" spans="1:9" s="111" customFormat="1" ht="20.100000000000001" customHeight="1">
      <c r="A33" s="274" t="s">
        <v>184</v>
      </c>
      <c r="B33" s="113" t="s">
        <v>325</v>
      </c>
      <c r="C33" s="113" t="s">
        <v>88</v>
      </c>
      <c r="D33" s="122">
        <f>시점!AA103</f>
        <v>12</v>
      </c>
      <c r="E33" s="118">
        <f>종점!AA103</f>
        <v>12</v>
      </c>
      <c r="F33" s="118"/>
      <c r="G33" s="118"/>
      <c r="H33" s="287">
        <f>SUM(D33:G33)</f>
        <v>24</v>
      </c>
      <c r="I33" s="114"/>
    </row>
    <row r="34" spans="1:9" s="111" customFormat="1" ht="20.100000000000001" customHeight="1">
      <c r="A34" s="274" t="s">
        <v>158</v>
      </c>
      <c r="B34" s="113" t="s">
        <v>325</v>
      </c>
      <c r="C34" s="113" t="s">
        <v>88</v>
      </c>
      <c r="D34" s="122">
        <f>시점!AA91</f>
        <v>8</v>
      </c>
      <c r="E34" s="118">
        <f>종점!AA91</f>
        <v>8</v>
      </c>
      <c r="F34" s="118"/>
      <c r="G34" s="118"/>
      <c r="H34" s="287">
        <f>SUM(D34:G34)</f>
        <v>16</v>
      </c>
      <c r="I34" s="114"/>
    </row>
    <row r="35" spans="1:9" s="111" customFormat="1" ht="20.100000000000001" hidden="1" customHeight="1">
      <c r="A35" s="292" t="s">
        <v>301</v>
      </c>
      <c r="B35" s="113" t="s">
        <v>94</v>
      </c>
      <c r="C35" s="113" t="s">
        <v>88</v>
      </c>
      <c r="D35" s="122"/>
      <c r="E35" s="118"/>
      <c r="F35" s="118"/>
      <c r="G35" s="118"/>
      <c r="H35" s="287"/>
      <c r="I35" s="114"/>
    </row>
    <row r="36" spans="1:9" s="111" customFormat="1" ht="20.100000000000001" customHeight="1">
      <c r="A36" s="292"/>
      <c r="B36" s="113" t="s">
        <v>326</v>
      </c>
      <c r="C36" s="113" t="s">
        <v>88</v>
      </c>
      <c r="D36" s="122">
        <f>시점!AA117</f>
        <v>76</v>
      </c>
      <c r="E36" s="118">
        <f>종점!AA117</f>
        <v>68</v>
      </c>
      <c r="F36" s="118"/>
      <c r="G36" s="118"/>
      <c r="H36" s="287">
        <f t="shared" ref="H36:H44" si="2">SUM(D36:G36)</f>
        <v>144</v>
      </c>
      <c r="I36" s="114"/>
    </row>
    <row r="37" spans="1:9" s="111" customFormat="1" ht="20.100000000000001" customHeight="1">
      <c r="A37" s="262" t="s">
        <v>302</v>
      </c>
      <c r="B37" s="113" t="s">
        <v>92</v>
      </c>
      <c r="C37" s="113" t="s">
        <v>88</v>
      </c>
      <c r="D37" s="122">
        <f>시점!AA85</f>
        <v>38</v>
      </c>
      <c r="E37" s="118">
        <f>종점!AA85</f>
        <v>34</v>
      </c>
      <c r="F37" s="118"/>
      <c r="G37" s="118"/>
      <c r="H37" s="287">
        <f t="shared" si="2"/>
        <v>72</v>
      </c>
      <c r="I37" s="114"/>
    </row>
    <row r="38" spans="1:9" s="111" customFormat="1" ht="20.100000000000001" customHeight="1">
      <c r="A38" s="262" t="s">
        <v>254</v>
      </c>
      <c r="B38" s="113" t="s">
        <v>294</v>
      </c>
      <c r="C38" s="113" t="s">
        <v>87</v>
      </c>
      <c r="D38" s="122">
        <f>시점!AA85</f>
        <v>38</v>
      </c>
      <c r="E38" s="118">
        <f>종점!AA85</f>
        <v>34</v>
      </c>
      <c r="F38" s="118"/>
      <c r="G38" s="118"/>
      <c r="H38" s="287">
        <f t="shared" si="2"/>
        <v>72</v>
      </c>
      <c r="I38" s="114"/>
    </row>
    <row r="39" spans="1:9" s="111" customFormat="1" ht="20.100000000000001" customHeight="1">
      <c r="A39" s="262" t="s">
        <v>185</v>
      </c>
      <c r="B39" s="113" t="s">
        <v>92</v>
      </c>
      <c r="C39" s="113" t="s">
        <v>88</v>
      </c>
      <c r="D39" s="122">
        <f>시점!AA131</f>
        <v>8</v>
      </c>
      <c r="E39" s="118">
        <f>종점!AA131</f>
        <v>8</v>
      </c>
      <c r="F39" s="118"/>
      <c r="G39" s="118"/>
      <c r="H39" s="287">
        <f t="shared" si="2"/>
        <v>16</v>
      </c>
      <c r="I39" s="114"/>
    </row>
    <row r="40" spans="1:9" s="111" customFormat="1" ht="20.100000000000001" customHeight="1">
      <c r="A40" s="262" t="s">
        <v>295</v>
      </c>
      <c r="B40" s="113" t="s">
        <v>328</v>
      </c>
      <c r="C40" s="113" t="s">
        <v>87</v>
      </c>
      <c r="D40" s="122">
        <f>시점!AA131</f>
        <v>8</v>
      </c>
      <c r="E40" s="118">
        <f>종점!AA131</f>
        <v>8</v>
      </c>
      <c r="F40" s="118"/>
      <c r="G40" s="118"/>
      <c r="H40" s="287">
        <f t="shared" si="2"/>
        <v>16</v>
      </c>
      <c r="I40" s="114"/>
    </row>
    <row r="41" spans="1:9" s="111" customFormat="1" ht="20.100000000000001" customHeight="1">
      <c r="A41" s="262" t="s">
        <v>186</v>
      </c>
      <c r="B41" s="113" t="s">
        <v>92</v>
      </c>
      <c r="C41" s="113" t="s">
        <v>88</v>
      </c>
      <c r="D41" s="122">
        <f>시점!AA146</f>
        <v>8</v>
      </c>
      <c r="E41" s="118">
        <f>종점!AA146</f>
        <v>8</v>
      </c>
      <c r="F41" s="118"/>
      <c r="G41" s="118"/>
      <c r="H41" s="287">
        <f t="shared" si="2"/>
        <v>16</v>
      </c>
      <c r="I41" s="114"/>
    </row>
    <row r="42" spans="1:9" s="111" customFormat="1" ht="20.100000000000001" customHeight="1">
      <c r="A42" s="262" t="s">
        <v>296</v>
      </c>
      <c r="B42" s="113" t="s">
        <v>187</v>
      </c>
      <c r="C42" s="113" t="s">
        <v>88</v>
      </c>
      <c r="D42" s="122">
        <f>시점!AB162</f>
        <v>46</v>
      </c>
      <c r="E42" s="118">
        <f>종점!AB162</f>
        <v>42</v>
      </c>
      <c r="F42" s="118"/>
      <c r="G42" s="118"/>
      <c r="H42" s="287">
        <f t="shared" si="2"/>
        <v>88</v>
      </c>
      <c r="I42" s="114"/>
    </row>
    <row r="43" spans="1:9" s="111" customFormat="1" ht="20.100000000000001" customHeight="1">
      <c r="A43" s="262" t="s">
        <v>188</v>
      </c>
      <c r="B43" s="113" t="s">
        <v>92</v>
      </c>
      <c r="C43" s="113" t="s">
        <v>88</v>
      </c>
      <c r="D43" s="122">
        <f>시점!AA167</f>
        <v>8</v>
      </c>
      <c r="E43" s="118">
        <f>종점!AA167</f>
        <v>8</v>
      </c>
      <c r="F43" s="118"/>
      <c r="G43" s="118"/>
      <c r="H43" s="287">
        <f t="shared" si="2"/>
        <v>16</v>
      </c>
      <c r="I43" s="114"/>
    </row>
    <row r="44" spans="1:9" s="111" customFormat="1" ht="20.100000000000001" customHeight="1">
      <c r="A44" s="262" t="s">
        <v>189</v>
      </c>
      <c r="B44" s="113" t="s">
        <v>190</v>
      </c>
      <c r="C44" s="113" t="s">
        <v>87</v>
      </c>
      <c r="D44" s="122">
        <f>시점!AA167</f>
        <v>8</v>
      </c>
      <c r="E44" s="118">
        <f>종점!AA167</f>
        <v>8</v>
      </c>
      <c r="F44" s="118"/>
      <c r="G44" s="118"/>
      <c r="H44" s="287">
        <f t="shared" si="2"/>
        <v>16</v>
      </c>
      <c r="I44" s="114"/>
    </row>
    <row r="45" spans="1:9" s="111" customFormat="1" ht="20.100000000000001" customHeight="1">
      <c r="A45" s="262" t="s">
        <v>191</v>
      </c>
      <c r="B45" s="113" t="s">
        <v>92</v>
      </c>
      <c r="C45" s="113" t="s">
        <v>88</v>
      </c>
      <c r="D45" s="122"/>
      <c r="E45" s="118"/>
      <c r="F45" s="118"/>
      <c r="G45" s="118"/>
      <c r="H45" s="287"/>
      <c r="I45" s="114"/>
    </row>
    <row r="46" spans="1:9" s="111" customFormat="1" ht="20.100000000000001" customHeight="1">
      <c r="A46" s="262" t="s">
        <v>304</v>
      </c>
      <c r="B46" s="113" t="s">
        <v>309</v>
      </c>
      <c r="C46" s="113" t="s">
        <v>84</v>
      </c>
      <c r="D46" s="123">
        <f>시점!AA215</f>
        <v>103</v>
      </c>
      <c r="E46" s="124">
        <f>종점!AA215</f>
        <v>92</v>
      </c>
      <c r="F46" s="124"/>
      <c r="G46" s="124"/>
      <c r="H46" s="285">
        <f t="shared" ref="H46:H70" si="3">SUM(D46:G46)</f>
        <v>195</v>
      </c>
      <c r="I46" s="114"/>
    </row>
    <row r="47" spans="1:9" s="111" customFormat="1" ht="20.100000000000001" customHeight="1">
      <c r="A47" s="262" t="s">
        <v>192</v>
      </c>
      <c r="B47" s="113"/>
      <c r="C47" s="113" t="s">
        <v>88</v>
      </c>
      <c r="D47" s="122">
        <f>시점!AA193</f>
        <v>416</v>
      </c>
      <c r="E47" s="118">
        <f>종점!AA193</f>
        <v>336</v>
      </c>
      <c r="F47" s="118"/>
      <c r="G47" s="118"/>
      <c r="H47" s="287">
        <f t="shared" si="3"/>
        <v>752</v>
      </c>
      <c r="I47" s="114"/>
    </row>
    <row r="48" spans="1:9" s="111" customFormat="1" ht="20.100000000000001" customHeight="1">
      <c r="A48" s="262" t="s">
        <v>193</v>
      </c>
      <c r="B48" s="113" t="s">
        <v>305</v>
      </c>
      <c r="C48" s="113" t="s">
        <v>88</v>
      </c>
      <c r="D48" s="122">
        <f>시점!AA221</f>
        <v>4</v>
      </c>
      <c r="E48" s="118">
        <f>종점!AA221</f>
        <v>4</v>
      </c>
      <c r="F48" s="118"/>
      <c r="G48" s="118"/>
      <c r="H48" s="287">
        <f t="shared" ref="H48" si="4">SUM(D48:G48)</f>
        <v>8</v>
      </c>
      <c r="I48" s="114"/>
    </row>
    <row r="49" spans="1:9" s="111" customFormat="1" ht="20.100000000000001" customHeight="1">
      <c r="A49" s="262" t="s">
        <v>193</v>
      </c>
      <c r="B49" s="113" t="s">
        <v>194</v>
      </c>
      <c r="C49" s="113" t="s">
        <v>88</v>
      </c>
      <c r="D49" s="122">
        <f>시점!AA202</f>
        <v>32</v>
      </c>
      <c r="E49" s="118">
        <f>종점!AA202</f>
        <v>32</v>
      </c>
      <c r="F49" s="118"/>
      <c r="G49" s="118"/>
      <c r="H49" s="287">
        <f t="shared" si="3"/>
        <v>64</v>
      </c>
      <c r="I49" s="114"/>
    </row>
    <row r="50" spans="1:9" s="111" customFormat="1" ht="20.100000000000001" hidden="1" customHeight="1">
      <c r="A50" s="290" t="s">
        <v>195</v>
      </c>
      <c r="B50" s="113" t="s">
        <v>200</v>
      </c>
      <c r="C50" s="113" t="s">
        <v>95</v>
      </c>
      <c r="D50" s="123"/>
      <c r="E50" s="124"/>
      <c r="F50" s="124"/>
      <c r="G50" s="124"/>
      <c r="H50" s="285">
        <f t="shared" si="3"/>
        <v>0</v>
      </c>
      <c r="I50" s="114"/>
    </row>
    <row r="51" spans="1:9" s="111" customFormat="1" ht="20.100000000000001" hidden="1" customHeight="1">
      <c r="A51" s="290"/>
      <c r="B51" s="113" t="s">
        <v>196</v>
      </c>
      <c r="C51" s="113" t="s">
        <v>84</v>
      </c>
      <c r="D51" s="123"/>
      <c r="E51" s="124"/>
      <c r="F51" s="124"/>
      <c r="G51" s="124"/>
      <c r="H51" s="285">
        <f t="shared" si="3"/>
        <v>0</v>
      </c>
      <c r="I51" s="114"/>
    </row>
    <row r="52" spans="1:9" s="111" customFormat="1" ht="20.100000000000001" hidden="1" customHeight="1">
      <c r="A52" s="290"/>
      <c r="B52" s="113" t="s">
        <v>178</v>
      </c>
      <c r="C52" s="113" t="s">
        <v>89</v>
      </c>
      <c r="D52" s="123"/>
      <c r="E52" s="124"/>
      <c r="F52" s="124"/>
      <c r="G52" s="124"/>
      <c r="H52" s="285">
        <f t="shared" si="3"/>
        <v>0</v>
      </c>
      <c r="I52" s="114"/>
    </row>
    <row r="53" spans="1:9" s="111" customFormat="1" ht="20.100000000000001" customHeight="1">
      <c r="A53" s="293" t="s">
        <v>142</v>
      </c>
      <c r="B53" s="113" t="s">
        <v>97</v>
      </c>
      <c r="C53" s="113" t="s">
        <v>96</v>
      </c>
      <c r="D53" s="123">
        <f>'0-2) 가시설 자재 집계표'!I13+'0-2) 가시설 자재 집계표'!I17</f>
        <v>3.0990000000000002</v>
      </c>
      <c r="E53" s="123">
        <f>'0-2) 가시설 자재 집계표'!J13+'0-2) 가시설 자재 집계표'!J17</f>
        <v>3.0990000000000002</v>
      </c>
      <c r="F53" s="123"/>
      <c r="G53" s="123"/>
      <c r="H53" s="285">
        <f t="shared" si="3"/>
        <v>6.1980000000000004</v>
      </c>
      <c r="I53" s="114"/>
    </row>
    <row r="54" spans="1:9" s="111" customFormat="1" ht="20.100000000000001" customHeight="1">
      <c r="A54" s="293"/>
      <c r="B54" s="113" t="s">
        <v>98</v>
      </c>
      <c r="C54" s="113" t="s">
        <v>96</v>
      </c>
      <c r="D54" s="123">
        <f>'0-2) 가시설 자재 집계표'!I9+'0-2) 가시설 자재 집계표'!I11+'0-2) 가시설 자재 집계표'!I15</f>
        <v>54.192999999999998</v>
      </c>
      <c r="E54" s="123">
        <f>'0-2) 가시설 자재 집계표'!J9+'0-2) 가시설 자재 집계표'!J11+'0-2) 가시설 자재 집계표'!J15</f>
        <v>50.028999999999996</v>
      </c>
      <c r="F54" s="123"/>
      <c r="G54" s="123"/>
      <c r="H54" s="285">
        <f t="shared" si="3"/>
        <v>104.22199999999999</v>
      </c>
      <c r="I54" s="114"/>
    </row>
    <row r="55" spans="1:9" s="111" customFormat="1" ht="20.100000000000001" customHeight="1">
      <c r="A55" s="293"/>
      <c r="B55" s="120" t="s">
        <v>197</v>
      </c>
      <c r="C55" s="120" t="s">
        <v>96</v>
      </c>
      <c r="D55" s="127">
        <f>'0-2) 가시설 자재 집계표'!I4</f>
        <v>253.42500000000001</v>
      </c>
      <c r="E55" s="127">
        <f>'0-2) 가시설 자재 집계표'!J4</f>
        <v>205.46600000000001</v>
      </c>
      <c r="F55" s="127"/>
      <c r="G55" s="127"/>
      <c r="H55" s="285">
        <f t="shared" si="3"/>
        <v>458.89100000000002</v>
      </c>
      <c r="I55" s="114"/>
    </row>
    <row r="56" spans="1:9" s="111" customFormat="1" ht="20.100000000000001" customHeight="1">
      <c r="A56" s="293"/>
      <c r="B56" s="113" t="s">
        <v>99</v>
      </c>
      <c r="C56" s="113" t="s">
        <v>96</v>
      </c>
      <c r="D56" s="123">
        <f>'0-2) 가시설 자재 집계표'!I25</f>
        <v>1.631</v>
      </c>
      <c r="E56" s="123">
        <f>'0-2) 가시설 자재 집계표'!J25</f>
        <v>1.458</v>
      </c>
      <c r="F56" s="123"/>
      <c r="G56" s="123"/>
      <c r="H56" s="285">
        <f t="shared" si="3"/>
        <v>3.089</v>
      </c>
      <c r="I56" s="114"/>
    </row>
    <row r="57" spans="1:9" s="111" customFormat="1" ht="20.100000000000001" customHeight="1">
      <c r="A57" s="293"/>
      <c r="B57" s="113" t="s">
        <v>310</v>
      </c>
      <c r="C57" s="113" t="s">
        <v>96</v>
      </c>
      <c r="D57" s="123">
        <f>'0-2) 가시설 자재 집계표'!I23</f>
        <v>1.929</v>
      </c>
      <c r="E57" s="123">
        <f>'0-2) 가시설 자재 집계표'!J23</f>
        <v>1.7250000000000001</v>
      </c>
      <c r="F57" s="123"/>
      <c r="G57" s="123"/>
      <c r="H57" s="285">
        <f>SUM(D57:G57)</f>
        <v>3.6539999999999999</v>
      </c>
      <c r="I57" s="114"/>
    </row>
    <row r="58" spans="1:9" s="111" customFormat="1" ht="20.100000000000001" customHeight="1">
      <c r="A58" s="293"/>
      <c r="B58" s="113" t="s">
        <v>312</v>
      </c>
      <c r="C58" s="113" t="s">
        <v>96</v>
      </c>
      <c r="D58" s="123">
        <f>'0-2) 가시설 자재 집계표'!I19</f>
        <v>0.56000000000000005</v>
      </c>
      <c r="E58" s="123">
        <f>'0-2) 가시설 자재 집계표'!J19</f>
        <v>0.56000000000000005</v>
      </c>
      <c r="F58" s="123"/>
      <c r="G58" s="123"/>
      <c r="H58" s="285">
        <f>SUM(D58:G58)</f>
        <v>1.1200000000000001</v>
      </c>
      <c r="I58" s="114"/>
    </row>
    <row r="59" spans="1:9" s="111" customFormat="1" ht="20.100000000000001" customHeight="1">
      <c r="A59" s="293"/>
      <c r="B59" s="113" t="s">
        <v>311</v>
      </c>
      <c r="C59" s="113" t="s">
        <v>96</v>
      </c>
      <c r="D59" s="123">
        <f>'0-2) 가시설 자재 집계표'!I21</f>
        <v>7.6740000000000004</v>
      </c>
      <c r="E59" s="123">
        <f>'0-2) 가시설 자재 집계표'!J21</f>
        <v>6.8339999999999996</v>
      </c>
      <c r="F59" s="123"/>
      <c r="G59" s="123"/>
      <c r="H59" s="285">
        <f t="shared" si="3"/>
        <v>14.507999999999999</v>
      </c>
      <c r="I59" s="114"/>
    </row>
    <row r="60" spans="1:9" s="111" customFormat="1" ht="20.100000000000001" hidden="1" customHeight="1">
      <c r="A60" s="293" t="str">
        <f>A53</f>
        <v>강재 사용료 및 운반비</v>
      </c>
      <c r="B60" s="113" t="s">
        <v>205</v>
      </c>
      <c r="C60" s="113" t="s">
        <v>96</v>
      </c>
      <c r="D60" s="123">
        <f>'0-2) 가시설 자재 집계표'!I27</f>
        <v>0</v>
      </c>
      <c r="E60" s="123"/>
      <c r="F60" s="123"/>
      <c r="G60" s="123"/>
      <c r="H60" s="285">
        <f t="shared" si="3"/>
        <v>0</v>
      </c>
      <c r="I60" s="114"/>
    </row>
    <row r="61" spans="1:9" s="111" customFormat="1" ht="20.100000000000001" hidden="1" customHeight="1">
      <c r="A61" s="293"/>
      <c r="B61" s="113" t="s">
        <v>136</v>
      </c>
      <c r="C61" s="113" t="s">
        <v>96</v>
      </c>
      <c r="D61" s="123">
        <f>'0-2) 가시설 자재 집계표'!I29</f>
        <v>4.4790000000000001</v>
      </c>
      <c r="E61" s="123"/>
      <c r="F61" s="123"/>
      <c r="G61" s="123"/>
      <c r="H61" s="285">
        <f t="shared" si="3"/>
        <v>4.4790000000000001</v>
      </c>
      <c r="I61" s="114"/>
    </row>
    <row r="62" spans="1:9" s="111" customFormat="1" ht="20.100000000000001" hidden="1" customHeight="1">
      <c r="A62" s="293"/>
      <c r="B62" s="113" t="s">
        <v>206</v>
      </c>
      <c r="C62" s="113" t="s">
        <v>96</v>
      </c>
      <c r="D62" s="123">
        <f>'0-2) 가시설 자재 집계표'!I31</f>
        <v>0</v>
      </c>
      <c r="E62" s="123"/>
      <c r="F62" s="123"/>
      <c r="G62" s="123"/>
      <c r="H62" s="285">
        <f t="shared" si="3"/>
        <v>0</v>
      </c>
      <c r="I62" s="114"/>
    </row>
    <row r="63" spans="1:9" s="111" customFormat="1" ht="20.100000000000001" hidden="1" customHeight="1">
      <c r="A63" s="263" t="s">
        <v>204</v>
      </c>
      <c r="B63" s="113"/>
      <c r="C63" s="113" t="s">
        <v>119</v>
      </c>
      <c r="D63" s="123"/>
      <c r="E63" s="124"/>
      <c r="F63" s="124"/>
      <c r="G63" s="124"/>
      <c r="H63" s="285">
        <f t="shared" si="3"/>
        <v>0</v>
      </c>
      <c r="I63" s="114"/>
    </row>
    <row r="64" spans="1:9" s="111" customFormat="1" ht="20.100000000000001" hidden="1" customHeight="1">
      <c r="A64" s="263" t="s">
        <v>207</v>
      </c>
      <c r="B64" s="113"/>
      <c r="C64" s="113" t="s">
        <v>119</v>
      </c>
      <c r="D64" s="123">
        <f>시점!K6-1</f>
        <v>13.84</v>
      </c>
      <c r="E64" s="124">
        <f>종점!K6-1</f>
        <v>11.7</v>
      </c>
      <c r="F64" s="124"/>
      <c r="G64" s="124"/>
      <c r="H64" s="285">
        <f t="shared" si="3"/>
        <v>25.54</v>
      </c>
      <c r="I64" s="114"/>
    </row>
    <row r="65" spans="1:9" s="111" customFormat="1" ht="20.100000000000001" hidden="1" customHeight="1">
      <c r="A65" s="263" t="s">
        <v>165</v>
      </c>
      <c r="B65" s="113" t="s">
        <v>82</v>
      </c>
      <c r="C65" s="113" t="s">
        <v>166</v>
      </c>
      <c r="D65" s="123"/>
      <c r="E65" s="124"/>
      <c r="F65" s="124"/>
      <c r="G65" s="124"/>
      <c r="H65" s="285">
        <f t="shared" si="3"/>
        <v>0</v>
      </c>
      <c r="I65" s="114"/>
    </row>
    <row r="66" spans="1:9" s="111" customFormat="1" ht="20.100000000000001" hidden="1" customHeight="1">
      <c r="A66" s="263" t="s">
        <v>255</v>
      </c>
      <c r="B66" s="113" t="s">
        <v>257</v>
      </c>
      <c r="C66" s="113" t="s">
        <v>89</v>
      </c>
      <c r="D66" s="123"/>
      <c r="E66" s="124"/>
      <c r="F66" s="124"/>
      <c r="G66" s="124"/>
      <c r="H66" s="285">
        <f t="shared" si="3"/>
        <v>0</v>
      </c>
      <c r="I66" s="114"/>
    </row>
    <row r="67" spans="1:9" s="111" customFormat="1" ht="20.100000000000001" customHeight="1">
      <c r="A67" s="294" t="s">
        <v>165</v>
      </c>
      <c r="B67" s="154" t="s">
        <v>329</v>
      </c>
      <c r="C67" s="154" t="s">
        <v>330</v>
      </c>
      <c r="D67" s="155">
        <f>시점!AA234</f>
        <v>4</v>
      </c>
      <c r="E67" s="155">
        <f>종점!AA234</f>
        <v>4</v>
      </c>
      <c r="F67" s="155"/>
      <c r="G67" s="155"/>
      <c r="H67" s="285">
        <f t="shared" si="3"/>
        <v>8</v>
      </c>
      <c r="I67" s="114"/>
    </row>
    <row r="68" spans="1:9" s="111" customFormat="1" ht="20.100000000000001" customHeight="1">
      <c r="A68" s="295"/>
      <c r="B68" s="154" t="s">
        <v>331</v>
      </c>
      <c r="C68" s="154" t="s">
        <v>330</v>
      </c>
      <c r="D68" s="155">
        <f>시점!AA236</f>
        <v>4</v>
      </c>
      <c r="E68" s="155">
        <f>종점!AA236</f>
        <v>4</v>
      </c>
      <c r="F68" s="155"/>
      <c r="G68" s="155"/>
      <c r="H68" s="285">
        <f t="shared" si="3"/>
        <v>8</v>
      </c>
      <c r="I68" s="114"/>
    </row>
    <row r="69" spans="1:9" s="111" customFormat="1" ht="20.100000000000001" customHeight="1">
      <c r="A69" s="489"/>
      <c r="B69" s="158" t="s">
        <v>336</v>
      </c>
      <c r="C69" s="158" t="s">
        <v>330</v>
      </c>
      <c r="D69" s="159">
        <f>시점!AA238</f>
        <v>14</v>
      </c>
      <c r="E69" s="159">
        <f>종점!AA238</f>
        <v>14</v>
      </c>
      <c r="F69" s="159"/>
      <c r="G69" s="159"/>
      <c r="H69" s="490">
        <f t="shared" si="3"/>
        <v>28</v>
      </c>
      <c r="I69" s="119"/>
    </row>
    <row r="70" spans="1:9" s="111" customFormat="1" ht="20.100000000000001" hidden="1" customHeight="1">
      <c r="A70" s="484"/>
      <c r="B70" s="485" t="s">
        <v>263</v>
      </c>
      <c r="C70" s="485" t="s">
        <v>264</v>
      </c>
      <c r="D70" s="486"/>
      <c r="E70" s="486"/>
      <c r="F70" s="486"/>
      <c r="G70" s="486"/>
      <c r="H70" s="487">
        <f t="shared" si="3"/>
        <v>0</v>
      </c>
      <c r="I70" s="488"/>
    </row>
    <row r="71" spans="1:9" s="111" customFormat="1" ht="18" customHeight="1">
      <c r="B71" s="148"/>
      <c r="H71" s="160"/>
    </row>
    <row r="72" spans="1:9" s="111" customFormat="1" ht="18" customHeight="1">
      <c r="B72" s="148"/>
      <c r="H72" s="160"/>
    </row>
    <row r="73" spans="1:9" s="111" customFormat="1" ht="18" customHeight="1">
      <c r="B73" s="148"/>
      <c r="H73" s="160"/>
    </row>
    <row r="74" spans="1:9" s="111" customFormat="1" ht="18" customHeight="1">
      <c r="B74" s="148"/>
    </row>
    <row r="75" spans="1:9" s="111" customFormat="1" ht="18" customHeight="1">
      <c r="B75" s="148"/>
    </row>
    <row r="76" spans="1:9" s="111" customFormat="1" ht="18.95" customHeight="1">
      <c r="B76" s="148"/>
    </row>
    <row r="77" spans="1:9" s="111" customFormat="1" ht="18.95" customHeight="1">
      <c r="B77" s="148"/>
    </row>
    <row r="78" spans="1:9" s="111" customFormat="1" ht="18.95" customHeight="1">
      <c r="B78" s="148"/>
    </row>
    <row r="79" spans="1:9" ht="18.95" customHeight="1"/>
    <row r="80" spans="1:9" ht="18.95" customHeight="1"/>
    <row r="81" ht="18.95" customHeight="1"/>
  </sheetData>
  <mergeCells count="11">
    <mergeCell ref="A1:I1"/>
    <mergeCell ref="A27:A29"/>
    <mergeCell ref="A53:A59"/>
    <mergeCell ref="A60:A62"/>
    <mergeCell ref="A3:A4"/>
    <mergeCell ref="A35:A36"/>
    <mergeCell ref="A50:A52"/>
    <mergeCell ref="A12:A13"/>
    <mergeCell ref="A19:A20"/>
    <mergeCell ref="A30:A32"/>
    <mergeCell ref="A67:A69"/>
  </mergeCells>
  <phoneticPr fontId="12" type="noConversion"/>
  <printOptions horizontalCentered="1"/>
  <pageMargins left="0.39370078740157483" right="0.31496062992125984" top="0.59055118110236227" bottom="0.59055118110236227" header="0.31496062992125984" footer="0.31496062992125984"/>
  <pageSetup paperSize="9" orientation="portrait" r:id="rId1"/>
  <rowBreaks count="1" manualBreakCount="1">
    <brk id="52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05"/>
  <sheetViews>
    <sheetView showGridLines="0" showZeros="0" view="pageBreakPreview" zoomScaleNormal="100" zoomScaleSheetLayoutView="100" workbookViewId="0">
      <selection activeCell="J21" sqref="J21"/>
    </sheetView>
  </sheetViews>
  <sheetFormatPr defaultColWidth="3.5703125" defaultRowHeight="20.100000000000001" customHeight="1"/>
  <cols>
    <col min="1" max="1" width="6.140625" style="147" customWidth="1"/>
    <col min="2" max="2" width="13.28515625" style="147" customWidth="1"/>
    <col min="3" max="6" width="3.140625" style="147" customWidth="1"/>
    <col min="7" max="7" width="9.5703125" style="147" customWidth="1"/>
    <col min="8" max="8" width="7.42578125" style="147" customWidth="1"/>
    <col min="9" max="15" width="10" style="129" customWidth="1"/>
    <col min="16" max="25" width="13.85546875" style="129" customWidth="1"/>
    <col min="26" max="32" width="8.7109375" style="129" customWidth="1"/>
    <col min="33" max="16384" width="3.5703125" style="129"/>
  </cols>
  <sheetData>
    <row r="1" spans="1:20" ht="24.95" customHeight="1">
      <c r="A1" s="310" t="s">
        <v>209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</row>
    <row r="2" spans="1:20" s="132" customFormat="1" ht="17.100000000000001" customHeight="1">
      <c r="A2" s="313" t="s">
        <v>210</v>
      </c>
      <c r="B2" s="314"/>
      <c r="C2" s="314" t="s">
        <v>211</v>
      </c>
      <c r="D2" s="314"/>
      <c r="E2" s="314"/>
      <c r="F2" s="314"/>
      <c r="G2" s="314"/>
      <c r="H2" s="130" t="s">
        <v>212</v>
      </c>
      <c r="I2" s="109" t="s">
        <v>316</v>
      </c>
      <c r="J2" s="109" t="s">
        <v>319</v>
      </c>
      <c r="K2" s="109"/>
      <c r="L2" s="109"/>
      <c r="M2" s="130"/>
      <c r="N2" s="130"/>
      <c r="O2" s="130"/>
      <c r="P2" s="130" t="s">
        <v>213</v>
      </c>
      <c r="Q2" s="131" t="s">
        <v>214</v>
      </c>
    </row>
    <row r="3" spans="1:20" s="132" customFormat="1" ht="15" customHeight="1">
      <c r="A3" s="297" t="s">
        <v>215</v>
      </c>
      <c r="B3" s="298"/>
      <c r="C3" s="298" t="s">
        <v>34</v>
      </c>
      <c r="D3" s="298"/>
      <c r="E3" s="298"/>
      <c r="F3" s="298"/>
      <c r="G3" s="298"/>
      <c r="H3" s="152" t="s">
        <v>216</v>
      </c>
      <c r="I3" s="133">
        <f>시점!AA16</f>
        <v>236.846</v>
      </c>
      <c r="J3" s="133">
        <f>종점!AA16</f>
        <v>192.024</v>
      </c>
      <c r="K3" s="133"/>
      <c r="L3" s="133"/>
      <c r="M3" s="133"/>
      <c r="N3" s="133"/>
      <c r="O3" s="133"/>
      <c r="P3" s="133">
        <f>SUM(I3:O3)</f>
        <v>428.87</v>
      </c>
      <c r="Q3" s="134" t="s">
        <v>217</v>
      </c>
    </row>
    <row r="4" spans="1:20" s="132" customFormat="1" ht="15" customHeight="1">
      <c r="A4" s="299" t="s">
        <v>218</v>
      </c>
      <c r="B4" s="300"/>
      <c r="C4" s="300"/>
      <c r="D4" s="300"/>
      <c r="E4" s="300"/>
      <c r="F4" s="300"/>
      <c r="G4" s="300"/>
      <c r="H4" s="151" t="s">
        <v>219</v>
      </c>
      <c r="I4" s="135">
        <f>ROUND(I3*1.07,3)</f>
        <v>253.42500000000001</v>
      </c>
      <c r="J4" s="135">
        <f>ROUND(J3*1.07,3)</f>
        <v>205.46600000000001</v>
      </c>
      <c r="K4" s="135"/>
      <c r="L4" s="135"/>
      <c r="M4" s="135"/>
      <c r="N4" s="135"/>
      <c r="O4" s="135"/>
      <c r="P4" s="128">
        <f>SUM(I4:O4)</f>
        <v>458.89100000000002</v>
      </c>
      <c r="Q4" s="136" t="s">
        <v>220</v>
      </c>
    </row>
    <row r="5" spans="1:20" s="132" customFormat="1" ht="15" customHeight="1">
      <c r="A5" s="321" t="s">
        <v>306</v>
      </c>
      <c r="B5" s="322"/>
      <c r="C5" s="301" t="s">
        <v>221</v>
      </c>
      <c r="D5" s="302"/>
      <c r="E5" s="302"/>
      <c r="F5" s="302"/>
      <c r="G5" s="303"/>
      <c r="H5" s="152" t="s">
        <v>10</v>
      </c>
      <c r="I5" s="133">
        <f>시점!AA78</f>
        <v>19.552</v>
      </c>
      <c r="J5" s="133">
        <f>종점!AA78</f>
        <v>18.443000000000001</v>
      </c>
      <c r="K5" s="133"/>
      <c r="L5" s="133"/>
      <c r="M5" s="133"/>
      <c r="N5" s="133"/>
      <c r="O5" s="133"/>
      <c r="P5" s="133"/>
      <c r="Q5" s="134"/>
    </row>
    <row r="6" spans="1:20" s="132" customFormat="1" ht="15" customHeight="1">
      <c r="A6" s="311" t="s">
        <v>307</v>
      </c>
      <c r="B6" s="312"/>
      <c r="C6" s="304"/>
      <c r="D6" s="305"/>
      <c r="E6" s="305"/>
      <c r="F6" s="305"/>
      <c r="G6" s="306"/>
      <c r="H6" s="150" t="s">
        <v>219</v>
      </c>
      <c r="I6" s="137">
        <f>ROUND(시점!X133*시점!AA131,3)</f>
        <v>3.3090000000000002</v>
      </c>
      <c r="J6" s="137">
        <f>ROUND(종점!X133*종점!AA131,3)</f>
        <v>3.3090000000000002</v>
      </c>
      <c r="K6" s="137"/>
      <c r="L6" s="137"/>
      <c r="M6" s="137"/>
      <c r="N6" s="137"/>
      <c r="O6" s="137"/>
      <c r="P6" s="138">
        <f t="shared" ref="P6:P34" si="0">SUM(I6:O6)</f>
        <v>6.6180000000000003</v>
      </c>
      <c r="Q6" s="139"/>
    </row>
    <row r="7" spans="1:20" s="132" customFormat="1" ht="15" customHeight="1">
      <c r="A7" s="311" t="s">
        <v>308</v>
      </c>
      <c r="B7" s="312"/>
      <c r="C7" s="307"/>
      <c r="D7" s="308"/>
      <c r="E7" s="308"/>
      <c r="F7" s="308"/>
      <c r="G7" s="309"/>
      <c r="H7" s="150" t="s">
        <v>219</v>
      </c>
      <c r="I7" s="137">
        <f>ROUND(시점!X168*시점!AA167,3)</f>
        <v>1.3540000000000001</v>
      </c>
      <c r="J7" s="137">
        <f>ROUND(종점!X168*종점!AA167,3)</f>
        <v>1.3540000000000001</v>
      </c>
      <c r="K7" s="137"/>
      <c r="L7" s="137"/>
      <c r="M7" s="137"/>
      <c r="N7" s="137"/>
      <c r="O7" s="137"/>
      <c r="P7" s="138">
        <f t="shared" si="0"/>
        <v>2.7080000000000002</v>
      </c>
      <c r="Q7" s="139"/>
    </row>
    <row r="8" spans="1:20" s="132" customFormat="1" ht="15" customHeight="1">
      <c r="A8" s="311" t="s">
        <v>222</v>
      </c>
      <c r="B8" s="312"/>
      <c r="C8" s="312"/>
      <c r="D8" s="312"/>
      <c r="E8" s="312"/>
      <c r="F8" s="312"/>
      <c r="G8" s="312"/>
      <c r="H8" s="150" t="s">
        <v>219</v>
      </c>
      <c r="I8" s="137">
        <f>SUM(I5:I7)</f>
        <v>24.215</v>
      </c>
      <c r="J8" s="137">
        <f>SUM(J5:J7)</f>
        <v>23.106000000000002</v>
      </c>
      <c r="K8" s="137"/>
      <c r="L8" s="137"/>
      <c r="M8" s="137"/>
      <c r="N8" s="137"/>
      <c r="O8" s="137"/>
      <c r="P8" s="138">
        <f t="shared" si="0"/>
        <v>47.320999999999998</v>
      </c>
      <c r="Q8" s="139" t="s">
        <v>223</v>
      </c>
    </row>
    <row r="9" spans="1:20" s="132" customFormat="1" ht="15" customHeight="1">
      <c r="A9" s="299" t="s">
        <v>224</v>
      </c>
      <c r="B9" s="300"/>
      <c r="C9" s="300"/>
      <c r="D9" s="300"/>
      <c r="E9" s="300"/>
      <c r="F9" s="300"/>
      <c r="G9" s="300"/>
      <c r="H9" s="151" t="s">
        <v>219</v>
      </c>
      <c r="I9" s="135">
        <f>ROUND(I8*1.07,3)</f>
        <v>25.91</v>
      </c>
      <c r="J9" s="135">
        <f>ROUND(J8*1.07,3)</f>
        <v>24.722999999999999</v>
      </c>
      <c r="K9" s="135"/>
      <c r="L9" s="135"/>
      <c r="M9" s="135"/>
      <c r="N9" s="135"/>
      <c r="O9" s="135"/>
      <c r="P9" s="128">
        <f t="shared" si="0"/>
        <v>50.632999999999996</v>
      </c>
      <c r="Q9" s="136" t="s">
        <v>220</v>
      </c>
    </row>
    <row r="10" spans="1:20" s="132" customFormat="1" ht="15" customHeight="1">
      <c r="A10" s="297" t="s">
        <v>225</v>
      </c>
      <c r="B10" s="298"/>
      <c r="C10" s="298" t="s">
        <v>221</v>
      </c>
      <c r="D10" s="298"/>
      <c r="E10" s="298"/>
      <c r="F10" s="298"/>
      <c r="G10" s="298"/>
      <c r="H10" s="152" t="s">
        <v>219</v>
      </c>
      <c r="I10" s="133"/>
      <c r="J10" s="133"/>
      <c r="K10" s="133"/>
      <c r="L10" s="133"/>
      <c r="M10" s="133"/>
      <c r="N10" s="133"/>
      <c r="O10" s="133"/>
      <c r="P10" s="133">
        <f t="shared" si="0"/>
        <v>0</v>
      </c>
      <c r="Q10" s="134" t="s">
        <v>223</v>
      </c>
    </row>
    <row r="11" spans="1:20" s="132" customFormat="1" ht="15" customHeight="1">
      <c r="A11" s="299" t="s">
        <v>224</v>
      </c>
      <c r="B11" s="300"/>
      <c r="C11" s="300"/>
      <c r="D11" s="300"/>
      <c r="E11" s="300"/>
      <c r="F11" s="300"/>
      <c r="G11" s="300"/>
      <c r="H11" s="151" t="s">
        <v>219</v>
      </c>
      <c r="I11" s="135"/>
      <c r="J11" s="135"/>
      <c r="K11" s="135"/>
      <c r="L11" s="135"/>
      <c r="M11" s="135"/>
      <c r="N11" s="135"/>
      <c r="O11" s="135"/>
      <c r="P11" s="128">
        <f t="shared" si="0"/>
        <v>0</v>
      </c>
      <c r="Q11" s="136" t="s">
        <v>220</v>
      </c>
      <c r="S11" s="140"/>
      <c r="T11" s="141"/>
    </row>
    <row r="12" spans="1:20" s="132" customFormat="1" ht="15" customHeight="1">
      <c r="A12" s="297" t="s">
        <v>226</v>
      </c>
      <c r="B12" s="298"/>
      <c r="C12" s="298" t="s">
        <v>227</v>
      </c>
      <c r="D12" s="298"/>
      <c r="E12" s="298"/>
      <c r="F12" s="298"/>
      <c r="G12" s="298"/>
      <c r="H12" s="152" t="s">
        <v>216</v>
      </c>
      <c r="I12" s="133"/>
      <c r="J12" s="133"/>
      <c r="K12" s="133"/>
      <c r="L12" s="133"/>
      <c r="M12" s="133"/>
      <c r="N12" s="133"/>
      <c r="O12" s="133"/>
      <c r="P12" s="133">
        <f t="shared" si="0"/>
        <v>0</v>
      </c>
      <c r="Q12" s="134" t="s">
        <v>217</v>
      </c>
    </row>
    <row r="13" spans="1:20" s="132" customFormat="1" ht="15" customHeight="1">
      <c r="A13" s="299" t="s">
        <v>218</v>
      </c>
      <c r="B13" s="300"/>
      <c r="C13" s="300"/>
      <c r="D13" s="300"/>
      <c r="E13" s="300"/>
      <c r="F13" s="300"/>
      <c r="G13" s="300"/>
      <c r="H13" s="151" t="s">
        <v>216</v>
      </c>
      <c r="I13" s="135"/>
      <c r="J13" s="135"/>
      <c r="K13" s="135"/>
      <c r="L13" s="135"/>
      <c r="M13" s="135"/>
      <c r="N13" s="135"/>
      <c r="O13" s="135"/>
      <c r="P13" s="128">
        <f t="shared" si="0"/>
        <v>0</v>
      </c>
      <c r="Q13" s="136" t="s">
        <v>228</v>
      </c>
    </row>
    <row r="14" spans="1:20" s="132" customFormat="1" ht="15" customHeight="1">
      <c r="A14" s="297" t="s">
        <v>229</v>
      </c>
      <c r="B14" s="298"/>
      <c r="C14" s="298" t="s">
        <v>230</v>
      </c>
      <c r="D14" s="298"/>
      <c r="E14" s="298"/>
      <c r="F14" s="298"/>
      <c r="G14" s="298"/>
      <c r="H14" s="152" t="s">
        <v>216</v>
      </c>
      <c r="I14" s="133">
        <f>시점!AA87</f>
        <v>26.433</v>
      </c>
      <c r="J14" s="133">
        <f>종점!AA87</f>
        <v>23.65</v>
      </c>
      <c r="K14" s="133"/>
      <c r="L14" s="133"/>
      <c r="M14" s="133"/>
      <c r="N14" s="133"/>
      <c r="O14" s="133"/>
      <c r="P14" s="133">
        <f t="shared" si="0"/>
        <v>50.082999999999998</v>
      </c>
      <c r="Q14" s="134" t="s">
        <v>217</v>
      </c>
    </row>
    <row r="15" spans="1:20" s="132" customFormat="1" ht="15" customHeight="1">
      <c r="A15" s="299" t="s">
        <v>218</v>
      </c>
      <c r="B15" s="300"/>
      <c r="C15" s="300"/>
      <c r="D15" s="300"/>
      <c r="E15" s="300"/>
      <c r="F15" s="300"/>
      <c r="G15" s="300"/>
      <c r="H15" s="151" t="s">
        <v>216</v>
      </c>
      <c r="I15" s="135">
        <f>ROUND(I14*1.07,3)</f>
        <v>28.283000000000001</v>
      </c>
      <c r="J15" s="135">
        <f>ROUND(J14*1.07,3)</f>
        <v>25.306000000000001</v>
      </c>
      <c r="K15" s="135"/>
      <c r="L15" s="135"/>
      <c r="M15" s="135"/>
      <c r="N15" s="135"/>
      <c r="O15" s="135"/>
      <c r="P15" s="128">
        <f t="shared" si="0"/>
        <v>53.588999999999999</v>
      </c>
      <c r="Q15" s="136" t="s">
        <v>228</v>
      </c>
    </row>
    <row r="16" spans="1:20" s="132" customFormat="1" ht="15" customHeight="1">
      <c r="A16" s="297" t="s">
        <v>231</v>
      </c>
      <c r="B16" s="298"/>
      <c r="C16" s="298" t="s">
        <v>227</v>
      </c>
      <c r="D16" s="298"/>
      <c r="E16" s="298"/>
      <c r="F16" s="298"/>
      <c r="G16" s="298"/>
      <c r="H16" s="152" t="s">
        <v>216</v>
      </c>
      <c r="I16" s="133">
        <f>시점!AA26</f>
        <v>2.8959999999999999</v>
      </c>
      <c r="J16" s="133">
        <f>종점!AA26</f>
        <v>2.8959999999999999</v>
      </c>
      <c r="K16" s="133"/>
      <c r="L16" s="133"/>
      <c r="M16" s="133"/>
      <c r="N16" s="133"/>
      <c r="O16" s="133"/>
      <c r="P16" s="133">
        <f t="shared" si="0"/>
        <v>5.7919999999999998</v>
      </c>
      <c r="Q16" s="134" t="s">
        <v>217</v>
      </c>
    </row>
    <row r="17" spans="1:17" s="132" customFormat="1" ht="15" customHeight="1">
      <c r="A17" s="299" t="s">
        <v>218</v>
      </c>
      <c r="B17" s="300"/>
      <c r="C17" s="300"/>
      <c r="D17" s="300"/>
      <c r="E17" s="300"/>
      <c r="F17" s="300"/>
      <c r="G17" s="300"/>
      <c r="H17" s="151" t="s">
        <v>216</v>
      </c>
      <c r="I17" s="135">
        <f>ROUND(I16*1.07,3)</f>
        <v>3.0990000000000002</v>
      </c>
      <c r="J17" s="135">
        <f>ROUND(J16*1.07,3)</f>
        <v>3.0990000000000002</v>
      </c>
      <c r="K17" s="135"/>
      <c r="L17" s="135"/>
      <c r="M17" s="135"/>
      <c r="N17" s="135"/>
      <c r="O17" s="135"/>
      <c r="P17" s="128">
        <f t="shared" si="0"/>
        <v>6.1980000000000004</v>
      </c>
      <c r="Q17" s="136" t="s">
        <v>228</v>
      </c>
    </row>
    <row r="18" spans="1:17" s="132" customFormat="1" ht="15" customHeight="1">
      <c r="A18" s="297" t="s">
        <v>232</v>
      </c>
      <c r="B18" s="298"/>
      <c r="C18" s="298" t="s">
        <v>327</v>
      </c>
      <c r="D18" s="298"/>
      <c r="E18" s="298"/>
      <c r="F18" s="298"/>
      <c r="G18" s="298"/>
      <c r="H18" s="152" t="s">
        <v>216</v>
      </c>
      <c r="I18" s="133">
        <f>시점!AA204</f>
        <v>0.52300000000000002</v>
      </c>
      <c r="J18" s="133">
        <f>종점!AA204</f>
        <v>0.52300000000000002</v>
      </c>
      <c r="K18" s="133"/>
      <c r="L18" s="133"/>
      <c r="M18" s="133"/>
      <c r="N18" s="133"/>
      <c r="O18" s="133"/>
      <c r="P18" s="133">
        <f t="shared" si="0"/>
        <v>1.046</v>
      </c>
      <c r="Q18" s="134" t="s">
        <v>217</v>
      </c>
    </row>
    <row r="19" spans="1:17" s="132" customFormat="1" ht="15" customHeight="1">
      <c r="A19" s="299" t="s">
        <v>218</v>
      </c>
      <c r="B19" s="300"/>
      <c r="C19" s="300"/>
      <c r="D19" s="300"/>
      <c r="E19" s="300"/>
      <c r="F19" s="300"/>
      <c r="G19" s="300"/>
      <c r="H19" s="151" t="s">
        <v>216</v>
      </c>
      <c r="I19" s="135">
        <f>ROUND(I18*1.07,3)</f>
        <v>0.56000000000000005</v>
      </c>
      <c r="J19" s="135">
        <f>ROUND(J18*1.07,3)</f>
        <v>0.56000000000000005</v>
      </c>
      <c r="K19" s="135"/>
      <c r="L19" s="135"/>
      <c r="M19" s="135"/>
      <c r="N19" s="135"/>
      <c r="O19" s="135"/>
      <c r="P19" s="128">
        <f t="shared" si="0"/>
        <v>1.1200000000000001</v>
      </c>
      <c r="Q19" s="136" t="s">
        <v>228</v>
      </c>
    </row>
    <row r="20" spans="1:17" s="132" customFormat="1" ht="15" customHeight="1">
      <c r="A20" s="297" t="s">
        <v>232</v>
      </c>
      <c r="B20" s="298"/>
      <c r="C20" s="298" t="s">
        <v>305</v>
      </c>
      <c r="D20" s="298"/>
      <c r="E20" s="298"/>
      <c r="F20" s="298"/>
      <c r="G20" s="298"/>
      <c r="H20" s="152" t="s">
        <v>10</v>
      </c>
      <c r="I20" s="133">
        <f>시점!AA223</f>
        <v>7.1719999999999997</v>
      </c>
      <c r="J20" s="133">
        <f>종점!AA223</f>
        <v>6.3869999999999996</v>
      </c>
      <c r="K20" s="133"/>
      <c r="L20" s="133"/>
      <c r="M20" s="133"/>
      <c r="N20" s="133"/>
      <c r="O20" s="133"/>
      <c r="P20" s="133">
        <f t="shared" ref="P20:P21" si="1">SUM(I20:O20)</f>
        <v>13.558999999999999</v>
      </c>
      <c r="Q20" s="134" t="s">
        <v>217</v>
      </c>
    </row>
    <row r="21" spans="1:17" s="132" customFormat="1" ht="15" customHeight="1">
      <c r="A21" s="299" t="s">
        <v>218</v>
      </c>
      <c r="B21" s="300"/>
      <c r="C21" s="300"/>
      <c r="D21" s="300"/>
      <c r="E21" s="300"/>
      <c r="F21" s="300"/>
      <c r="G21" s="300"/>
      <c r="H21" s="151" t="s">
        <v>10</v>
      </c>
      <c r="I21" s="135">
        <f>ROUND(I20*1.07,3)</f>
        <v>7.6740000000000004</v>
      </c>
      <c r="J21" s="135">
        <f>ROUND(J20*1.07,3)</f>
        <v>6.8339999999999996</v>
      </c>
      <c r="K21" s="135"/>
      <c r="L21" s="135"/>
      <c r="M21" s="135"/>
      <c r="N21" s="135"/>
      <c r="O21" s="135"/>
      <c r="P21" s="128">
        <f t="shared" si="1"/>
        <v>14.507999999999999</v>
      </c>
      <c r="Q21" s="136" t="s">
        <v>220</v>
      </c>
    </row>
    <row r="22" spans="1:17" s="132" customFormat="1" ht="15" customHeight="1">
      <c r="A22" s="297" t="s">
        <v>233</v>
      </c>
      <c r="B22" s="298"/>
      <c r="C22" s="298" t="s">
        <v>309</v>
      </c>
      <c r="D22" s="298"/>
      <c r="E22" s="298"/>
      <c r="F22" s="298"/>
      <c r="G22" s="298"/>
      <c r="H22" s="152" t="s">
        <v>219</v>
      </c>
      <c r="I22" s="133">
        <f>시점!AA217</f>
        <v>1.837</v>
      </c>
      <c r="J22" s="133">
        <f>종점!AA217</f>
        <v>1.643</v>
      </c>
      <c r="K22" s="133"/>
      <c r="L22" s="133"/>
      <c r="M22" s="133"/>
      <c r="N22" s="133"/>
      <c r="O22" s="133"/>
      <c r="P22" s="133">
        <f t="shared" si="0"/>
        <v>3.48</v>
      </c>
      <c r="Q22" s="134" t="s">
        <v>223</v>
      </c>
    </row>
    <row r="23" spans="1:17" s="132" customFormat="1" ht="15" customHeight="1">
      <c r="A23" s="299" t="str">
        <f>A19</f>
        <v>할증 계</v>
      </c>
      <c r="B23" s="300"/>
      <c r="C23" s="300"/>
      <c r="D23" s="300"/>
      <c r="E23" s="300"/>
      <c r="F23" s="300"/>
      <c r="G23" s="300"/>
      <c r="H23" s="151" t="s">
        <v>219</v>
      </c>
      <c r="I23" s="135">
        <f>ROUND(I22*1.05,3)</f>
        <v>1.929</v>
      </c>
      <c r="J23" s="135">
        <f>ROUND(J22*1.05,3)</f>
        <v>1.7250000000000001</v>
      </c>
      <c r="K23" s="135"/>
      <c r="L23" s="135"/>
      <c r="M23" s="135"/>
      <c r="N23" s="135"/>
      <c r="O23" s="135"/>
      <c r="P23" s="128">
        <f t="shared" si="0"/>
        <v>3.6539999999999999</v>
      </c>
      <c r="Q23" s="136" t="s">
        <v>234</v>
      </c>
    </row>
    <row r="24" spans="1:17" s="132" customFormat="1" ht="15" customHeight="1">
      <c r="A24" s="297" t="s">
        <v>235</v>
      </c>
      <c r="B24" s="298"/>
      <c r="C24" s="298" t="s">
        <v>236</v>
      </c>
      <c r="D24" s="298"/>
      <c r="E24" s="298"/>
      <c r="F24" s="298"/>
      <c r="G24" s="298"/>
      <c r="H24" s="152" t="s">
        <v>216</v>
      </c>
      <c r="I24" s="133">
        <f>시점!AA119</f>
        <v>1.5529999999999999</v>
      </c>
      <c r="J24" s="133">
        <f>종점!AA119</f>
        <v>1.389</v>
      </c>
      <c r="K24" s="133"/>
      <c r="L24" s="133"/>
      <c r="M24" s="133"/>
      <c r="N24" s="133"/>
      <c r="O24" s="133"/>
      <c r="P24" s="133">
        <f t="shared" si="0"/>
        <v>2.9420000000000002</v>
      </c>
      <c r="Q24" s="134" t="s">
        <v>217</v>
      </c>
    </row>
    <row r="25" spans="1:17" s="132" customFormat="1" ht="15" customHeight="1">
      <c r="A25" s="299" t="str">
        <f>A23</f>
        <v>할증 계</v>
      </c>
      <c r="B25" s="300"/>
      <c r="C25" s="300"/>
      <c r="D25" s="300"/>
      <c r="E25" s="300"/>
      <c r="F25" s="300"/>
      <c r="G25" s="300"/>
      <c r="H25" s="151" t="s">
        <v>216</v>
      </c>
      <c r="I25" s="135">
        <f>ROUND(I24*1.05,3)</f>
        <v>1.631</v>
      </c>
      <c r="J25" s="135">
        <f>ROUND(J24*1.05,3)</f>
        <v>1.458</v>
      </c>
      <c r="K25" s="135"/>
      <c r="L25" s="135"/>
      <c r="M25" s="135"/>
      <c r="N25" s="135"/>
      <c r="O25" s="135"/>
      <c r="P25" s="128">
        <f t="shared" si="0"/>
        <v>3.089</v>
      </c>
      <c r="Q25" s="136" t="s">
        <v>237</v>
      </c>
    </row>
    <row r="26" spans="1:17" s="132" customFormat="1" ht="15" hidden="1" customHeight="1">
      <c r="A26" s="297" t="s">
        <v>238</v>
      </c>
      <c r="B26" s="298"/>
      <c r="C26" s="298" t="s">
        <v>239</v>
      </c>
      <c r="D26" s="298"/>
      <c r="E26" s="298"/>
      <c r="F26" s="298"/>
      <c r="G26" s="298"/>
      <c r="H26" s="152" t="s">
        <v>216</v>
      </c>
      <c r="I26" s="133"/>
      <c r="J26" s="133"/>
      <c r="K26" s="133"/>
      <c r="L26" s="133"/>
      <c r="M26" s="133"/>
      <c r="N26" s="133"/>
      <c r="O26" s="133"/>
      <c r="P26" s="133">
        <f t="shared" si="0"/>
        <v>0</v>
      </c>
      <c r="Q26" s="134" t="s">
        <v>217</v>
      </c>
    </row>
    <row r="27" spans="1:17" s="132" customFormat="1" ht="15" hidden="1" customHeight="1">
      <c r="A27" s="299" t="str">
        <f>A23</f>
        <v>할증 계</v>
      </c>
      <c r="B27" s="300"/>
      <c r="C27" s="300"/>
      <c r="D27" s="300"/>
      <c r="E27" s="300"/>
      <c r="F27" s="300"/>
      <c r="G27" s="300"/>
      <c r="H27" s="151" t="s">
        <v>216</v>
      </c>
      <c r="I27" s="135"/>
      <c r="J27" s="135"/>
      <c r="K27" s="135"/>
      <c r="L27" s="135"/>
      <c r="M27" s="135"/>
      <c r="N27" s="135"/>
      <c r="O27" s="135"/>
      <c r="P27" s="128">
        <f t="shared" si="0"/>
        <v>0</v>
      </c>
      <c r="Q27" s="136" t="s">
        <v>240</v>
      </c>
    </row>
    <row r="28" spans="1:17" s="132" customFormat="1" ht="15" customHeight="1">
      <c r="A28" s="297" t="s">
        <v>241</v>
      </c>
      <c r="B28" s="298"/>
      <c r="C28" s="298" t="s">
        <v>242</v>
      </c>
      <c r="D28" s="298"/>
      <c r="E28" s="298"/>
      <c r="F28" s="298"/>
      <c r="G28" s="298"/>
      <c r="H28" s="152" t="s">
        <v>219</v>
      </c>
      <c r="I28" s="162">
        <f>SUM(시점!AG94:AG197)</f>
        <v>4.0720323839999999</v>
      </c>
      <c r="J28" s="162">
        <f>SUM(종점!AG94:AG197)</f>
        <v>3.7278255839999996</v>
      </c>
      <c r="K28" s="162"/>
      <c r="L28" s="162"/>
      <c r="M28" s="133"/>
      <c r="N28" s="133"/>
      <c r="O28" s="133"/>
      <c r="P28" s="133">
        <f t="shared" si="0"/>
        <v>7.7998579679999995</v>
      </c>
      <c r="Q28" s="134" t="s">
        <v>223</v>
      </c>
    </row>
    <row r="29" spans="1:17" s="132" customFormat="1" ht="15" customHeight="1">
      <c r="A29" s="299" t="str">
        <f>A27</f>
        <v>할증 계</v>
      </c>
      <c r="B29" s="300"/>
      <c r="C29" s="300"/>
      <c r="D29" s="300"/>
      <c r="E29" s="300"/>
      <c r="F29" s="300"/>
      <c r="G29" s="300"/>
      <c r="H29" s="151" t="s">
        <v>219</v>
      </c>
      <c r="I29" s="163">
        <f>ROUND(I28*1.1,3)</f>
        <v>4.4790000000000001</v>
      </c>
      <c r="J29" s="163">
        <f>ROUND(J28*1.1,3)</f>
        <v>4.101</v>
      </c>
      <c r="K29" s="163"/>
      <c r="L29" s="163"/>
      <c r="M29" s="135"/>
      <c r="N29" s="135"/>
      <c r="O29" s="135"/>
      <c r="P29" s="128">
        <f t="shared" si="0"/>
        <v>8.58</v>
      </c>
      <c r="Q29" s="136" t="s">
        <v>243</v>
      </c>
    </row>
    <row r="30" spans="1:17" s="132" customFormat="1" ht="15" hidden="1" customHeight="1">
      <c r="A30" s="297" t="s">
        <v>241</v>
      </c>
      <c r="B30" s="298"/>
      <c r="C30" s="298" t="s">
        <v>244</v>
      </c>
      <c r="D30" s="298"/>
      <c r="E30" s="298"/>
      <c r="F30" s="298"/>
      <c r="G30" s="298"/>
      <c r="H30" s="152" t="s">
        <v>219</v>
      </c>
      <c r="I30" s="133"/>
      <c r="J30" s="133"/>
      <c r="K30" s="133"/>
      <c r="L30" s="133"/>
      <c r="M30" s="133"/>
      <c r="N30" s="133"/>
      <c r="O30" s="133"/>
      <c r="P30" s="133">
        <f t="shared" si="0"/>
        <v>0</v>
      </c>
      <c r="Q30" s="134" t="s">
        <v>223</v>
      </c>
    </row>
    <row r="31" spans="1:17" s="132" customFormat="1" ht="15" hidden="1" customHeight="1">
      <c r="A31" s="299" t="str">
        <f>A29</f>
        <v>할증 계</v>
      </c>
      <c r="B31" s="300"/>
      <c r="C31" s="300"/>
      <c r="D31" s="300"/>
      <c r="E31" s="300"/>
      <c r="F31" s="300"/>
      <c r="G31" s="300"/>
      <c r="H31" s="151" t="s">
        <v>219</v>
      </c>
      <c r="I31" s="135"/>
      <c r="J31" s="135"/>
      <c r="K31" s="135"/>
      <c r="L31" s="135"/>
      <c r="M31" s="135"/>
      <c r="N31" s="135"/>
      <c r="O31" s="135"/>
      <c r="P31" s="128">
        <f t="shared" si="0"/>
        <v>0</v>
      </c>
      <c r="Q31" s="136" t="s">
        <v>243</v>
      </c>
    </row>
    <row r="32" spans="1:17" s="132" customFormat="1" ht="15" customHeight="1" thickBot="1">
      <c r="A32" s="315" t="s">
        <v>245</v>
      </c>
      <c r="B32" s="316"/>
      <c r="C32" s="325" t="s">
        <v>246</v>
      </c>
      <c r="D32" s="318"/>
      <c r="E32" s="318"/>
      <c r="F32" s="318"/>
      <c r="G32" s="316"/>
      <c r="H32" s="130" t="s">
        <v>247</v>
      </c>
      <c r="I32" s="142">
        <f>시점!AB162</f>
        <v>46</v>
      </c>
      <c r="J32" s="142">
        <f>종점!AB162</f>
        <v>42</v>
      </c>
      <c r="K32" s="142"/>
      <c r="L32" s="142"/>
      <c r="M32" s="142"/>
      <c r="N32" s="142"/>
      <c r="O32" s="143"/>
      <c r="P32" s="143">
        <f t="shared" si="0"/>
        <v>88</v>
      </c>
      <c r="Q32" s="131"/>
    </row>
    <row r="33" spans="1:17" s="132" customFormat="1" ht="15" hidden="1" customHeight="1">
      <c r="A33" s="313" t="s">
        <v>248</v>
      </c>
      <c r="B33" s="314"/>
      <c r="C33" s="314" t="s">
        <v>0</v>
      </c>
      <c r="D33" s="314"/>
      <c r="E33" s="314"/>
      <c r="F33" s="314"/>
      <c r="G33" s="314"/>
      <c r="H33" s="130" t="s">
        <v>249</v>
      </c>
      <c r="I33" s="143"/>
      <c r="J33" s="143"/>
      <c r="K33" s="143"/>
      <c r="L33" s="143"/>
      <c r="M33" s="143"/>
      <c r="N33" s="143"/>
      <c r="O33" s="143"/>
      <c r="P33" s="143">
        <f t="shared" si="0"/>
        <v>0</v>
      </c>
      <c r="Q33" s="144"/>
    </row>
    <row r="34" spans="1:17" s="132" customFormat="1" ht="15" hidden="1" customHeight="1" thickBot="1">
      <c r="A34" s="323" t="s">
        <v>250</v>
      </c>
      <c r="B34" s="324"/>
      <c r="C34" s="324" t="s">
        <v>251</v>
      </c>
      <c r="D34" s="324"/>
      <c r="E34" s="324"/>
      <c r="F34" s="324"/>
      <c r="G34" s="324"/>
      <c r="H34" s="153" t="s">
        <v>252</v>
      </c>
      <c r="I34" s="164"/>
      <c r="J34" s="164"/>
      <c r="K34" s="164"/>
      <c r="L34" s="164"/>
      <c r="M34" s="164"/>
      <c r="N34" s="128"/>
      <c r="O34" s="145"/>
      <c r="P34" s="128">
        <f t="shared" si="0"/>
        <v>0</v>
      </c>
      <c r="Q34" s="146"/>
    </row>
    <row r="35" spans="1:17" s="132" customFormat="1" ht="17.100000000000001" customHeight="1">
      <c r="I35" s="165" t="s">
        <v>260</v>
      </c>
      <c r="J35" s="326" t="s">
        <v>108</v>
      </c>
      <c r="K35" s="327"/>
      <c r="L35" s="166" t="s">
        <v>261</v>
      </c>
      <c r="M35" s="167" t="s">
        <v>262</v>
      </c>
    </row>
    <row r="36" spans="1:17" s="132" customFormat="1" ht="17.100000000000001" customHeight="1">
      <c r="I36" s="329" t="s">
        <v>259</v>
      </c>
      <c r="J36" s="328" t="s">
        <v>227</v>
      </c>
      <c r="K36" s="328"/>
      <c r="L36" s="171">
        <f>P12+P16</f>
        <v>5.7919999999999998</v>
      </c>
      <c r="M36" s="168">
        <f>P13+P17</f>
        <v>6.1980000000000004</v>
      </c>
    </row>
    <row r="37" spans="1:17" s="132" customFormat="1" ht="17.100000000000001" customHeight="1">
      <c r="I37" s="329"/>
      <c r="J37" s="328" t="s">
        <v>92</v>
      </c>
      <c r="K37" s="328"/>
      <c r="L37" s="171">
        <f>P8+P10+P14</f>
        <v>97.403999999999996</v>
      </c>
      <c r="M37" s="168">
        <f>P9+P11+P15</f>
        <v>104.22199999999999</v>
      </c>
    </row>
    <row r="38" spans="1:17" s="132" customFormat="1" ht="17.100000000000001" customHeight="1">
      <c r="I38" s="317" t="s">
        <v>1</v>
      </c>
      <c r="J38" s="318"/>
      <c r="K38" s="319"/>
      <c r="L38" s="172">
        <f>L36+L37</f>
        <v>103.196</v>
      </c>
      <c r="M38" s="169">
        <f>M36+M37</f>
        <v>110.41999999999999</v>
      </c>
    </row>
    <row r="39" spans="1:17" s="132" customFormat="1" ht="17.100000000000001" customHeight="1" thickBot="1">
      <c r="I39" s="149" t="s">
        <v>215</v>
      </c>
      <c r="J39" s="320" t="s">
        <v>34</v>
      </c>
      <c r="K39" s="320"/>
      <c r="L39" s="173">
        <f>P3</f>
        <v>428.87</v>
      </c>
      <c r="M39" s="170">
        <f>P4</f>
        <v>458.89100000000002</v>
      </c>
    </row>
    <row r="40" spans="1:17" s="132" customFormat="1" ht="17.100000000000001" customHeight="1"/>
    <row r="41" spans="1:17" s="132" customFormat="1" ht="17.100000000000001" customHeight="1"/>
    <row r="42" spans="1:17" s="132" customFormat="1" ht="17.100000000000001" customHeight="1"/>
    <row r="43" spans="1:17" s="132" customFormat="1" ht="17.100000000000001" customHeight="1"/>
    <row r="44" spans="1:17" s="132" customFormat="1" ht="17.100000000000001" customHeight="1"/>
    <row r="45" spans="1:17" s="132" customFormat="1" ht="17.100000000000001" customHeight="1"/>
    <row r="46" spans="1:17" s="132" customFormat="1" ht="17.100000000000001" customHeight="1"/>
    <row r="47" spans="1:17" s="132" customFormat="1" ht="17.100000000000001" customHeight="1"/>
    <row r="48" spans="1:17" s="132" customFormat="1" ht="17.100000000000001" customHeight="1"/>
    <row r="49" s="132" customFormat="1" ht="17.100000000000001" customHeight="1"/>
    <row r="50" s="132" customFormat="1" ht="17.100000000000001" customHeight="1"/>
    <row r="51" s="132" customFormat="1" ht="17.100000000000001" customHeight="1"/>
    <row r="52" s="132" customFormat="1" ht="17.100000000000001" customHeight="1"/>
    <row r="53" s="132" customFormat="1" ht="17.100000000000001" customHeight="1"/>
    <row r="54" s="132" customFormat="1" ht="17.100000000000001" customHeight="1"/>
    <row r="55" s="132" customFormat="1" ht="17.100000000000001" customHeight="1"/>
    <row r="56" s="132" customFormat="1" ht="17.100000000000001" customHeight="1"/>
    <row r="57" s="132" customFormat="1" ht="17.100000000000001" customHeight="1"/>
    <row r="58" s="132" customFormat="1" ht="17.100000000000001" customHeight="1"/>
    <row r="59" s="132" customFormat="1" ht="17.100000000000001" customHeight="1"/>
    <row r="60" s="132" customFormat="1" ht="17.100000000000001" customHeight="1"/>
    <row r="61" s="132" customFormat="1" ht="17.100000000000001" customHeight="1"/>
    <row r="62" s="132" customFormat="1" ht="17.100000000000001" customHeight="1"/>
    <row r="63" s="132" customFormat="1" ht="17.100000000000001" customHeight="1"/>
    <row r="64" s="132" customFormat="1" ht="17.100000000000001" customHeight="1"/>
    <row r="65" s="132" customFormat="1" ht="17.100000000000001" customHeight="1"/>
    <row r="66" s="132" customFormat="1" ht="17.100000000000001" customHeight="1"/>
    <row r="67" s="132" customFormat="1" ht="17.100000000000001" customHeight="1"/>
    <row r="68" s="132" customFormat="1" ht="17.100000000000001" customHeight="1"/>
    <row r="69" s="132" customFormat="1" ht="17.100000000000001" customHeight="1"/>
    <row r="70" s="132" customFormat="1" ht="17.100000000000001" customHeight="1"/>
    <row r="71" s="132" customFormat="1" ht="17.100000000000001" customHeight="1"/>
    <row r="72" s="132" customFormat="1" ht="17.100000000000001" customHeight="1"/>
    <row r="73" s="132" customFormat="1" ht="17.100000000000001" customHeight="1"/>
    <row r="74" s="132" customFormat="1" ht="17.100000000000001" customHeight="1"/>
    <row r="75" s="132" customFormat="1" ht="17.100000000000001" customHeight="1"/>
    <row r="76" s="132" customFormat="1" ht="17.100000000000001" customHeight="1"/>
    <row r="77" s="132" customFormat="1" ht="17.100000000000001" customHeight="1"/>
    <row r="78" s="132" customFormat="1" ht="17.100000000000001" customHeight="1"/>
    <row r="79" s="132" customFormat="1" ht="17.100000000000001" customHeight="1"/>
    <row r="80" s="132" customFormat="1" ht="17.100000000000001" customHeight="1"/>
    <row r="81" s="132" customFormat="1" ht="17.100000000000001" customHeight="1"/>
    <row r="82" s="132" customFormat="1" ht="17.100000000000001" customHeight="1"/>
    <row r="83" s="132" customFormat="1" ht="17.100000000000001" customHeight="1"/>
    <row r="84" s="132" customFormat="1" ht="17.100000000000001" customHeight="1"/>
    <row r="85" s="132" customFormat="1" ht="17.100000000000001" customHeight="1"/>
    <row r="86" s="132" customFormat="1" ht="17.100000000000001" customHeight="1"/>
    <row r="87" s="132" customFormat="1" ht="17.100000000000001" customHeight="1"/>
    <row r="88" s="132" customFormat="1" ht="17.100000000000001" customHeight="1"/>
    <row r="89" s="132" customFormat="1" ht="17.100000000000001" customHeight="1"/>
    <row r="90" s="132" customFormat="1" ht="17.100000000000001" customHeight="1"/>
    <row r="91" s="132" customFormat="1" ht="17.100000000000001" customHeight="1"/>
    <row r="92" s="132" customFormat="1" ht="17.100000000000001" customHeight="1"/>
    <row r="93" s="132" customFormat="1" ht="17.100000000000001" customHeight="1"/>
    <row r="94" s="132" customFormat="1" ht="17.100000000000001" customHeight="1"/>
    <row r="95" s="132" customFormat="1" ht="17.100000000000001" customHeight="1"/>
    <row r="96" s="132" customFormat="1" ht="17.100000000000001" customHeight="1"/>
    <row r="97" s="132" customFormat="1" ht="17.100000000000001" customHeight="1"/>
    <row r="98" s="132" customFormat="1" ht="17.100000000000001" customHeight="1"/>
    <row r="99" s="132" customFormat="1" ht="17.100000000000001" customHeight="1"/>
    <row r="100" s="132" customFormat="1" ht="17.100000000000001" customHeight="1"/>
    <row r="101" s="132" customFormat="1" ht="17.100000000000001" customHeight="1"/>
    <row r="102" s="132" customFormat="1" ht="17.100000000000001" customHeight="1"/>
    <row r="103" s="132" customFormat="1" ht="17.100000000000001" customHeight="1"/>
    <row r="104" s="132" customFormat="1" ht="17.100000000000001" customHeight="1"/>
    <row r="105" s="132" customFormat="1" ht="17.100000000000001" customHeight="1"/>
    <row r="106" s="132" customFormat="1" ht="17.100000000000001" customHeight="1"/>
    <row r="107" s="132" customFormat="1" ht="17.100000000000001" customHeight="1"/>
    <row r="108" s="132" customFormat="1" ht="17.100000000000001" customHeight="1"/>
    <row r="109" s="132" customFormat="1" ht="17.100000000000001" customHeight="1"/>
    <row r="110" s="132" customFormat="1" ht="17.100000000000001" customHeight="1"/>
    <row r="111" s="132" customFormat="1" ht="17.100000000000001" customHeight="1"/>
    <row r="112" s="132" customFormat="1" ht="17.100000000000001" customHeight="1"/>
    <row r="113" s="132" customFormat="1" ht="17.100000000000001" customHeight="1"/>
    <row r="114" s="132" customFormat="1" ht="17.100000000000001" customHeight="1"/>
    <row r="115" s="132" customFormat="1" ht="17.100000000000001" customHeight="1"/>
    <row r="116" s="132" customFormat="1" ht="17.100000000000001" customHeight="1"/>
    <row r="117" s="132" customFormat="1" ht="17.100000000000001" customHeight="1"/>
    <row r="118" s="132" customFormat="1" ht="17.100000000000001" customHeight="1"/>
    <row r="119" s="132" customFormat="1" ht="17.100000000000001" customHeight="1"/>
    <row r="120" s="132" customFormat="1" ht="17.100000000000001" customHeight="1"/>
    <row r="121" s="132" customFormat="1" ht="17.100000000000001" customHeight="1"/>
    <row r="122" s="132" customFormat="1" ht="17.100000000000001" customHeight="1"/>
    <row r="123" s="132" customFormat="1" ht="17.100000000000001" customHeight="1"/>
    <row r="124" s="132" customFormat="1" ht="17.100000000000001" customHeight="1"/>
    <row r="125" s="132" customFormat="1" ht="17.100000000000001" customHeight="1"/>
    <row r="126" s="132" customFormat="1" ht="17.100000000000001" customHeight="1"/>
    <row r="127" s="132" customFormat="1" ht="17.100000000000001" customHeight="1"/>
    <row r="128" s="132" customFormat="1" ht="17.100000000000001" customHeight="1"/>
    <row r="129" s="132" customFormat="1" ht="17.100000000000001" customHeight="1"/>
    <row r="130" s="132" customFormat="1" ht="17.100000000000001" customHeight="1"/>
    <row r="131" s="132" customFormat="1" ht="17.100000000000001" customHeight="1"/>
    <row r="132" s="132" customFormat="1" ht="17.100000000000001" customHeight="1"/>
    <row r="133" s="132" customFormat="1" ht="17.100000000000001" customHeight="1"/>
    <row r="134" s="132" customFormat="1" ht="17.100000000000001" customHeight="1"/>
    <row r="135" s="132" customFormat="1" ht="17.100000000000001" customHeight="1"/>
    <row r="136" s="132" customFormat="1" ht="17.100000000000001" customHeight="1"/>
    <row r="137" s="132" customFormat="1" ht="17.100000000000001" customHeight="1"/>
    <row r="138" s="132" customFormat="1" ht="17.100000000000001" customHeight="1"/>
    <row r="139" s="132" customFormat="1" ht="17.100000000000001" customHeight="1"/>
    <row r="140" s="132" customFormat="1" ht="17.100000000000001" customHeight="1"/>
    <row r="141" s="132" customFormat="1" ht="17.100000000000001" customHeight="1"/>
    <row r="142" s="132" customFormat="1" ht="17.100000000000001" customHeight="1"/>
    <row r="143" s="132" customFormat="1" ht="17.100000000000001" customHeight="1"/>
    <row r="144" s="132" customFormat="1" ht="17.100000000000001" customHeight="1"/>
    <row r="145" s="132" customFormat="1" ht="17.100000000000001" customHeight="1"/>
    <row r="146" s="132" customFormat="1" ht="17.100000000000001" customHeight="1"/>
    <row r="147" s="132" customFormat="1" ht="17.100000000000001" customHeight="1"/>
    <row r="148" s="132" customFormat="1" ht="17.100000000000001" customHeight="1"/>
    <row r="149" s="132" customFormat="1" ht="17.100000000000001" customHeight="1"/>
    <row r="150" s="132" customFormat="1" ht="17.100000000000001" customHeight="1"/>
    <row r="151" s="132" customFormat="1" ht="17.100000000000001" customHeight="1"/>
    <row r="152" s="132" customFormat="1" ht="17.100000000000001" customHeight="1"/>
    <row r="153" s="132" customFormat="1" ht="17.100000000000001" customHeight="1"/>
    <row r="154" s="132" customFormat="1" ht="17.100000000000001" customHeight="1"/>
    <row r="155" s="132" customFormat="1" ht="17.100000000000001" customHeight="1"/>
    <row r="156" s="132" customFormat="1" ht="17.100000000000001" customHeight="1"/>
    <row r="157" s="132" customFormat="1" ht="17.100000000000001" customHeight="1"/>
    <row r="158" s="132" customFormat="1" ht="17.100000000000001" customHeight="1"/>
    <row r="159" s="132" customFormat="1" ht="17.100000000000001" customHeight="1"/>
    <row r="160" s="132" customFormat="1" ht="17.100000000000001" customHeight="1"/>
    <row r="161" s="132" customFormat="1" ht="17.100000000000001" customHeight="1"/>
    <row r="162" s="132" customFormat="1" ht="17.100000000000001" customHeight="1"/>
    <row r="163" s="132" customFormat="1" ht="17.100000000000001" customHeight="1"/>
    <row r="164" s="132" customFormat="1" ht="17.100000000000001" customHeight="1"/>
    <row r="165" s="132" customFormat="1" ht="17.100000000000001" customHeight="1"/>
    <row r="166" s="132" customFormat="1" ht="17.100000000000001" customHeight="1"/>
    <row r="167" s="132" customFormat="1" ht="17.100000000000001" customHeight="1"/>
    <row r="168" s="132" customFormat="1" ht="17.100000000000001" customHeight="1"/>
    <row r="169" s="132" customFormat="1" ht="17.100000000000001" customHeight="1"/>
    <row r="170" s="132" customFormat="1" ht="17.100000000000001" customHeight="1"/>
    <row r="171" s="132" customFormat="1" ht="17.100000000000001" customHeight="1"/>
    <row r="172" s="132" customFormat="1" ht="17.100000000000001" customHeight="1"/>
    <row r="173" s="132" customFormat="1" ht="17.100000000000001" customHeight="1"/>
    <row r="174" s="132" customFormat="1" ht="17.100000000000001" customHeight="1"/>
    <row r="175" s="132" customFormat="1" ht="17.100000000000001" customHeight="1"/>
    <row r="176" s="132" customFormat="1" ht="17.100000000000001" customHeight="1"/>
    <row r="177" s="132" customFormat="1" ht="17.100000000000001" customHeight="1"/>
    <row r="178" s="132" customFormat="1" ht="17.100000000000001" customHeight="1"/>
    <row r="179" s="132" customFormat="1" ht="17.100000000000001" customHeight="1"/>
    <row r="180" s="132" customFormat="1" ht="17.100000000000001" customHeight="1"/>
    <row r="181" s="132" customFormat="1" ht="17.100000000000001" customHeight="1"/>
    <row r="182" s="132" customFormat="1" ht="17.100000000000001" customHeight="1"/>
    <row r="183" s="132" customFormat="1" ht="17.100000000000001" customHeight="1"/>
    <row r="184" s="132" customFormat="1" ht="17.100000000000001" customHeight="1"/>
    <row r="185" s="132" customFormat="1" ht="17.100000000000001" customHeight="1"/>
    <row r="186" s="132" customFormat="1" ht="17.100000000000001" customHeight="1"/>
    <row r="187" s="132" customFormat="1" ht="17.100000000000001" customHeight="1"/>
    <row r="188" s="132" customFormat="1" ht="17.100000000000001" customHeight="1"/>
    <row r="189" s="132" customFormat="1" ht="17.100000000000001" customHeight="1"/>
    <row r="190" s="132" customFormat="1" ht="17.100000000000001" customHeight="1"/>
    <row r="191" s="132" customFormat="1" ht="17.100000000000001" customHeight="1"/>
    <row r="192" s="132" customFormat="1" ht="17.100000000000001" customHeight="1"/>
    <row r="193" s="132" customFormat="1" ht="17.100000000000001" customHeight="1"/>
    <row r="194" s="132" customFormat="1" ht="17.100000000000001" customHeight="1"/>
    <row r="195" s="132" customFormat="1" ht="17.100000000000001" customHeight="1"/>
    <row r="196" s="132" customFormat="1" ht="17.100000000000001" customHeight="1"/>
    <row r="197" s="132" customFormat="1" ht="17.100000000000001" customHeight="1"/>
    <row r="198" s="132" customFormat="1" ht="17.100000000000001" customHeight="1"/>
    <row r="199" s="132" customFormat="1" ht="17.100000000000001" customHeight="1"/>
    <row r="200" s="132" customFormat="1" ht="17.100000000000001" customHeight="1"/>
    <row r="201" s="132" customFormat="1" ht="17.100000000000001" customHeight="1"/>
    <row r="202" s="132" customFormat="1" ht="17.100000000000001" customHeight="1"/>
    <row r="203" s="132" customFormat="1" ht="17.100000000000001" customHeight="1"/>
    <row r="204" s="132" customFormat="1" ht="17.100000000000001" customHeight="1"/>
    <row r="205" s="132" customFormat="1" ht="17.100000000000001" customHeight="1"/>
    <row r="206" s="132" customFormat="1" ht="17.100000000000001" customHeight="1"/>
    <row r="207" s="132" customFormat="1" ht="17.100000000000001" customHeight="1"/>
    <row r="208" s="132" customFormat="1" ht="17.100000000000001" customHeight="1"/>
    <row r="209" s="132" customFormat="1" ht="17.100000000000001" customHeight="1"/>
    <row r="210" s="132" customFormat="1" ht="17.100000000000001" customHeight="1"/>
    <row r="211" s="132" customFormat="1" ht="17.100000000000001" customHeight="1"/>
    <row r="212" s="132" customFormat="1" ht="17.100000000000001" customHeight="1"/>
    <row r="213" s="132" customFormat="1" ht="17.100000000000001" customHeight="1"/>
    <row r="214" s="132" customFormat="1" ht="17.100000000000001" customHeight="1"/>
    <row r="215" s="132" customFormat="1" ht="17.100000000000001" customHeight="1"/>
    <row r="216" s="132" customFormat="1" ht="17.100000000000001" customHeight="1"/>
    <row r="217" s="132" customFormat="1" ht="17.100000000000001" customHeight="1"/>
    <row r="218" s="132" customFormat="1" ht="17.100000000000001" customHeight="1"/>
    <row r="219" s="132" customFormat="1" ht="17.100000000000001" customHeight="1"/>
    <row r="220" s="132" customFormat="1" ht="17.100000000000001" customHeight="1"/>
    <row r="221" s="132" customFormat="1" ht="17.100000000000001" customHeight="1"/>
    <row r="222" s="132" customFormat="1" ht="17.100000000000001" customHeight="1"/>
    <row r="223" s="132" customFormat="1" ht="17.100000000000001" customHeight="1"/>
    <row r="224" s="132" customFormat="1" ht="17.100000000000001" customHeight="1"/>
    <row r="225" s="132" customFormat="1" ht="17.100000000000001" customHeight="1"/>
    <row r="226" s="132" customFormat="1" ht="17.100000000000001" customHeight="1"/>
    <row r="227" s="132" customFormat="1" ht="17.100000000000001" customHeight="1"/>
    <row r="228" s="132" customFormat="1" ht="17.100000000000001" customHeight="1"/>
    <row r="229" s="132" customFormat="1" ht="17.100000000000001" customHeight="1"/>
    <row r="230" s="132" customFormat="1" ht="17.100000000000001" customHeight="1"/>
    <row r="231" s="132" customFormat="1" ht="17.100000000000001" customHeight="1"/>
    <row r="232" s="132" customFormat="1" ht="17.100000000000001" customHeight="1"/>
    <row r="233" s="132" customFormat="1" ht="17.100000000000001" customHeight="1"/>
    <row r="234" s="132" customFormat="1" ht="17.100000000000001" customHeight="1"/>
    <row r="235" s="132" customFormat="1" ht="17.100000000000001" customHeight="1"/>
    <row r="236" s="132" customFormat="1" ht="17.100000000000001" customHeight="1"/>
    <row r="237" s="132" customFormat="1" ht="17.100000000000001" customHeight="1"/>
    <row r="238" s="132" customFormat="1" ht="17.100000000000001" customHeight="1"/>
    <row r="239" s="132" customFormat="1" ht="17.100000000000001" customHeight="1"/>
    <row r="240" s="132" customFormat="1" ht="17.100000000000001" customHeight="1"/>
    <row r="241" s="132" customFormat="1" ht="17.100000000000001" customHeight="1"/>
    <row r="242" s="132" customFormat="1" ht="17.100000000000001" customHeight="1"/>
    <row r="243" s="132" customFormat="1" ht="17.100000000000001" customHeight="1"/>
    <row r="244" s="132" customFormat="1" ht="17.100000000000001" customHeight="1"/>
    <row r="245" s="132" customFormat="1" ht="17.100000000000001" customHeight="1"/>
    <row r="246" s="132" customFormat="1" ht="17.100000000000001" customHeight="1"/>
    <row r="247" s="132" customFormat="1" ht="17.100000000000001" customHeight="1"/>
    <row r="248" s="132" customFormat="1" ht="17.100000000000001" customHeight="1"/>
    <row r="249" s="132" customFormat="1" ht="17.100000000000001" customHeight="1"/>
    <row r="250" s="132" customFormat="1" ht="17.100000000000001" customHeight="1"/>
    <row r="251" s="132" customFormat="1" ht="17.100000000000001" customHeight="1"/>
    <row r="252" s="132" customFormat="1" ht="17.100000000000001" customHeight="1"/>
    <row r="253" s="132" customFormat="1" ht="17.100000000000001" customHeight="1"/>
    <row r="254" s="132" customFormat="1" ht="17.100000000000001" customHeight="1"/>
    <row r="255" s="132" customFormat="1" ht="17.100000000000001" customHeight="1"/>
    <row r="256" s="132" customFormat="1" ht="17.100000000000001" customHeight="1"/>
    <row r="257" s="132" customFormat="1" ht="17.100000000000001" customHeight="1"/>
    <row r="258" s="132" customFormat="1" ht="17.100000000000001" customHeight="1"/>
    <row r="259" s="132" customFormat="1" ht="17.100000000000001" customHeight="1"/>
    <row r="260" s="132" customFormat="1" ht="17.100000000000001" customHeight="1"/>
    <row r="261" s="132" customFormat="1" ht="17.100000000000001" customHeight="1"/>
    <row r="262" s="132" customFormat="1" ht="17.100000000000001" customHeight="1"/>
    <row r="263" s="132" customFormat="1" ht="17.100000000000001" customHeight="1"/>
    <row r="264" s="132" customFormat="1" ht="17.100000000000001" customHeight="1"/>
    <row r="265" s="132" customFormat="1" ht="17.100000000000001" customHeight="1"/>
    <row r="266" s="132" customFormat="1" ht="17.100000000000001" customHeight="1"/>
    <row r="267" s="132" customFormat="1" ht="17.100000000000001" customHeight="1"/>
    <row r="268" s="132" customFormat="1" ht="17.100000000000001" customHeight="1"/>
    <row r="269" s="132" customFormat="1" ht="17.100000000000001" customHeight="1"/>
    <row r="270" s="132" customFormat="1" ht="17.100000000000001" customHeight="1"/>
    <row r="271" s="132" customFormat="1" ht="17.100000000000001" customHeight="1"/>
    <row r="272" s="132" customFormat="1" ht="17.100000000000001" customHeight="1"/>
    <row r="273" s="132" customFormat="1" ht="17.100000000000001" customHeight="1"/>
    <row r="274" s="132" customFormat="1" ht="17.100000000000001" customHeight="1"/>
    <row r="275" s="132" customFormat="1" ht="17.100000000000001" customHeight="1"/>
    <row r="276" s="132" customFormat="1" ht="17.100000000000001" customHeight="1"/>
    <row r="277" s="132" customFormat="1" ht="17.100000000000001" customHeight="1"/>
    <row r="278" s="132" customFormat="1" ht="17.100000000000001" customHeight="1"/>
    <row r="279" s="132" customFormat="1" ht="17.100000000000001" customHeight="1"/>
    <row r="280" s="132" customFormat="1" ht="17.100000000000001" customHeight="1"/>
    <row r="281" s="132" customFormat="1" ht="17.100000000000001" customHeight="1"/>
    <row r="282" s="132" customFormat="1" ht="17.100000000000001" customHeight="1"/>
    <row r="283" s="132" customFormat="1" ht="17.100000000000001" customHeight="1"/>
    <row r="284" s="132" customFormat="1" ht="17.100000000000001" customHeight="1"/>
    <row r="285" s="132" customFormat="1" ht="17.100000000000001" customHeight="1"/>
    <row r="286" s="132" customFormat="1" ht="17.100000000000001" customHeight="1"/>
    <row r="287" s="132" customFormat="1" ht="17.100000000000001" customHeight="1"/>
    <row r="288" s="132" customFormat="1" ht="17.100000000000001" customHeight="1"/>
    <row r="289" s="132" customFormat="1" ht="17.100000000000001" customHeight="1"/>
    <row r="290" s="132" customFormat="1" ht="17.100000000000001" customHeight="1"/>
    <row r="291" s="132" customFormat="1" ht="17.100000000000001" customHeight="1"/>
    <row r="292" s="132" customFormat="1" ht="17.100000000000001" customHeight="1"/>
    <row r="293" s="132" customFormat="1" ht="17.100000000000001" customHeight="1"/>
    <row r="294" s="132" customFormat="1" ht="17.100000000000001" customHeight="1"/>
    <row r="295" s="132" customFormat="1" ht="17.100000000000001" customHeight="1"/>
    <row r="296" s="132" customFormat="1" ht="17.100000000000001" customHeight="1"/>
    <row r="297" s="132" customFormat="1" ht="17.100000000000001" customHeight="1"/>
    <row r="298" s="132" customFormat="1" ht="17.100000000000001" customHeight="1"/>
    <row r="299" s="132" customFormat="1" ht="17.100000000000001" customHeight="1"/>
    <row r="300" s="132" customFormat="1" ht="17.100000000000001" customHeight="1"/>
    <row r="301" s="132" customFormat="1" ht="17.100000000000001" customHeight="1"/>
    <row r="302" s="132" customFormat="1" ht="17.100000000000001" customHeight="1"/>
    <row r="303" s="132" customFormat="1" ht="17.100000000000001" customHeight="1"/>
    <row r="304" s="132" customFormat="1" ht="17.100000000000001" customHeight="1"/>
    <row r="305" s="132" customFormat="1" ht="17.100000000000001" customHeight="1"/>
    <row r="306" s="132" customFormat="1" ht="17.100000000000001" customHeight="1"/>
    <row r="307" s="132" customFormat="1" ht="17.100000000000001" customHeight="1"/>
    <row r="308" s="132" customFormat="1" ht="17.100000000000001" customHeight="1"/>
    <row r="309" s="132" customFormat="1" ht="17.100000000000001" customHeight="1"/>
    <row r="310" s="132" customFormat="1" ht="17.100000000000001" customHeight="1"/>
    <row r="311" s="132" customFormat="1" ht="17.100000000000001" customHeight="1"/>
    <row r="312" s="132" customFormat="1" ht="17.100000000000001" customHeight="1"/>
    <row r="313" s="132" customFormat="1" ht="17.100000000000001" customHeight="1"/>
    <row r="314" s="132" customFormat="1" ht="17.100000000000001" customHeight="1"/>
    <row r="315" s="132" customFormat="1" ht="17.100000000000001" customHeight="1"/>
    <row r="316" s="132" customFormat="1" ht="17.100000000000001" customHeight="1"/>
    <row r="317" s="132" customFormat="1" ht="17.100000000000001" customHeight="1"/>
    <row r="318" s="132" customFormat="1" ht="17.100000000000001" customHeight="1"/>
    <row r="319" s="132" customFormat="1" ht="17.100000000000001" customHeight="1"/>
    <row r="320" s="132" customFormat="1" ht="17.100000000000001" customHeight="1"/>
    <row r="321" s="132" customFormat="1" ht="17.100000000000001" customHeight="1"/>
    <row r="322" s="132" customFormat="1" ht="17.100000000000001" customHeight="1"/>
    <row r="323" s="132" customFormat="1" ht="17.100000000000001" customHeight="1"/>
    <row r="324" s="132" customFormat="1" ht="17.100000000000001" customHeight="1"/>
    <row r="325" s="132" customFormat="1" ht="17.100000000000001" customHeight="1"/>
    <row r="326" s="132" customFormat="1" ht="17.100000000000001" customHeight="1"/>
    <row r="327" s="132" customFormat="1" ht="17.100000000000001" customHeight="1"/>
    <row r="328" s="132" customFormat="1" ht="17.100000000000001" customHeight="1"/>
    <row r="329" s="132" customFormat="1" ht="17.100000000000001" customHeight="1"/>
    <row r="330" s="132" customFormat="1" ht="17.100000000000001" customHeight="1"/>
    <row r="331" s="132" customFormat="1" ht="17.100000000000001" customHeight="1"/>
    <row r="332" s="132" customFormat="1" ht="17.100000000000001" customHeight="1"/>
    <row r="333" s="132" customFormat="1" ht="17.100000000000001" customHeight="1"/>
    <row r="334" s="132" customFormat="1" ht="17.100000000000001" customHeight="1"/>
    <row r="335" s="132" customFormat="1" ht="17.100000000000001" customHeight="1"/>
    <row r="336" s="132" customFormat="1" ht="17.100000000000001" customHeight="1"/>
    <row r="337" s="132" customFormat="1" ht="17.100000000000001" customHeight="1"/>
    <row r="338" s="132" customFormat="1" ht="17.100000000000001" customHeight="1"/>
    <row r="339" s="132" customFormat="1" ht="17.100000000000001" customHeight="1"/>
    <row r="340" s="132" customFormat="1" ht="17.100000000000001" customHeight="1"/>
    <row r="341" s="132" customFormat="1" ht="17.100000000000001" customHeight="1"/>
    <row r="342" s="132" customFormat="1" ht="17.100000000000001" customHeight="1"/>
    <row r="343" s="132" customFormat="1" ht="17.100000000000001" customHeight="1"/>
    <row r="344" s="132" customFormat="1" ht="17.100000000000001" customHeight="1"/>
    <row r="345" s="132" customFormat="1" ht="17.100000000000001" customHeight="1"/>
    <row r="346" s="132" customFormat="1" ht="17.100000000000001" customHeight="1"/>
    <row r="347" s="132" customFormat="1" ht="17.100000000000001" customHeight="1"/>
    <row r="348" s="132" customFormat="1" ht="17.100000000000001" customHeight="1"/>
    <row r="349" s="132" customFormat="1" ht="17.100000000000001" customHeight="1"/>
    <row r="350" s="132" customFormat="1" ht="17.100000000000001" customHeight="1"/>
    <row r="351" s="132" customFormat="1" ht="17.100000000000001" customHeight="1"/>
    <row r="352" s="132" customFormat="1" ht="17.100000000000001" customHeight="1"/>
    <row r="353" s="132" customFormat="1" ht="17.100000000000001" customHeight="1"/>
    <row r="354" s="132" customFormat="1" ht="17.100000000000001" customHeight="1"/>
    <row r="355" s="132" customFormat="1" ht="17.100000000000001" customHeight="1"/>
    <row r="356" s="132" customFormat="1" ht="17.100000000000001" customHeight="1"/>
    <row r="357" s="132" customFormat="1" ht="17.100000000000001" customHeight="1"/>
    <row r="358" s="132" customFormat="1" ht="17.100000000000001" customHeight="1"/>
    <row r="359" s="132" customFormat="1" ht="17.100000000000001" customHeight="1"/>
    <row r="360" s="132" customFormat="1" ht="17.100000000000001" customHeight="1"/>
    <row r="361" s="132" customFormat="1" ht="17.100000000000001" customHeight="1"/>
    <row r="362" s="132" customFormat="1" ht="17.100000000000001" customHeight="1"/>
    <row r="363" s="132" customFormat="1" ht="17.100000000000001" customHeight="1"/>
    <row r="364" s="132" customFormat="1" ht="17.100000000000001" customHeight="1"/>
    <row r="365" s="132" customFormat="1" ht="17.100000000000001" customHeight="1"/>
    <row r="366" s="132" customFormat="1" ht="17.100000000000001" customHeight="1"/>
    <row r="367" s="132" customFormat="1" ht="17.100000000000001" customHeight="1"/>
    <row r="368" s="132" customFormat="1" ht="17.100000000000001" customHeight="1"/>
    <row r="369" s="132" customFormat="1" ht="17.100000000000001" customHeight="1"/>
    <row r="370" s="132" customFormat="1" ht="17.100000000000001" customHeight="1"/>
    <row r="371" s="132" customFormat="1" ht="17.100000000000001" customHeight="1"/>
    <row r="372" s="132" customFormat="1" ht="17.100000000000001" customHeight="1"/>
    <row r="373" s="132" customFormat="1" ht="17.100000000000001" customHeight="1"/>
    <row r="374" s="132" customFormat="1" ht="17.100000000000001" customHeight="1"/>
    <row r="375" s="132" customFormat="1" ht="17.100000000000001" customHeight="1"/>
    <row r="376" s="132" customFormat="1" ht="17.100000000000001" customHeight="1"/>
    <row r="377" s="132" customFormat="1" ht="17.100000000000001" customHeight="1"/>
    <row r="378" s="132" customFormat="1" ht="17.100000000000001" customHeight="1"/>
    <row r="379" s="132" customFormat="1" ht="17.100000000000001" customHeight="1"/>
    <row r="380" s="132" customFormat="1" ht="17.100000000000001" customHeight="1"/>
    <row r="381" s="132" customFormat="1" ht="17.100000000000001" customHeight="1"/>
    <row r="382" s="132" customFormat="1" ht="17.100000000000001" customHeight="1"/>
    <row r="383" s="132" customFormat="1" ht="17.100000000000001" customHeight="1"/>
    <row r="384" s="132" customFormat="1" ht="17.100000000000001" customHeight="1"/>
    <row r="385" s="132" customFormat="1" ht="17.100000000000001" customHeight="1"/>
    <row r="386" s="132" customFormat="1" ht="17.100000000000001" customHeight="1"/>
    <row r="387" s="132" customFormat="1" ht="17.100000000000001" customHeight="1"/>
    <row r="388" s="132" customFormat="1" ht="17.100000000000001" customHeight="1"/>
    <row r="389" s="132" customFormat="1" ht="17.100000000000001" customHeight="1"/>
    <row r="390" s="132" customFormat="1" ht="17.100000000000001" customHeight="1"/>
    <row r="391" s="132" customFormat="1" ht="17.100000000000001" customHeight="1"/>
    <row r="392" s="132" customFormat="1" ht="17.100000000000001" customHeight="1"/>
    <row r="393" s="132" customFormat="1" ht="17.100000000000001" customHeight="1"/>
    <row r="394" s="132" customFormat="1" ht="17.100000000000001" customHeight="1"/>
    <row r="395" s="132" customFormat="1" ht="17.100000000000001" customHeight="1"/>
    <row r="396" s="132" customFormat="1" ht="17.100000000000001" customHeight="1"/>
    <row r="397" s="132" customFormat="1" ht="17.100000000000001" customHeight="1"/>
    <row r="398" s="132" customFormat="1" ht="17.100000000000001" customHeight="1"/>
    <row r="399" s="132" customFormat="1" ht="17.100000000000001" customHeight="1"/>
    <row r="400" s="132" customFormat="1" ht="17.100000000000001" customHeight="1"/>
    <row r="401" s="132" customFormat="1" ht="17.100000000000001" customHeight="1"/>
    <row r="402" s="132" customFormat="1" ht="17.100000000000001" customHeight="1"/>
    <row r="403" s="132" customFormat="1" ht="17.100000000000001" customHeight="1"/>
    <row r="404" s="132" customFormat="1" ht="17.100000000000001" customHeight="1"/>
    <row r="405" s="132" customFormat="1" ht="17.100000000000001" customHeight="1"/>
    <row r="406" s="132" customFormat="1" ht="17.100000000000001" customHeight="1"/>
    <row r="407" s="132" customFormat="1" ht="17.100000000000001" customHeight="1"/>
    <row r="408" s="132" customFormat="1" ht="17.100000000000001" customHeight="1"/>
    <row r="409" s="132" customFormat="1" ht="17.100000000000001" customHeight="1"/>
    <row r="410" s="132" customFormat="1" ht="17.100000000000001" customHeight="1"/>
    <row r="411" s="132" customFormat="1" ht="17.100000000000001" customHeight="1"/>
    <row r="412" s="132" customFormat="1" ht="17.100000000000001" customHeight="1"/>
    <row r="413" s="132" customFormat="1" ht="17.100000000000001" customHeight="1"/>
    <row r="414" s="132" customFormat="1" ht="17.100000000000001" customHeight="1"/>
    <row r="415" s="132" customFormat="1" ht="17.100000000000001" customHeight="1"/>
    <row r="416" s="132" customFormat="1" ht="17.100000000000001" customHeight="1"/>
    <row r="417" s="132" customFormat="1" ht="17.100000000000001" customHeight="1"/>
    <row r="418" s="132" customFormat="1" ht="17.100000000000001" customHeight="1"/>
    <row r="419" s="132" customFormat="1" ht="17.100000000000001" customHeight="1"/>
    <row r="420" s="132" customFormat="1" ht="17.100000000000001" customHeight="1"/>
    <row r="421" s="132" customFormat="1" ht="17.100000000000001" customHeight="1"/>
    <row r="422" s="132" customFormat="1" ht="17.100000000000001" customHeight="1"/>
    <row r="423" s="132" customFormat="1" ht="17.100000000000001" customHeight="1"/>
    <row r="424" s="132" customFormat="1" ht="17.100000000000001" customHeight="1"/>
    <row r="425" s="132" customFormat="1" ht="17.100000000000001" customHeight="1"/>
    <row r="426" s="132" customFormat="1" ht="17.100000000000001" customHeight="1"/>
    <row r="427" s="132" customFormat="1" ht="17.100000000000001" customHeight="1"/>
    <row r="428" s="132" customFormat="1" ht="17.100000000000001" customHeight="1"/>
    <row r="429" s="132" customFormat="1" ht="17.100000000000001" customHeight="1"/>
    <row r="430" s="132" customFormat="1" ht="17.100000000000001" customHeight="1"/>
    <row r="431" s="132" customFormat="1" ht="17.100000000000001" customHeight="1"/>
    <row r="432" s="132" customFormat="1" ht="17.100000000000001" customHeight="1"/>
    <row r="433" s="132" customFormat="1" ht="17.100000000000001" customHeight="1"/>
    <row r="434" s="132" customFormat="1" ht="17.100000000000001" customHeight="1"/>
    <row r="435" s="132" customFormat="1" ht="17.100000000000001" customHeight="1"/>
    <row r="436" s="132" customFormat="1" ht="17.100000000000001" customHeight="1"/>
    <row r="437" s="132" customFormat="1" ht="17.100000000000001" customHeight="1"/>
    <row r="438" s="132" customFormat="1" ht="17.100000000000001" customHeight="1"/>
    <row r="439" s="132" customFormat="1" ht="17.100000000000001" customHeight="1"/>
    <row r="440" s="132" customFormat="1" ht="17.100000000000001" customHeight="1"/>
    <row r="441" s="132" customFormat="1" ht="17.100000000000001" customHeight="1"/>
    <row r="442" s="132" customFormat="1" ht="17.100000000000001" customHeight="1"/>
    <row r="443" s="132" customFormat="1" ht="17.100000000000001" customHeight="1"/>
    <row r="444" s="132" customFormat="1" ht="17.100000000000001" customHeight="1"/>
    <row r="445" s="132" customFormat="1" ht="17.100000000000001" customHeight="1"/>
    <row r="446" s="132" customFormat="1" ht="17.100000000000001" customHeight="1"/>
    <row r="447" s="132" customFormat="1" ht="17.100000000000001" customHeight="1"/>
    <row r="448" s="132" customFormat="1" ht="17.100000000000001" customHeight="1"/>
    <row r="449" s="132" customFormat="1" ht="17.100000000000001" customHeight="1"/>
    <row r="450" s="132" customFormat="1" ht="17.100000000000001" customHeight="1"/>
    <row r="451" s="132" customFormat="1" ht="17.100000000000001" customHeight="1"/>
    <row r="452" s="132" customFormat="1" ht="17.100000000000001" customHeight="1"/>
    <row r="453" s="132" customFormat="1" ht="17.100000000000001" customHeight="1"/>
    <row r="454" s="132" customFormat="1" ht="17.100000000000001" customHeight="1"/>
    <row r="455" s="132" customFormat="1" ht="17.100000000000001" customHeight="1"/>
    <row r="456" s="132" customFormat="1" ht="17.100000000000001" customHeight="1"/>
    <row r="457" s="132" customFormat="1" ht="17.100000000000001" customHeight="1"/>
    <row r="458" s="132" customFormat="1" ht="17.100000000000001" customHeight="1"/>
    <row r="459" s="132" customFormat="1" ht="17.100000000000001" customHeight="1"/>
    <row r="460" s="132" customFormat="1" ht="17.100000000000001" customHeight="1"/>
    <row r="461" s="132" customFormat="1" ht="17.100000000000001" customHeight="1"/>
    <row r="462" s="132" customFormat="1" ht="17.100000000000001" customHeight="1"/>
    <row r="463" s="132" customFormat="1" ht="17.100000000000001" customHeight="1"/>
    <row r="464" s="132" customFormat="1" ht="17.100000000000001" customHeight="1"/>
    <row r="465" s="132" customFormat="1" ht="17.100000000000001" customHeight="1"/>
    <row r="466" s="132" customFormat="1" ht="17.100000000000001" customHeight="1"/>
    <row r="467" s="132" customFormat="1" ht="17.100000000000001" customHeight="1"/>
    <row r="468" s="132" customFormat="1" ht="17.100000000000001" customHeight="1"/>
    <row r="469" s="132" customFormat="1" ht="17.100000000000001" customHeight="1"/>
    <row r="470" s="132" customFormat="1" ht="17.100000000000001" customHeight="1"/>
    <row r="471" s="132" customFormat="1" ht="17.100000000000001" customHeight="1"/>
    <row r="472" s="132" customFormat="1" ht="17.100000000000001" customHeight="1"/>
    <row r="473" s="132" customFormat="1" ht="17.100000000000001" customHeight="1"/>
    <row r="474" s="132" customFormat="1" ht="17.100000000000001" customHeight="1"/>
    <row r="475" s="132" customFormat="1" ht="17.100000000000001" customHeight="1"/>
    <row r="476" s="132" customFormat="1" ht="17.100000000000001" customHeight="1"/>
    <row r="477" s="132" customFormat="1" ht="17.100000000000001" customHeight="1"/>
    <row r="478" s="132" customFormat="1" ht="17.100000000000001" customHeight="1"/>
    <row r="479" s="132" customFormat="1" ht="17.100000000000001" customHeight="1"/>
    <row r="480" s="132" customFormat="1" ht="17.100000000000001" customHeight="1"/>
    <row r="481" s="132" customFormat="1" ht="17.100000000000001" customHeight="1"/>
    <row r="482" s="132" customFormat="1" ht="17.100000000000001" customHeight="1"/>
    <row r="483" s="132" customFormat="1" ht="17.100000000000001" customHeight="1"/>
    <row r="484" s="132" customFormat="1" ht="17.100000000000001" customHeight="1"/>
    <row r="485" s="132" customFormat="1" ht="17.100000000000001" customHeight="1"/>
    <row r="486" s="132" customFormat="1" ht="17.100000000000001" customHeight="1"/>
    <row r="487" s="132" customFormat="1" ht="17.100000000000001" customHeight="1"/>
    <row r="488" s="132" customFormat="1" ht="17.100000000000001" customHeight="1"/>
    <row r="489" s="132" customFormat="1" ht="17.100000000000001" customHeight="1"/>
    <row r="490" s="132" customFormat="1" ht="17.100000000000001" customHeight="1"/>
    <row r="491" s="132" customFormat="1" ht="17.100000000000001" customHeight="1"/>
    <row r="492" s="132" customFormat="1" ht="17.100000000000001" customHeight="1"/>
    <row r="493" s="132" customFormat="1" ht="17.100000000000001" customHeight="1"/>
    <row r="494" s="132" customFormat="1" ht="17.100000000000001" customHeight="1"/>
    <row r="495" s="132" customFormat="1" ht="17.100000000000001" customHeight="1"/>
    <row r="496" s="132" customFormat="1" ht="17.100000000000001" customHeight="1"/>
    <row r="497" s="132" customFormat="1" ht="17.100000000000001" customHeight="1"/>
    <row r="498" s="132" customFormat="1" ht="17.100000000000001" customHeight="1"/>
    <row r="499" s="132" customFormat="1" ht="17.100000000000001" customHeight="1"/>
    <row r="500" s="132" customFormat="1" ht="17.100000000000001" customHeight="1"/>
    <row r="501" s="132" customFormat="1" ht="17.100000000000001" customHeight="1"/>
    <row r="502" s="132" customFormat="1" ht="17.100000000000001" customHeight="1"/>
    <row r="503" s="132" customFormat="1" ht="17.100000000000001" customHeight="1"/>
    <row r="504" s="132" customFormat="1" ht="17.100000000000001" customHeight="1"/>
    <row r="505" s="132" customFormat="1" ht="17.100000000000001" customHeight="1"/>
    <row r="506" s="132" customFormat="1" ht="17.100000000000001" customHeight="1"/>
    <row r="507" s="132" customFormat="1" ht="17.100000000000001" customHeight="1"/>
    <row r="508" s="132" customFormat="1" ht="17.100000000000001" customHeight="1"/>
    <row r="509" s="132" customFormat="1" ht="17.100000000000001" customHeight="1"/>
    <row r="510" s="132" customFormat="1" ht="17.100000000000001" customHeight="1"/>
    <row r="511" s="132" customFormat="1" ht="17.100000000000001" customHeight="1"/>
    <row r="512" s="132" customFormat="1" ht="17.100000000000001" customHeight="1"/>
    <row r="513" s="132" customFormat="1" ht="17.100000000000001" customHeight="1"/>
    <row r="514" s="132" customFormat="1" ht="17.100000000000001" customHeight="1"/>
    <row r="515" s="132" customFormat="1" ht="17.100000000000001" customHeight="1"/>
    <row r="516" s="132" customFormat="1" ht="17.100000000000001" customHeight="1"/>
    <row r="517" s="132" customFormat="1" ht="17.100000000000001" customHeight="1"/>
    <row r="518" s="132" customFormat="1" ht="17.100000000000001" customHeight="1"/>
    <row r="519" s="132" customFormat="1" ht="17.100000000000001" customHeight="1"/>
    <row r="520" s="132" customFormat="1" ht="17.100000000000001" customHeight="1"/>
    <row r="521" s="132" customFormat="1" ht="17.100000000000001" customHeight="1"/>
    <row r="522" s="132" customFormat="1" ht="17.100000000000001" customHeight="1"/>
    <row r="523" s="132" customFormat="1" ht="17.100000000000001" customHeight="1"/>
    <row r="524" s="132" customFormat="1" ht="17.100000000000001" customHeight="1"/>
    <row r="525" s="132" customFormat="1" ht="17.100000000000001" customHeight="1"/>
    <row r="526" s="132" customFormat="1" ht="17.100000000000001" customHeight="1"/>
    <row r="527" s="132" customFormat="1" ht="17.100000000000001" customHeight="1"/>
    <row r="528" s="132" customFormat="1" ht="17.100000000000001" customHeight="1"/>
    <row r="529" s="132" customFormat="1" ht="17.100000000000001" customHeight="1"/>
    <row r="530" s="132" customFormat="1" ht="17.100000000000001" customHeight="1"/>
    <row r="531" s="132" customFormat="1" ht="17.100000000000001" customHeight="1"/>
    <row r="532" s="132" customFormat="1" ht="17.100000000000001" customHeight="1"/>
    <row r="533" s="132" customFormat="1" ht="17.100000000000001" customHeight="1"/>
    <row r="534" s="132" customFormat="1" ht="17.100000000000001" customHeight="1"/>
    <row r="535" s="132" customFormat="1" ht="17.100000000000001" customHeight="1"/>
    <row r="536" s="132" customFormat="1" ht="17.100000000000001" customHeight="1"/>
    <row r="537" s="132" customFormat="1" ht="17.100000000000001" customHeight="1"/>
    <row r="538" s="132" customFormat="1" ht="17.100000000000001" customHeight="1"/>
    <row r="539" s="132" customFormat="1" ht="17.100000000000001" customHeight="1"/>
    <row r="540" s="132" customFormat="1" ht="17.100000000000001" customHeight="1"/>
    <row r="541" s="132" customFormat="1" ht="17.100000000000001" customHeight="1"/>
    <row r="542" s="132" customFormat="1" ht="17.100000000000001" customHeight="1"/>
    <row r="543" s="132" customFormat="1" ht="17.100000000000001" customHeight="1"/>
    <row r="544" s="132" customFormat="1" ht="17.100000000000001" customHeight="1"/>
    <row r="545" s="132" customFormat="1" ht="17.100000000000001" customHeight="1"/>
    <row r="546" s="132" customFormat="1" ht="17.100000000000001" customHeight="1"/>
    <row r="547" s="132" customFormat="1" ht="17.100000000000001" customHeight="1"/>
    <row r="548" s="132" customFormat="1" ht="17.100000000000001" customHeight="1"/>
    <row r="549" s="132" customFormat="1" ht="17.100000000000001" customHeight="1"/>
    <row r="550" s="132" customFormat="1" ht="17.100000000000001" customHeight="1"/>
    <row r="551" s="132" customFormat="1" ht="17.100000000000001" customHeight="1"/>
    <row r="552" s="132" customFormat="1" ht="17.100000000000001" customHeight="1"/>
    <row r="553" s="132" customFormat="1" ht="17.100000000000001" customHeight="1"/>
    <row r="554" s="132" customFormat="1" ht="17.100000000000001" customHeight="1"/>
    <row r="555" s="132" customFormat="1" ht="17.100000000000001" customHeight="1"/>
    <row r="556" s="132" customFormat="1" ht="17.100000000000001" customHeight="1"/>
    <row r="557" s="132" customFormat="1" ht="17.100000000000001" customHeight="1"/>
    <row r="558" s="132" customFormat="1" ht="17.100000000000001" customHeight="1"/>
    <row r="559" s="132" customFormat="1" ht="17.100000000000001" customHeight="1"/>
    <row r="560" s="132" customFormat="1" ht="17.100000000000001" customHeight="1"/>
    <row r="561" s="132" customFormat="1" ht="17.100000000000001" customHeight="1"/>
    <row r="562" s="132" customFormat="1" ht="17.100000000000001" customHeight="1"/>
    <row r="563" s="132" customFormat="1" ht="17.100000000000001" customHeight="1"/>
    <row r="564" s="132" customFormat="1" ht="17.100000000000001" customHeight="1"/>
    <row r="565" s="132" customFormat="1" ht="17.100000000000001" customHeight="1"/>
    <row r="566" s="132" customFormat="1" ht="17.100000000000001" customHeight="1"/>
    <row r="567" s="132" customFormat="1" ht="17.100000000000001" customHeight="1"/>
    <row r="568" s="132" customFormat="1" ht="17.100000000000001" customHeight="1"/>
    <row r="569" s="132" customFormat="1" ht="17.100000000000001" customHeight="1"/>
    <row r="570" s="132" customFormat="1" ht="17.100000000000001" customHeight="1"/>
    <row r="571" s="132" customFormat="1" ht="17.100000000000001" customHeight="1"/>
    <row r="572" s="132" customFormat="1" ht="17.100000000000001" customHeight="1"/>
    <row r="573" s="132" customFormat="1" ht="17.100000000000001" customHeight="1"/>
    <row r="574" s="132" customFormat="1" ht="17.100000000000001" customHeight="1"/>
    <row r="575" s="132" customFormat="1" ht="17.100000000000001" customHeight="1"/>
    <row r="576" s="132" customFormat="1" ht="17.100000000000001" customHeight="1"/>
    <row r="577" s="132" customFormat="1" ht="17.100000000000001" customHeight="1"/>
    <row r="578" s="132" customFormat="1" ht="17.100000000000001" customHeight="1"/>
    <row r="579" s="132" customFormat="1" ht="17.100000000000001" customHeight="1"/>
    <row r="580" s="132" customFormat="1" ht="17.100000000000001" customHeight="1"/>
    <row r="581" s="132" customFormat="1" ht="17.100000000000001" customHeight="1"/>
    <row r="582" s="132" customFormat="1" ht="17.100000000000001" customHeight="1"/>
    <row r="583" s="132" customFormat="1" ht="17.100000000000001" customHeight="1"/>
    <row r="584" s="132" customFormat="1" ht="17.100000000000001" customHeight="1"/>
    <row r="585" s="132" customFormat="1" ht="17.100000000000001" customHeight="1"/>
    <row r="586" s="132" customFormat="1" ht="17.100000000000001" customHeight="1"/>
    <row r="587" s="132" customFormat="1" ht="17.100000000000001" customHeight="1"/>
    <row r="588" s="132" customFormat="1" ht="17.100000000000001" customHeight="1"/>
    <row r="589" s="132" customFormat="1" ht="17.100000000000001" customHeight="1"/>
    <row r="590" s="132" customFormat="1" ht="17.100000000000001" customHeight="1"/>
    <row r="591" s="132" customFormat="1" ht="17.100000000000001" customHeight="1"/>
    <row r="592" s="132" customFormat="1" ht="17.100000000000001" customHeight="1"/>
    <row r="593" s="132" customFormat="1" ht="17.100000000000001" customHeight="1"/>
    <row r="594" s="132" customFormat="1" ht="17.100000000000001" customHeight="1"/>
    <row r="595" s="132" customFormat="1" ht="17.100000000000001" customHeight="1"/>
    <row r="596" s="132" customFormat="1" ht="17.100000000000001" customHeight="1"/>
    <row r="597" s="132" customFormat="1" ht="17.100000000000001" customHeight="1"/>
    <row r="598" s="132" customFormat="1" ht="17.100000000000001" customHeight="1"/>
    <row r="599" s="132" customFormat="1" ht="17.100000000000001" customHeight="1"/>
    <row r="600" s="132" customFormat="1" ht="17.100000000000001" customHeight="1"/>
    <row r="601" s="132" customFormat="1" ht="17.100000000000001" customHeight="1"/>
    <row r="602" s="132" customFormat="1" ht="17.100000000000001" customHeight="1"/>
    <row r="603" s="132" customFormat="1" ht="17.100000000000001" customHeight="1"/>
    <row r="604" s="132" customFormat="1" ht="17.100000000000001" customHeight="1"/>
    <row r="605" s="132" customFormat="1" ht="17.100000000000001" customHeight="1"/>
    <row r="606" s="132" customFormat="1" ht="17.100000000000001" customHeight="1"/>
    <row r="607" s="132" customFormat="1" ht="17.100000000000001" customHeight="1"/>
    <row r="608" s="132" customFormat="1" ht="17.100000000000001" customHeight="1"/>
    <row r="609" s="132" customFormat="1" ht="17.100000000000001" customHeight="1"/>
    <row r="610" s="132" customFormat="1" ht="17.100000000000001" customHeight="1"/>
    <row r="611" s="132" customFormat="1" ht="17.100000000000001" customHeight="1"/>
    <row r="612" s="132" customFormat="1" ht="17.100000000000001" customHeight="1"/>
    <row r="613" s="132" customFormat="1" ht="17.100000000000001" customHeight="1"/>
    <row r="614" s="132" customFormat="1" ht="17.100000000000001" customHeight="1"/>
    <row r="615" s="132" customFormat="1" ht="17.100000000000001" customHeight="1"/>
    <row r="616" s="132" customFormat="1" ht="17.100000000000001" customHeight="1"/>
    <row r="617" s="132" customFormat="1" ht="17.100000000000001" customHeight="1"/>
    <row r="618" s="132" customFormat="1" ht="17.100000000000001" customHeight="1"/>
    <row r="619" s="132" customFormat="1" ht="17.100000000000001" customHeight="1"/>
    <row r="620" s="132" customFormat="1" ht="17.100000000000001" customHeight="1"/>
    <row r="621" s="132" customFormat="1" ht="17.100000000000001" customHeight="1"/>
    <row r="622" s="132" customFormat="1" ht="17.100000000000001" customHeight="1"/>
    <row r="623" s="132" customFormat="1" ht="17.100000000000001" customHeight="1"/>
    <row r="624" s="132" customFormat="1" ht="17.100000000000001" customHeight="1"/>
    <row r="625" s="132" customFormat="1" ht="17.100000000000001" customHeight="1"/>
    <row r="626" s="132" customFormat="1" ht="17.100000000000001" customHeight="1"/>
    <row r="627" s="132" customFormat="1" ht="17.100000000000001" customHeight="1"/>
    <row r="628" s="132" customFormat="1" ht="17.100000000000001" customHeight="1"/>
    <row r="629" s="132" customFormat="1" ht="17.100000000000001" customHeight="1"/>
    <row r="630" s="132" customFormat="1" ht="17.100000000000001" customHeight="1"/>
    <row r="631" s="132" customFormat="1" ht="17.100000000000001" customHeight="1"/>
    <row r="632" s="132" customFormat="1" ht="17.100000000000001" customHeight="1"/>
    <row r="633" s="132" customFormat="1" ht="17.100000000000001" customHeight="1"/>
    <row r="634" s="132" customFormat="1" ht="17.100000000000001" customHeight="1"/>
    <row r="635" s="132" customFormat="1" ht="17.100000000000001" customHeight="1"/>
    <row r="636" s="132" customFormat="1" ht="17.100000000000001" customHeight="1"/>
    <row r="637" s="132" customFormat="1" ht="17.100000000000001" customHeight="1"/>
    <row r="638" s="132" customFormat="1" ht="17.100000000000001" customHeight="1"/>
    <row r="639" s="132" customFormat="1" ht="17.100000000000001" customHeight="1"/>
    <row r="640" s="132" customFormat="1" ht="17.100000000000001" customHeight="1"/>
    <row r="641" s="132" customFormat="1" ht="17.100000000000001" customHeight="1"/>
    <row r="642" s="132" customFormat="1" ht="17.100000000000001" customHeight="1"/>
    <row r="643" s="132" customFormat="1" ht="17.100000000000001" customHeight="1"/>
    <row r="644" s="132" customFormat="1" ht="17.100000000000001" customHeight="1"/>
    <row r="645" s="132" customFormat="1" ht="17.100000000000001" customHeight="1"/>
    <row r="646" s="132" customFormat="1" ht="17.100000000000001" customHeight="1"/>
    <row r="647" s="132" customFormat="1" ht="17.100000000000001" customHeight="1"/>
    <row r="648" s="132" customFormat="1" ht="17.100000000000001" customHeight="1"/>
    <row r="649" s="132" customFormat="1" ht="17.100000000000001" customHeight="1"/>
    <row r="650" s="132" customFormat="1" ht="17.100000000000001" customHeight="1"/>
    <row r="651" s="132" customFormat="1" ht="17.100000000000001" customHeight="1"/>
    <row r="652" s="132" customFormat="1" ht="17.100000000000001" customHeight="1"/>
    <row r="653" s="132" customFormat="1" ht="17.100000000000001" customHeight="1"/>
    <row r="654" s="132" customFormat="1" ht="17.100000000000001" customHeight="1"/>
    <row r="655" s="132" customFormat="1" ht="17.100000000000001" customHeight="1"/>
    <row r="656" s="132" customFormat="1" ht="17.100000000000001" customHeight="1"/>
    <row r="657" s="132" customFormat="1" ht="17.100000000000001" customHeight="1"/>
    <row r="658" s="132" customFormat="1" ht="17.100000000000001" customHeight="1"/>
    <row r="659" s="132" customFormat="1" ht="17.100000000000001" customHeight="1"/>
    <row r="660" s="132" customFormat="1" ht="17.100000000000001" customHeight="1"/>
    <row r="661" s="132" customFormat="1" ht="17.100000000000001" customHeight="1"/>
    <row r="662" s="132" customFormat="1" ht="17.100000000000001" customHeight="1"/>
    <row r="663" s="132" customFormat="1" ht="17.100000000000001" customHeight="1"/>
    <row r="664" s="132" customFormat="1" ht="17.100000000000001" customHeight="1"/>
    <row r="665" s="132" customFormat="1" ht="17.100000000000001" customHeight="1"/>
    <row r="666" s="132" customFormat="1" ht="17.100000000000001" customHeight="1"/>
    <row r="667" s="132" customFormat="1" ht="17.100000000000001" customHeight="1"/>
    <row r="668" s="132" customFormat="1" ht="17.100000000000001" customHeight="1"/>
    <row r="669" s="132" customFormat="1" ht="17.100000000000001" customHeight="1"/>
    <row r="670" s="132" customFormat="1" ht="17.100000000000001" customHeight="1"/>
    <row r="671" s="132" customFormat="1" ht="17.100000000000001" customHeight="1"/>
    <row r="672" s="132" customFormat="1" ht="17.100000000000001" customHeight="1"/>
    <row r="673" s="132" customFormat="1" ht="17.100000000000001" customHeight="1"/>
    <row r="674" s="132" customFormat="1" ht="17.100000000000001" customHeight="1"/>
    <row r="675" s="132" customFormat="1" ht="17.100000000000001" customHeight="1"/>
    <row r="676" s="132" customFormat="1" ht="17.100000000000001" customHeight="1"/>
    <row r="677" s="132" customFormat="1" ht="17.100000000000001" customHeight="1"/>
    <row r="678" s="132" customFormat="1" ht="17.100000000000001" customHeight="1"/>
    <row r="679" s="132" customFormat="1" ht="17.100000000000001" customHeight="1"/>
    <row r="680" s="132" customFormat="1" ht="17.100000000000001" customHeight="1"/>
    <row r="681" s="132" customFormat="1" ht="17.100000000000001" customHeight="1"/>
    <row r="682" s="132" customFormat="1" ht="17.100000000000001" customHeight="1"/>
    <row r="683" s="132" customFormat="1" ht="17.100000000000001" customHeight="1"/>
    <row r="684" s="132" customFormat="1" ht="17.100000000000001" customHeight="1"/>
    <row r="685" s="132" customFormat="1" ht="17.100000000000001" customHeight="1"/>
    <row r="686" s="132" customFormat="1" ht="17.100000000000001" customHeight="1"/>
    <row r="687" s="132" customFormat="1" ht="17.100000000000001" customHeight="1"/>
    <row r="688" s="132" customFormat="1" ht="17.100000000000001" customHeight="1"/>
    <row r="689" s="132" customFormat="1" ht="17.100000000000001" customHeight="1"/>
    <row r="690" s="132" customFormat="1" ht="17.100000000000001" customHeight="1"/>
    <row r="691" s="132" customFormat="1" ht="17.100000000000001" customHeight="1"/>
    <row r="692" s="132" customFormat="1" ht="17.100000000000001" customHeight="1"/>
    <row r="693" s="132" customFormat="1" ht="17.100000000000001" customHeight="1"/>
    <row r="694" s="132" customFormat="1" ht="17.100000000000001" customHeight="1"/>
    <row r="695" s="132" customFormat="1" ht="17.100000000000001" customHeight="1"/>
    <row r="696" s="132" customFormat="1" ht="17.100000000000001" customHeight="1"/>
    <row r="697" s="132" customFormat="1" ht="17.100000000000001" customHeight="1"/>
    <row r="698" s="132" customFormat="1" ht="17.100000000000001" customHeight="1"/>
    <row r="699" s="132" customFormat="1" ht="17.100000000000001" customHeight="1"/>
    <row r="700" s="132" customFormat="1" ht="17.100000000000001" customHeight="1"/>
    <row r="701" s="132" customFormat="1" ht="17.100000000000001" customHeight="1"/>
    <row r="702" s="132" customFormat="1" ht="17.100000000000001" customHeight="1"/>
    <row r="703" s="132" customFormat="1" ht="17.100000000000001" customHeight="1"/>
    <row r="704" s="132" customFormat="1" ht="17.100000000000001" customHeight="1"/>
    <row r="705" s="132" customFormat="1" ht="17.100000000000001" customHeight="1"/>
    <row r="706" s="132" customFormat="1" ht="17.100000000000001" customHeight="1"/>
    <row r="707" s="132" customFormat="1" ht="17.100000000000001" customHeight="1"/>
    <row r="708" s="132" customFormat="1" ht="17.100000000000001" customHeight="1"/>
    <row r="709" s="132" customFormat="1" ht="17.100000000000001" customHeight="1"/>
    <row r="710" s="132" customFormat="1" ht="17.100000000000001" customHeight="1"/>
    <row r="711" s="132" customFormat="1" ht="17.100000000000001" customHeight="1"/>
    <row r="712" s="132" customFormat="1" ht="17.100000000000001" customHeight="1"/>
    <row r="713" s="132" customFormat="1" ht="17.100000000000001" customHeight="1"/>
    <row r="714" s="132" customFormat="1" ht="17.100000000000001" customHeight="1"/>
    <row r="715" s="132" customFormat="1" ht="17.100000000000001" customHeight="1"/>
    <row r="716" s="132" customFormat="1" ht="17.100000000000001" customHeight="1"/>
    <row r="717" s="132" customFormat="1" ht="17.100000000000001" customHeight="1"/>
    <row r="718" s="132" customFormat="1" ht="17.100000000000001" customHeight="1"/>
    <row r="719" s="132" customFormat="1" ht="17.100000000000001" customHeight="1"/>
    <row r="720" s="132" customFormat="1" ht="17.100000000000001" customHeight="1"/>
    <row r="721" s="132" customFormat="1" ht="17.100000000000001" customHeight="1"/>
    <row r="722" s="132" customFormat="1" ht="17.100000000000001" customHeight="1"/>
    <row r="723" s="132" customFormat="1" ht="17.100000000000001" customHeight="1"/>
    <row r="724" s="132" customFormat="1" ht="17.100000000000001" customHeight="1"/>
    <row r="725" s="132" customFormat="1" ht="17.100000000000001" customHeight="1"/>
    <row r="726" s="132" customFormat="1" ht="17.100000000000001" customHeight="1"/>
    <row r="727" s="132" customFormat="1" ht="17.100000000000001" customHeight="1"/>
    <row r="728" s="132" customFormat="1" ht="17.100000000000001" customHeight="1"/>
    <row r="729" s="132" customFormat="1" ht="17.100000000000001" customHeight="1"/>
    <row r="730" s="132" customFormat="1" ht="17.100000000000001" customHeight="1"/>
    <row r="731" s="132" customFormat="1" ht="17.100000000000001" customHeight="1"/>
    <row r="732" s="132" customFormat="1" ht="17.100000000000001" customHeight="1"/>
    <row r="733" s="132" customFormat="1" ht="17.100000000000001" customHeight="1"/>
    <row r="734" s="132" customFormat="1" ht="17.100000000000001" customHeight="1"/>
    <row r="735" s="132" customFormat="1" ht="17.100000000000001" customHeight="1"/>
    <row r="736" s="132" customFormat="1" ht="17.100000000000001" customHeight="1"/>
    <row r="737" s="132" customFormat="1" ht="17.100000000000001" customHeight="1"/>
    <row r="738" s="132" customFormat="1" ht="17.100000000000001" customHeight="1"/>
    <row r="739" s="132" customFormat="1" ht="17.100000000000001" customHeight="1"/>
    <row r="740" s="132" customFormat="1" ht="17.100000000000001" customHeight="1"/>
    <row r="741" s="132" customFormat="1" ht="17.100000000000001" customHeight="1"/>
    <row r="742" s="132" customFormat="1" ht="17.100000000000001" customHeight="1"/>
    <row r="743" s="132" customFormat="1" ht="17.100000000000001" customHeight="1"/>
    <row r="744" s="132" customFormat="1" ht="17.100000000000001" customHeight="1"/>
    <row r="745" s="132" customFormat="1" ht="17.100000000000001" customHeight="1"/>
    <row r="746" s="132" customFormat="1" ht="17.100000000000001" customHeight="1"/>
    <row r="747" s="132" customFormat="1" ht="17.100000000000001" customHeight="1"/>
    <row r="748" s="132" customFormat="1" ht="17.100000000000001" customHeight="1"/>
    <row r="749" s="132" customFormat="1" ht="17.100000000000001" customHeight="1"/>
    <row r="750" s="132" customFormat="1" ht="17.100000000000001" customHeight="1"/>
    <row r="751" s="132" customFormat="1" ht="17.100000000000001" customHeight="1"/>
    <row r="752" s="132" customFormat="1" ht="17.100000000000001" customHeight="1"/>
    <row r="753" s="132" customFormat="1" ht="17.100000000000001" customHeight="1"/>
    <row r="754" s="132" customFormat="1" ht="17.100000000000001" customHeight="1"/>
    <row r="755" s="132" customFormat="1" ht="17.100000000000001" customHeight="1"/>
    <row r="756" s="132" customFormat="1" ht="17.100000000000001" customHeight="1"/>
    <row r="757" s="132" customFormat="1" ht="17.100000000000001" customHeight="1"/>
    <row r="758" s="132" customFormat="1" ht="17.100000000000001" customHeight="1"/>
    <row r="759" s="132" customFormat="1" ht="17.100000000000001" customHeight="1"/>
    <row r="760" s="132" customFormat="1" ht="17.100000000000001" customHeight="1"/>
    <row r="761" s="132" customFormat="1" ht="17.100000000000001" customHeight="1"/>
    <row r="762" s="132" customFormat="1" ht="17.100000000000001" customHeight="1"/>
    <row r="763" s="132" customFormat="1" ht="17.100000000000001" customHeight="1"/>
    <row r="764" s="132" customFormat="1" ht="17.100000000000001" customHeight="1"/>
    <row r="765" s="132" customFormat="1" ht="17.100000000000001" customHeight="1"/>
    <row r="766" s="132" customFormat="1" ht="17.100000000000001" customHeight="1"/>
    <row r="767" s="132" customFormat="1" ht="17.100000000000001" customHeight="1"/>
    <row r="768" s="132" customFormat="1" ht="17.100000000000001" customHeight="1"/>
    <row r="769" s="132" customFormat="1" ht="17.100000000000001" customHeight="1"/>
    <row r="770" s="132" customFormat="1" ht="17.100000000000001" customHeight="1"/>
    <row r="771" s="132" customFormat="1" ht="17.100000000000001" customHeight="1"/>
    <row r="772" s="132" customFormat="1" ht="17.100000000000001" customHeight="1"/>
    <row r="773" s="132" customFormat="1" ht="17.100000000000001" customHeight="1"/>
    <row r="774" s="132" customFormat="1" ht="17.100000000000001" customHeight="1"/>
    <row r="775" s="132" customFormat="1" ht="17.100000000000001" customHeight="1"/>
    <row r="776" s="132" customFormat="1" ht="17.100000000000001" customHeight="1"/>
    <row r="777" s="132" customFormat="1" ht="17.100000000000001" customHeight="1"/>
    <row r="778" s="132" customFormat="1" ht="17.100000000000001" customHeight="1"/>
    <row r="779" s="132" customFormat="1" ht="17.100000000000001" customHeight="1"/>
    <row r="780" s="132" customFormat="1" ht="17.100000000000001" customHeight="1"/>
    <row r="781" s="132" customFormat="1" ht="17.100000000000001" customHeight="1"/>
    <row r="782" s="132" customFormat="1" ht="17.100000000000001" customHeight="1"/>
    <row r="783" s="132" customFormat="1" ht="17.100000000000001" customHeight="1"/>
    <row r="784" s="132" customFormat="1" ht="17.100000000000001" customHeight="1"/>
    <row r="785" s="132" customFormat="1" ht="17.100000000000001" customHeight="1"/>
    <row r="786" s="132" customFormat="1" ht="17.100000000000001" customHeight="1"/>
    <row r="787" s="132" customFormat="1" ht="17.100000000000001" customHeight="1"/>
    <row r="788" s="132" customFormat="1" ht="17.100000000000001" customHeight="1"/>
    <row r="789" s="132" customFormat="1" ht="17.100000000000001" customHeight="1"/>
    <row r="790" s="132" customFormat="1" ht="17.100000000000001" customHeight="1"/>
    <row r="791" s="132" customFormat="1" ht="17.100000000000001" customHeight="1"/>
    <row r="792" s="132" customFormat="1" ht="17.100000000000001" customHeight="1"/>
    <row r="793" s="132" customFormat="1" ht="17.100000000000001" customHeight="1"/>
    <row r="794" s="132" customFormat="1" ht="17.100000000000001" customHeight="1"/>
    <row r="795" s="132" customFormat="1" ht="17.100000000000001" customHeight="1"/>
    <row r="796" s="132" customFormat="1" ht="17.100000000000001" customHeight="1"/>
    <row r="797" s="132" customFormat="1" ht="17.100000000000001" customHeight="1"/>
    <row r="798" s="132" customFormat="1" ht="17.100000000000001" customHeight="1"/>
    <row r="799" s="132" customFormat="1" ht="17.100000000000001" customHeight="1"/>
    <row r="800" s="132" customFormat="1" ht="17.100000000000001" customHeight="1"/>
    <row r="801" s="132" customFormat="1" ht="17.100000000000001" customHeight="1"/>
    <row r="802" s="132" customFormat="1" ht="17.100000000000001" customHeight="1"/>
    <row r="803" s="132" customFormat="1" ht="17.100000000000001" customHeight="1"/>
    <row r="804" s="132" customFormat="1" ht="17.100000000000001" customHeight="1"/>
    <row r="805" s="132" customFormat="1" ht="17.100000000000001" customHeight="1"/>
    <row r="806" s="132" customFormat="1" ht="17.100000000000001" customHeight="1"/>
    <row r="807" s="132" customFormat="1" ht="17.100000000000001" customHeight="1"/>
    <row r="808" s="132" customFormat="1" ht="17.100000000000001" customHeight="1"/>
    <row r="809" s="132" customFormat="1" ht="17.100000000000001" customHeight="1"/>
    <row r="810" s="132" customFormat="1" ht="17.100000000000001" customHeight="1"/>
    <row r="811" s="132" customFormat="1" ht="17.100000000000001" customHeight="1"/>
    <row r="812" s="132" customFormat="1" ht="17.100000000000001" customHeight="1"/>
    <row r="813" s="132" customFormat="1" ht="17.100000000000001" customHeight="1"/>
    <row r="814" s="132" customFormat="1" ht="17.100000000000001" customHeight="1"/>
    <row r="815" s="132" customFormat="1" ht="17.100000000000001" customHeight="1"/>
    <row r="816" s="132" customFormat="1" ht="17.100000000000001" customHeight="1"/>
    <row r="817" s="132" customFormat="1" ht="17.100000000000001" customHeight="1"/>
    <row r="818" s="132" customFormat="1" ht="17.100000000000001" customHeight="1"/>
    <row r="819" s="132" customFormat="1" ht="17.100000000000001" customHeight="1"/>
    <row r="820" s="132" customFormat="1" ht="17.100000000000001" customHeight="1"/>
    <row r="821" s="132" customFormat="1" ht="17.100000000000001" customHeight="1"/>
    <row r="822" s="132" customFormat="1" ht="17.100000000000001" customHeight="1"/>
    <row r="823" s="132" customFormat="1" ht="17.100000000000001" customHeight="1"/>
    <row r="824" s="132" customFormat="1" ht="17.100000000000001" customHeight="1"/>
    <row r="825" s="132" customFormat="1" ht="17.100000000000001" customHeight="1"/>
    <row r="826" s="132" customFormat="1" ht="17.100000000000001" customHeight="1"/>
    <row r="827" s="132" customFormat="1" ht="17.100000000000001" customHeight="1"/>
    <row r="828" s="132" customFormat="1" ht="17.100000000000001" customHeight="1"/>
    <row r="829" s="132" customFormat="1" ht="17.100000000000001" customHeight="1"/>
    <row r="830" s="132" customFormat="1" ht="17.100000000000001" customHeight="1"/>
    <row r="831" s="132" customFormat="1" ht="17.100000000000001" customHeight="1"/>
    <row r="832" s="132" customFormat="1" ht="17.100000000000001" customHeight="1"/>
    <row r="833" s="132" customFormat="1" ht="17.100000000000001" customHeight="1"/>
    <row r="834" s="132" customFormat="1" ht="17.100000000000001" customHeight="1"/>
    <row r="835" s="132" customFormat="1" ht="17.100000000000001" customHeight="1"/>
    <row r="836" s="132" customFormat="1" ht="17.100000000000001" customHeight="1"/>
    <row r="837" s="132" customFormat="1" ht="17.100000000000001" customHeight="1"/>
    <row r="838" s="132" customFormat="1" ht="17.100000000000001" customHeight="1"/>
    <row r="839" s="132" customFormat="1" ht="17.100000000000001" customHeight="1"/>
    <row r="840" s="132" customFormat="1" ht="17.100000000000001" customHeight="1"/>
    <row r="841" s="132" customFormat="1" ht="17.100000000000001" customHeight="1"/>
    <row r="842" s="132" customFormat="1" ht="17.100000000000001" customHeight="1"/>
    <row r="843" s="132" customFormat="1" ht="17.100000000000001" customHeight="1"/>
    <row r="844" s="132" customFormat="1" ht="17.100000000000001" customHeight="1"/>
    <row r="845" s="132" customFormat="1" ht="17.100000000000001" customHeight="1"/>
    <row r="846" s="132" customFormat="1" ht="17.100000000000001" customHeight="1"/>
    <row r="847" s="132" customFormat="1" ht="17.100000000000001" customHeight="1"/>
    <row r="848" s="132" customFormat="1" ht="17.100000000000001" customHeight="1"/>
    <row r="849" s="132" customFormat="1" ht="17.100000000000001" customHeight="1"/>
    <row r="850" s="132" customFormat="1" ht="17.100000000000001" customHeight="1"/>
    <row r="851" s="132" customFormat="1" ht="17.100000000000001" customHeight="1"/>
    <row r="852" s="132" customFormat="1" ht="17.100000000000001" customHeight="1"/>
    <row r="853" s="132" customFormat="1" ht="17.100000000000001" customHeight="1"/>
    <row r="854" s="132" customFormat="1" ht="17.100000000000001" customHeight="1"/>
    <row r="855" s="132" customFormat="1" ht="17.100000000000001" customHeight="1"/>
    <row r="856" s="132" customFormat="1" ht="17.100000000000001" customHeight="1"/>
    <row r="857" s="132" customFormat="1" ht="17.100000000000001" customHeight="1"/>
    <row r="858" s="132" customFormat="1" ht="17.100000000000001" customHeight="1"/>
    <row r="859" s="132" customFormat="1" ht="17.100000000000001" customHeight="1"/>
    <row r="860" s="132" customFormat="1" ht="17.100000000000001" customHeight="1"/>
    <row r="861" s="132" customFormat="1" ht="17.100000000000001" customHeight="1"/>
    <row r="862" s="132" customFormat="1" ht="17.100000000000001" customHeight="1"/>
    <row r="863" s="132" customFormat="1" ht="17.100000000000001" customHeight="1"/>
    <row r="864" s="132" customFormat="1" ht="17.100000000000001" customHeight="1"/>
    <row r="865" s="132" customFormat="1" ht="17.100000000000001" customHeight="1"/>
    <row r="866" s="132" customFormat="1" ht="17.100000000000001" customHeight="1"/>
    <row r="867" s="132" customFormat="1" ht="17.100000000000001" customHeight="1"/>
    <row r="868" s="132" customFormat="1" ht="17.100000000000001" customHeight="1"/>
    <row r="869" s="132" customFormat="1" ht="17.100000000000001" customHeight="1"/>
    <row r="870" s="132" customFormat="1" ht="17.100000000000001" customHeight="1"/>
    <row r="871" s="132" customFormat="1" ht="17.100000000000001" customHeight="1"/>
    <row r="872" s="132" customFormat="1" ht="17.100000000000001" customHeight="1"/>
    <row r="873" s="132" customFormat="1" ht="17.100000000000001" customHeight="1"/>
    <row r="874" s="132" customFormat="1" ht="17.100000000000001" customHeight="1"/>
    <row r="875" s="132" customFormat="1" ht="17.100000000000001" customHeight="1"/>
    <row r="876" s="132" customFormat="1" ht="17.100000000000001" customHeight="1"/>
    <row r="877" s="132" customFormat="1" ht="17.100000000000001" customHeight="1"/>
    <row r="878" s="132" customFormat="1" ht="17.100000000000001" customHeight="1"/>
    <row r="879" s="132" customFormat="1" ht="17.100000000000001" customHeight="1"/>
    <row r="880" s="132" customFormat="1" ht="17.100000000000001" customHeight="1"/>
    <row r="881" s="132" customFormat="1" ht="17.100000000000001" customHeight="1"/>
    <row r="882" s="132" customFormat="1" ht="17.100000000000001" customHeight="1"/>
    <row r="883" s="132" customFormat="1" ht="17.100000000000001" customHeight="1"/>
    <row r="884" s="132" customFormat="1" ht="17.100000000000001" customHeight="1"/>
    <row r="885" s="132" customFormat="1" ht="17.100000000000001" customHeight="1"/>
    <row r="886" s="132" customFormat="1" ht="17.100000000000001" customHeight="1"/>
    <row r="887" s="132" customFormat="1" ht="17.100000000000001" customHeight="1"/>
    <row r="888" s="132" customFormat="1" ht="17.100000000000001" customHeight="1"/>
    <row r="889" s="132" customFormat="1" ht="17.100000000000001" customHeight="1"/>
    <row r="890" s="132" customFormat="1" ht="17.100000000000001" customHeight="1"/>
    <row r="891" s="132" customFormat="1" ht="17.100000000000001" customHeight="1"/>
    <row r="892" s="132" customFormat="1" ht="17.100000000000001" customHeight="1"/>
    <row r="893" s="132" customFormat="1" ht="17.100000000000001" customHeight="1"/>
    <row r="894" s="132" customFormat="1" ht="17.100000000000001" customHeight="1"/>
    <row r="895" s="132" customFormat="1" ht="17.100000000000001" customHeight="1"/>
    <row r="896" s="132" customFormat="1" ht="17.100000000000001" customHeight="1"/>
    <row r="897" s="132" customFormat="1" ht="17.100000000000001" customHeight="1"/>
    <row r="898" s="132" customFormat="1" ht="17.100000000000001" customHeight="1"/>
    <row r="899" s="132" customFormat="1" ht="17.100000000000001" customHeight="1"/>
    <row r="900" s="132" customFormat="1" ht="17.100000000000001" customHeight="1"/>
    <row r="901" s="132" customFormat="1" ht="17.100000000000001" customHeight="1"/>
    <row r="902" s="132" customFormat="1" ht="17.100000000000001" customHeight="1"/>
    <row r="903" s="132" customFormat="1" ht="17.100000000000001" customHeight="1"/>
    <row r="904" s="132" customFormat="1" ht="17.100000000000001" customHeight="1"/>
    <row r="905" s="132" customFormat="1" ht="17.100000000000001" customHeight="1"/>
    <row r="906" s="132" customFormat="1" ht="17.100000000000001" customHeight="1"/>
    <row r="907" s="132" customFormat="1" ht="17.100000000000001" customHeight="1"/>
    <row r="908" s="132" customFormat="1" ht="17.100000000000001" customHeight="1"/>
    <row r="909" s="132" customFormat="1" ht="17.100000000000001" customHeight="1"/>
    <row r="910" s="132" customFormat="1" ht="17.100000000000001" customHeight="1"/>
    <row r="911" s="132" customFormat="1" ht="17.100000000000001" customHeight="1"/>
    <row r="912" s="132" customFormat="1" ht="17.100000000000001" customHeight="1"/>
    <row r="913" s="132" customFormat="1" ht="17.100000000000001" customHeight="1"/>
    <row r="914" s="132" customFormat="1" ht="17.100000000000001" customHeight="1"/>
    <row r="915" s="132" customFormat="1" ht="17.100000000000001" customHeight="1"/>
    <row r="916" s="132" customFormat="1" ht="17.100000000000001" customHeight="1"/>
    <row r="917" s="132" customFormat="1" ht="17.100000000000001" customHeight="1"/>
    <row r="918" s="132" customFormat="1" ht="17.100000000000001" customHeight="1"/>
    <row r="919" s="132" customFormat="1" ht="17.100000000000001" customHeight="1"/>
    <row r="920" s="132" customFormat="1" ht="17.100000000000001" customHeight="1"/>
    <row r="921" s="132" customFormat="1" ht="17.100000000000001" customHeight="1"/>
    <row r="922" s="132" customFormat="1" ht="17.100000000000001" customHeight="1"/>
    <row r="923" s="132" customFormat="1" ht="17.100000000000001" customHeight="1"/>
    <row r="924" s="132" customFormat="1" ht="17.100000000000001" customHeight="1"/>
    <row r="925" s="132" customFormat="1" ht="17.100000000000001" customHeight="1"/>
    <row r="926" s="132" customFormat="1" ht="17.100000000000001" customHeight="1"/>
    <row r="927" s="132" customFormat="1" ht="17.100000000000001" customHeight="1"/>
    <row r="928" s="132" customFormat="1" ht="17.100000000000001" customHeight="1"/>
    <row r="929" s="132" customFormat="1" ht="17.100000000000001" customHeight="1"/>
    <row r="930" s="132" customFormat="1" ht="17.100000000000001" customHeight="1"/>
    <row r="931" s="132" customFormat="1" ht="17.100000000000001" customHeight="1"/>
    <row r="932" s="132" customFormat="1" ht="17.100000000000001" customHeight="1"/>
    <row r="933" s="132" customFormat="1" ht="17.100000000000001" customHeight="1"/>
    <row r="934" s="132" customFormat="1" ht="17.100000000000001" customHeight="1"/>
    <row r="935" s="132" customFormat="1" ht="17.100000000000001" customHeight="1"/>
    <row r="936" s="132" customFormat="1" ht="17.100000000000001" customHeight="1"/>
    <row r="937" s="132" customFormat="1" ht="17.100000000000001" customHeight="1"/>
    <row r="938" s="132" customFormat="1" ht="17.100000000000001" customHeight="1"/>
    <row r="939" s="132" customFormat="1" ht="17.100000000000001" customHeight="1"/>
    <row r="940" s="132" customFormat="1" ht="17.100000000000001" customHeight="1"/>
    <row r="941" s="132" customFormat="1" ht="17.100000000000001" customHeight="1"/>
    <row r="942" s="132" customFormat="1" ht="17.100000000000001" customHeight="1"/>
    <row r="943" s="132" customFormat="1" ht="17.100000000000001" customHeight="1"/>
    <row r="944" s="132" customFormat="1" ht="17.100000000000001" customHeight="1"/>
    <row r="945" s="132" customFormat="1" ht="17.100000000000001" customHeight="1"/>
    <row r="946" s="132" customFormat="1" ht="17.100000000000001" customHeight="1"/>
    <row r="947" s="132" customFormat="1" ht="17.100000000000001" customHeight="1"/>
    <row r="948" s="132" customFormat="1" ht="17.100000000000001" customHeight="1"/>
    <row r="949" s="132" customFormat="1" ht="17.100000000000001" customHeight="1"/>
    <row r="950" s="132" customFormat="1" ht="17.100000000000001" customHeight="1"/>
    <row r="951" s="132" customFormat="1" ht="17.100000000000001" customHeight="1"/>
    <row r="952" s="132" customFormat="1" ht="17.100000000000001" customHeight="1"/>
    <row r="953" s="132" customFormat="1" ht="17.100000000000001" customHeight="1"/>
    <row r="954" s="132" customFormat="1" ht="17.100000000000001" customHeight="1"/>
    <row r="955" s="132" customFormat="1" ht="17.100000000000001" customHeight="1"/>
    <row r="956" s="132" customFormat="1" ht="17.100000000000001" customHeight="1"/>
    <row r="957" s="132" customFormat="1" ht="17.100000000000001" customHeight="1"/>
    <row r="958" s="132" customFormat="1" ht="17.100000000000001" customHeight="1"/>
    <row r="959" s="132" customFormat="1" ht="17.100000000000001" customHeight="1"/>
    <row r="960" s="132" customFormat="1" ht="17.100000000000001" customHeight="1"/>
    <row r="961" s="132" customFormat="1" ht="17.100000000000001" customHeight="1"/>
    <row r="962" s="132" customFormat="1" ht="17.100000000000001" customHeight="1"/>
    <row r="963" s="132" customFormat="1" ht="17.100000000000001" customHeight="1"/>
    <row r="964" s="132" customFormat="1" ht="17.100000000000001" customHeight="1"/>
    <row r="965" s="132" customFormat="1" ht="17.100000000000001" customHeight="1"/>
    <row r="966" s="132" customFormat="1" ht="17.100000000000001" customHeight="1"/>
    <row r="967" s="132" customFormat="1" ht="20.100000000000001" customHeight="1"/>
    <row r="968" s="132" customFormat="1" ht="20.100000000000001" customHeight="1"/>
    <row r="969" s="132" customFormat="1" ht="20.100000000000001" customHeight="1"/>
    <row r="970" s="132" customFormat="1" ht="20.100000000000001" customHeight="1"/>
    <row r="971" s="132" customFormat="1" ht="20.100000000000001" customHeight="1"/>
    <row r="972" s="132" customFormat="1" ht="20.100000000000001" customHeight="1"/>
    <row r="973" s="132" customFormat="1" ht="20.100000000000001" customHeight="1"/>
    <row r="974" s="132" customFormat="1" ht="20.100000000000001" customHeight="1"/>
    <row r="975" s="132" customFormat="1" ht="20.100000000000001" customHeight="1"/>
    <row r="976" s="132" customFormat="1" ht="20.100000000000001" customHeight="1"/>
    <row r="977" s="132" customFormat="1" ht="20.100000000000001" customHeight="1"/>
    <row r="978" s="132" customFormat="1" ht="20.100000000000001" customHeight="1"/>
    <row r="979" s="132" customFormat="1" ht="20.100000000000001" customHeight="1"/>
    <row r="980" s="132" customFormat="1" ht="20.100000000000001" customHeight="1"/>
    <row r="981" s="132" customFormat="1" ht="20.100000000000001" customHeight="1"/>
    <row r="982" s="132" customFormat="1" ht="20.100000000000001" customHeight="1"/>
    <row r="983" s="132" customFormat="1" ht="20.100000000000001" customHeight="1"/>
    <row r="984" s="132" customFormat="1" ht="20.100000000000001" customHeight="1"/>
    <row r="985" s="132" customFormat="1" ht="20.100000000000001" customHeight="1"/>
    <row r="986" s="132" customFormat="1" ht="20.100000000000001" customHeight="1"/>
    <row r="987" s="132" customFormat="1" ht="20.100000000000001" customHeight="1"/>
    <row r="988" s="132" customFormat="1" ht="20.100000000000001" customHeight="1"/>
    <row r="989" s="132" customFormat="1" ht="20.100000000000001" customHeight="1"/>
    <row r="990" s="132" customFormat="1" ht="20.100000000000001" customHeight="1"/>
    <row r="991" s="132" customFormat="1" ht="20.100000000000001" customHeight="1"/>
    <row r="992" s="132" customFormat="1" ht="20.100000000000001" customHeight="1"/>
    <row r="993" s="132" customFormat="1" ht="20.100000000000001" customHeight="1"/>
    <row r="994" s="132" customFormat="1" ht="20.100000000000001" customHeight="1"/>
    <row r="995" s="132" customFormat="1" ht="20.100000000000001" customHeight="1"/>
    <row r="996" s="132" customFormat="1" ht="20.100000000000001" customHeight="1"/>
    <row r="997" s="132" customFormat="1" ht="20.100000000000001" customHeight="1"/>
    <row r="998" s="132" customFormat="1" ht="20.100000000000001" customHeight="1"/>
    <row r="999" s="132" customFormat="1" ht="20.100000000000001" customHeight="1"/>
    <row r="1000" s="132" customFormat="1" ht="20.100000000000001" customHeight="1"/>
    <row r="1001" s="132" customFormat="1" ht="20.100000000000001" customHeight="1"/>
    <row r="1002" s="132" customFormat="1" ht="20.100000000000001" customHeight="1"/>
    <row r="1003" s="132" customFormat="1" ht="20.100000000000001" customHeight="1"/>
    <row r="1004" s="132" customFormat="1" ht="20.100000000000001" customHeight="1"/>
    <row r="1005" s="132" customFormat="1" ht="20.100000000000001" customHeight="1"/>
    <row r="1006" s="132" customFormat="1" ht="20.100000000000001" customHeight="1"/>
    <row r="1007" s="132" customFormat="1" ht="20.100000000000001" customHeight="1"/>
    <row r="1008" s="132" customFormat="1" ht="20.100000000000001" customHeight="1"/>
    <row r="1009" s="132" customFormat="1" ht="20.100000000000001" customHeight="1"/>
    <row r="1010" s="132" customFormat="1" ht="20.100000000000001" customHeight="1"/>
    <row r="1011" s="132" customFormat="1" ht="20.100000000000001" customHeight="1"/>
    <row r="1012" s="132" customFormat="1" ht="20.100000000000001" customHeight="1"/>
    <row r="1013" s="132" customFormat="1" ht="20.100000000000001" customHeight="1"/>
    <row r="1014" s="132" customFormat="1" ht="20.100000000000001" customHeight="1"/>
    <row r="1015" s="132" customFormat="1" ht="20.100000000000001" customHeight="1"/>
    <row r="1016" s="132" customFormat="1" ht="20.100000000000001" customHeight="1"/>
    <row r="1017" s="132" customFormat="1" ht="20.100000000000001" customHeight="1"/>
    <row r="1018" s="132" customFormat="1" ht="20.100000000000001" customHeight="1"/>
    <row r="1019" s="132" customFormat="1" ht="20.100000000000001" customHeight="1"/>
    <row r="1020" s="132" customFormat="1" ht="20.100000000000001" customHeight="1"/>
    <row r="1021" s="132" customFormat="1" ht="20.100000000000001" customHeight="1"/>
    <row r="1022" s="132" customFormat="1" ht="20.100000000000001" customHeight="1"/>
    <row r="1023" s="132" customFormat="1" ht="20.100000000000001" customHeight="1"/>
    <row r="1024" s="132" customFormat="1" ht="20.100000000000001" customHeight="1"/>
    <row r="1025" s="132" customFormat="1" ht="20.100000000000001" customHeight="1"/>
    <row r="1026" s="132" customFormat="1" ht="20.100000000000001" customHeight="1"/>
    <row r="1027" s="132" customFormat="1" ht="20.100000000000001" customHeight="1"/>
    <row r="1028" s="132" customFormat="1" ht="20.100000000000001" customHeight="1"/>
    <row r="1029" s="132" customFormat="1" ht="20.100000000000001" customHeight="1"/>
    <row r="1030" s="132" customFormat="1" ht="20.100000000000001" customHeight="1"/>
    <row r="1031" s="132" customFormat="1" ht="20.100000000000001" customHeight="1"/>
    <row r="1032" s="132" customFormat="1" ht="20.100000000000001" customHeight="1"/>
    <row r="1033" s="132" customFormat="1" ht="20.100000000000001" customHeight="1"/>
    <row r="1034" s="132" customFormat="1" ht="20.100000000000001" customHeight="1"/>
    <row r="1035" s="132" customFormat="1" ht="20.100000000000001" customHeight="1"/>
    <row r="1036" s="132" customFormat="1" ht="20.100000000000001" customHeight="1"/>
    <row r="1037" s="132" customFormat="1" ht="20.100000000000001" customHeight="1"/>
    <row r="1038" s="132" customFormat="1" ht="20.100000000000001" customHeight="1"/>
    <row r="1039" s="132" customFormat="1" ht="20.100000000000001" customHeight="1"/>
    <row r="1040" s="132" customFormat="1" ht="20.100000000000001" customHeight="1"/>
    <row r="1041" s="132" customFormat="1" ht="20.100000000000001" customHeight="1"/>
    <row r="1042" s="132" customFormat="1" ht="20.100000000000001" customHeight="1"/>
    <row r="1043" s="132" customFormat="1" ht="20.100000000000001" customHeight="1"/>
    <row r="1044" s="132" customFormat="1" ht="20.100000000000001" customHeight="1"/>
    <row r="1045" s="132" customFormat="1" ht="20.100000000000001" customHeight="1"/>
    <row r="1046" s="132" customFormat="1" ht="20.100000000000001" customHeight="1"/>
    <row r="1047" s="132" customFormat="1" ht="20.100000000000001" customHeight="1"/>
    <row r="1048" s="132" customFormat="1" ht="20.100000000000001" customHeight="1"/>
    <row r="1049" s="132" customFormat="1" ht="20.100000000000001" customHeight="1"/>
    <row r="1050" s="132" customFormat="1" ht="20.100000000000001" customHeight="1"/>
    <row r="1051" s="132" customFormat="1" ht="20.100000000000001" customHeight="1"/>
    <row r="1052" s="132" customFormat="1" ht="20.100000000000001" customHeight="1"/>
    <row r="1053" s="132" customFormat="1" ht="20.100000000000001" customHeight="1"/>
    <row r="1054" s="132" customFormat="1" ht="20.100000000000001" customHeight="1"/>
    <row r="1055" s="132" customFormat="1" ht="20.100000000000001" customHeight="1"/>
    <row r="1056" s="132" customFormat="1" ht="20.100000000000001" customHeight="1"/>
    <row r="1057" s="132" customFormat="1" ht="20.100000000000001" customHeight="1"/>
    <row r="1058" s="132" customFormat="1" ht="20.100000000000001" customHeight="1"/>
    <row r="1059" s="132" customFormat="1" ht="20.100000000000001" customHeight="1"/>
    <row r="1060" s="132" customFormat="1" ht="20.100000000000001" customHeight="1"/>
    <row r="1061" s="132" customFormat="1" ht="20.100000000000001" customHeight="1"/>
    <row r="1062" s="132" customFormat="1" ht="20.100000000000001" customHeight="1"/>
    <row r="1063" s="132" customFormat="1" ht="20.100000000000001" customHeight="1"/>
    <row r="1064" s="132" customFormat="1" ht="20.100000000000001" customHeight="1"/>
    <row r="1065" s="132" customFormat="1" ht="20.100000000000001" customHeight="1"/>
    <row r="1066" s="132" customFormat="1" ht="20.100000000000001" customHeight="1"/>
    <row r="1067" s="132" customFormat="1" ht="20.100000000000001" customHeight="1"/>
    <row r="1068" s="132" customFormat="1" ht="20.100000000000001" customHeight="1"/>
    <row r="1069" s="132" customFormat="1" ht="20.100000000000001" customHeight="1"/>
    <row r="1070" s="132" customFormat="1" ht="20.100000000000001" customHeight="1"/>
    <row r="1071" s="132" customFormat="1" ht="20.100000000000001" customHeight="1"/>
    <row r="1072" s="132" customFormat="1" ht="20.100000000000001" customHeight="1"/>
    <row r="1073" s="132" customFormat="1" ht="20.100000000000001" customHeight="1"/>
    <row r="1074" s="132" customFormat="1" ht="20.100000000000001" customHeight="1"/>
    <row r="1075" s="132" customFormat="1" ht="20.100000000000001" customHeight="1"/>
    <row r="1076" s="132" customFormat="1" ht="20.100000000000001" customHeight="1"/>
    <row r="1077" s="132" customFormat="1" ht="20.100000000000001" customHeight="1"/>
    <row r="1078" s="132" customFormat="1" ht="20.100000000000001" customHeight="1"/>
    <row r="1079" s="132" customFormat="1" ht="20.100000000000001" customHeight="1"/>
    <row r="1080" s="132" customFormat="1" ht="20.100000000000001" customHeight="1"/>
    <row r="1081" s="132" customFormat="1" ht="20.100000000000001" customHeight="1"/>
    <row r="1082" s="132" customFormat="1" ht="20.100000000000001" customHeight="1"/>
    <row r="1083" s="132" customFormat="1" ht="20.100000000000001" customHeight="1"/>
    <row r="1084" s="132" customFormat="1" ht="20.100000000000001" customHeight="1"/>
    <row r="1085" s="132" customFormat="1" ht="20.100000000000001" customHeight="1"/>
    <row r="1086" s="132" customFormat="1" ht="20.100000000000001" customHeight="1"/>
    <row r="1087" s="132" customFormat="1" ht="20.100000000000001" customHeight="1"/>
    <row r="1088" s="132" customFormat="1" ht="20.100000000000001" customHeight="1"/>
    <row r="1089" s="132" customFormat="1" ht="20.100000000000001" customHeight="1"/>
    <row r="1090" s="132" customFormat="1" ht="20.100000000000001" customHeight="1"/>
    <row r="1091" s="132" customFormat="1" ht="20.100000000000001" customHeight="1"/>
    <row r="1092" s="132" customFormat="1" ht="20.100000000000001" customHeight="1"/>
    <row r="1093" s="132" customFormat="1" ht="20.100000000000001" customHeight="1"/>
    <row r="1094" s="132" customFormat="1" ht="20.100000000000001" customHeight="1"/>
    <row r="1095" s="132" customFormat="1" ht="20.100000000000001" customHeight="1"/>
    <row r="1096" s="132" customFormat="1" ht="20.100000000000001" customHeight="1"/>
    <row r="1097" s="132" customFormat="1" ht="20.100000000000001" customHeight="1"/>
    <row r="1098" s="132" customFormat="1" ht="20.100000000000001" customHeight="1"/>
    <row r="1099" s="132" customFormat="1" ht="20.100000000000001" customHeight="1"/>
    <row r="1100" s="132" customFormat="1" ht="20.100000000000001" customHeight="1"/>
    <row r="1101" s="132" customFormat="1" ht="20.100000000000001" customHeight="1"/>
    <row r="1102" s="132" customFormat="1" ht="20.100000000000001" customHeight="1"/>
    <row r="1103" s="132" customFormat="1" ht="20.100000000000001" customHeight="1"/>
    <row r="1104" s="132" customFormat="1" ht="20.100000000000001" customHeight="1"/>
    <row r="1105" s="132" customFormat="1" ht="20.100000000000001" customHeight="1"/>
    <row r="1106" s="132" customFormat="1" ht="20.100000000000001" customHeight="1"/>
    <row r="1107" s="132" customFormat="1" ht="20.100000000000001" customHeight="1"/>
    <row r="1108" s="132" customFormat="1" ht="20.100000000000001" customHeight="1"/>
    <row r="1109" s="132" customFormat="1" ht="20.100000000000001" customHeight="1"/>
    <row r="1110" s="132" customFormat="1" ht="20.100000000000001" customHeight="1"/>
    <row r="1111" s="132" customFormat="1" ht="20.100000000000001" customHeight="1"/>
    <row r="1112" s="132" customFormat="1" ht="20.100000000000001" customHeight="1"/>
    <row r="1113" s="132" customFormat="1" ht="20.100000000000001" customHeight="1"/>
    <row r="1114" s="132" customFormat="1" ht="20.100000000000001" customHeight="1"/>
    <row r="1115" s="132" customFormat="1" ht="20.100000000000001" customHeight="1"/>
    <row r="1116" s="132" customFormat="1" ht="20.100000000000001" customHeight="1"/>
    <row r="1117" s="132" customFormat="1" ht="20.100000000000001" customHeight="1"/>
    <row r="1118" s="132" customFormat="1" ht="20.100000000000001" customHeight="1"/>
    <row r="1119" s="132" customFormat="1" ht="20.100000000000001" customHeight="1"/>
    <row r="1120" s="132" customFormat="1" ht="20.100000000000001" customHeight="1"/>
    <row r="1121" s="132" customFormat="1" ht="20.100000000000001" customHeight="1"/>
    <row r="1122" s="132" customFormat="1" ht="20.100000000000001" customHeight="1"/>
    <row r="1123" s="132" customFormat="1" ht="20.100000000000001" customHeight="1"/>
    <row r="1124" s="132" customFormat="1" ht="20.100000000000001" customHeight="1"/>
    <row r="1125" s="132" customFormat="1" ht="20.100000000000001" customHeight="1"/>
    <row r="1126" s="132" customFormat="1" ht="20.100000000000001" customHeight="1"/>
    <row r="1127" s="132" customFormat="1" ht="20.100000000000001" customHeight="1"/>
    <row r="1128" s="132" customFormat="1" ht="20.100000000000001" customHeight="1"/>
    <row r="1129" s="132" customFormat="1" ht="20.100000000000001" customHeight="1"/>
    <row r="1130" s="132" customFormat="1" ht="20.100000000000001" customHeight="1"/>
    <row r="1131" s="132" customFormat="1" ht="20.100000000000001" customHeight="1"/>
    <row r="1132" s="132" customFormat="1" ht="20.100000000000001" customHeight="1"/>
    <row r="1133" s="132" customFormat="1" ht="20.100000000000001" customHeight="1"/>
    <row r="1134" s="132" customFormat="1" ht="20.100000000000001" customHeight="1"/>
    <row r="1135" s="132" customFormat="1" ht="20.100000000000001" customHeight="1"/>
    <row r="1136" s="132" customFormat="1" ht="20.100000000000001" customHeight="1"/>
    <row r="1137" s="132" customFormat="1" ht="20.100000000000001" customHeight="1"/>
    <row r="1138" s="132" customFormat="1" ht="20.100000000000001" customHeight="1"/>
    <row r="1139" s="132" customFormat="1" ht="20.100000000000001" customHeight="1"/>
    <row r="1140" s="132" customFormat="1" ht="20.100000000000001" customHeight="1"/>
    <row r="1141" s="132" customFormat="1" ht="20.100000000000001" customHeight="1"/>
    <row r="1142" s="132" customFormat="1" ht="20.100000000000001" customHeight="1"/>
    <row r="1143" s="132" customFormat="1" ht="20.100000000000001" customHeight="1"/>
    <row r="1144" s="132" customFormat="1" ht="20.100000000000001" customHeight="1"/>
    <row r="1145" s="132" customFormat="1" ht="20.100000000000001" customHeight="1"/>
    <row r="1146" s="132" customFormat="1" ht="20.100000000000001" customHeight="1"/>
    <row r="1147" s="132" customFormat="1" ht="20.100000000000001" customHeight="1"/>
    <row r="1148" s="132" customFormat="1" ht="20.100000000000001" customHeight="1"/>
    <row r="1149" s="132" customFormat="1" ht="20.100000000000001" customHeight="1"/>
    <row r="1150" s="132" customFormat="1" ht="20.100000000000001" customHeight="1"/>
    <row r="1151" s="132" customFormat="1" ht="20.100000000000001" customHeight="1"/>
    <row r="1152" s="132" customFormat="1" ht="20.100000000000001" customHeight="1"/>
    <row r="1153" s="132" customFormat="1" ht="20.100000000000001" customHeight="1"/>
    <row r="1154" s="132" customFormat="1" ht="20.100000000000001" customHeight="1"/>
    <row r="1155" s="132" customFormat="1" ht="20.100000000000001" customHeight="1"/>
    <row r="1156" s="132" customFormat="1" ht="20.100000000000001" customHeight="1"/>
    <row r="1157" s="132" customFormat="1" ht="20.100000000000001" customHeight="1"/>
    <row r="1158" s="132" customFormat="1" ht="20.100000000000001" customHeight="1"/>
    <row r="1159" s="132" customFormat="1" ht="20.100000000000001" customHeight="1"/>
    <row r="1160" s="132" customFormat="1" ht="20.100000000000001" customHeight="1"/>
    <row r="1161" s="132" customFormat="1" ht="20.100000000000001" customHeight="1"/>
    <row r="1162" s="132" customFormat="1" ht="20.100000000000001" customHeight="1"/>
    <row r="1163" s="132" customFormat="1" ht="20.100000000000001" customHeight="1"/>
    <row r="1164" s="132" customFormat="1" ht="20.100000000000001" customHeight="1"/>
    <row r="1165" s="132" customFormat="1" ht="20.100000000000001" customHeight="1"/>
    <row r="1166" s="132" customFormat="1" ht="20.100000000000001" customHeight="1"/>
    <row r="1167" s="132" customFormat="1" ht="20.100000000000001" customHeight="1"/>
    <row r="1168" s="132" customFormat="1" ht="20.100000000000001" customHeight="1"/>
    <row r="1169" s="132" customFormat="1" ht="20.100000000000001" customHeight="1"/>
    <row r="1170" s="132" customFormat="1" ht="20.100000000000001" customHeight="1"/>
    <row r="1171" s="132" customFormat="1" ht="20.100000000000001" customHeight="1"/>
    <row r="1172" s="132" customFormat="1" ht="20.100000000000001" customHeight="1"/>
    <row r="1173" s="132" customFormat="1" ht="20.100000000000001" customHeight="1"/>
    <row r="1174" s="132" customFormat="1" ht="20.100000000000001" customHeight="1"/>
    <row r="1175" s="132" customFormat="1" ht="20.100000000000001" customHeight="1"/>
    <row r="1176" s="132" customFormat="1" ht="20.100000000000001" customHeight="1"/>
    <row r="1177" s="132" customFormat="1" ht="20.100000000000001" customHeight="1"/>
    <row r="1178" s="132" customFormat="1" ht="20.100000000000001" customHeight="1"/>
    <row r="1179" s="132" customFormat="1" ht="20.100000000000001" customHeight="1"/>
    <row r="1180" s="132" customFormat="1" ht="20.100000000000001" customHeight="1"/>
    <row r="1181" s="132" customFormat="1" ht="20.100000000000001" customHeight="1"/>
    <row r="1182" s="132" customFormat="1" ht="20.100000000000001" customHeight="1"/>
    <row r="1183" s="132" customFormat="1" ht="20.100000000000001" customHeight="1"/>
    <row r="1184" s="132" customFormat="1" ht="20.100000000000001" customHeight="1"/>
    <row r="1185" s="132" customFormat="1" ht="20.100000000000001" customHeight="1"/>
    <row r="1186" s="132" customFormat="1" ht="20.100000000000001" customHeight="1"/>
    <row r="1187" s="132" customFormat="1" ht="20.100000000000001" customHeight="1"/>
    <row r="1188" s="132" customFormat="1" ht="20.100000000000001" customHeight="1"/>
    <row r="1189" s="132" customFormat="1" ht="20.100000000000001" customHeight="1"/>
    <row r="1190" s="132" customFormat="1" ht="20.100000000000001" customHeight="1"/>
    <row r="1191" s="132" customFormat="1" ht="20.100000000000001" customHeight="1"/>
    <row r="1192" s="132" customFormat="1" ht="20.100000000000001" customHeight="1"/>
    <row r="1193" s="132" customFormat="1" ht="20.100000000000001" customHeight="1"/>
    <row r="1194" s="132" customFormat="1" ht="20.100000000000001" customHeight="1"/>
    <row r="1195" s="132" customFormat="1" ht="20.100000000000001" customHeight="1"/>
    <row r="1196" s="132" customFormat="1" ht="20.100000000000001" customHeight="1"/>
    <row r="1197" s="132" customFormat="1" ht="20.100000000000001" customHeight="1"/>
    <row r="1198" s="132" customFormat="1" ht="20.100000000000001" customHeight="1"/>
    <row r="1199" s="132" customFormat="1" ht="20.100000000000001" customHeight="1"/>
    <row r="1200" s="132" customFormat="1" ht="20.100000000000001" customHeight="1"/>
    <row r="1201" s="132" customFormat="1" ht="20.100000000000001" customHeight="1"/>
    <row r="1202" s="132" customFormat="1" ht="20.100000000000001" customHeight="1"/>
    <row r="1203" s="132" customFormat="1" ht="20.100000000000001" customHeight="1"/>
    <row r="1204" s="132" customFormat="1" ht="20.100000000000001" customHeight="1"/>
    <row r="1205" s="132" customFormat="1" ht="20.100000000000001" customHeight="1"/>
    <row r="1206" s="132" customFormat="1" ht="20.100000000000001" customHeight="1"/>
    <row r="1207" s="132" customFormat="1" ht="20.100000000000001" customHeight="1"/>
    <row r="1208" s="132" customFormat="1" ht="20.100000000000001" customHeight="1"/>
    <row r="1209" s="132" customFormat="1" ht="20.100000000000001" customHeight="1"/>
    <row r="1210" s="132" customFormat="1" ht="20.100000000000001" customHeight="1"/>
    <row r="1211" s="132" customFormat="1" ht="20.100000000000001" customHeight="1"/>
    <row r="1212" s="132" customFormat="1" ht="20.100000000000001" customHeight="1"/>
    <row r="1213" s="132" customFormat="1" ht="20.100000000000001" customHeight="1"/>
    <row r="1214" s="132" customFormat="1" ht="20.100000000000001" customHeight="1"/>
    <row r="1215" s="132" customFormat="1" ht="20.100000000000001" customHeight="1"/>
    <row r="1216" s="132" customFormat="1" ht="20.100000000000001" customHeight="1"/>
    <row r="1217" s="132" customFormat="1" ht="20.100000000000001" customHeight="1"/>
    <row r="1218" s="132" customFormat="1" ht="20.100000000000001" customHeight="1"/>
    <row r="1219" s="132" customFormat="1" ht="20.100000000000001" customHeight="1"/>
    <row r="1220" s="132" customFormat="1" ht="20.100000000000001" customHeight="1"/>
    <row r="1221" s="132" customFormat="1" ht="20.100000000000001" customHeight="1"/>
    <row r="1222" s="132" customFormat="1" ht="20.100000000000001" customHeight="1"/>
    <row r="1223" s="132" customFormat="1" ht="20.100000000000001" customHeight="1"/>
    <row r="1224" s="132" customFormat="1" ht="20.100000000000001" customHeight="1"/>
    <row r="1225" s="132" customFormat="1" ht="20.100000000000001" customHeight="1"/>
    <row r="1226" s="132" customFormat="1" ht="20.100000000000001" customHeight="1"/>
    <row r="1227" s="132" customFormat="1" ht="20.100000000000001" customHeight="1"/>
    <row r="1228" s="132" customFormat="1" ht="20.100000000000001" customHeight="1"/>
    <row r="1229" s="132" customFormat="1" ht="20.100000000000001" customHeight="1"/>
    <row r="1230" s="132" customFormat="1" ht="20.100000000000001" customHeight="1"/>
    <row r="1231" s="132" customFormat="1" ht="20.100000000000001" customHeight="1"/>
    <row r="1232" s="132" customFormat="1" ht="20.100000000000001" customHeight="1"/>
    <row r="1233" s="132" customFormat="1" ht="20.100000000000001" customHeight="1"/>
    <row r="1234" s="132" customFormat="1" ht="20.100000000000001" customHeight="1"/>
    <row r="1235" s="132" customFormat="1" ht="20.100000000000001" customHeight="1"/>
    <row r="1236" s="132" customFormat="1" ht="20.100000000000001" customHeight="1"/>
    <row r="1237" s="132" customFormat="1" ht="20.100000000000001" customHeight="1"/>
    <row r="1238" s="132" customFormat="1" ht="20.100000000000001" customHeight="1"/>
    <row r="1239" s="132" customFormat="1" ht="20.100000000000001" customHeight="1"/>
    <row r="1240" s="132" customFormat="1" ht="20.100000000000001" customHeight="1"/>
    <row r="1241" s="132" customFormat="1" ht="20.100000000000001" customHeight="1"/>
    <row r="1242" s="132" customFormat="1" ht="20.100000000000001" customHeight="1"/>
    <row r="1243" s="132" customFormat="1" ht="20.100000000000001" customHeight="1"/>
    <row r="1244" s="132" customFormat="1" ht="20.100000000000001" customHeight="1"/>
    <row r="1245" s="132" customFormat="1" ht="20.100000000000001" customHeight="1"/>
    <row r="1246" s="132" customFormat="1" ht="20.100000000000001" customHeight="1"/>
    <row r="1247" s="132" customFormat="1" ht="20.100000000000001" customHeight="1"/>
    <row r="1248" s="132" customFormat="1" ht="20.100000000000001" customHeight="1"/>
    <row r="1249" s="132" customFormat="1" ht="20.100000000000001" customHeight="1"/>
    <row r="1250" s="132" customFormat="1" ht="20.100000000000001" customHeight="1"/>
    <row r="1251" s="132" customFormat="1" ht="20.100000000000001" customHeight="1"/>
    <row r="1252" s="132" customFormat="1" ht="20.100000000000001" customHeight="1"/>
    <row r="1253" s="132" customFormat="1" ht="20.100000000000001" customHeight="1"/>
    <row r="1254" s="132" customFormat="1" ht="20.100000000000001" customHeight="1"/>
    <row r="1255" s="132" customFormat="1" ht="20.100000000000001" customHeight="1"/>
    <row r="1256" s="132" customFormat="1" ht="20.100000000000001" customHeight="1"/>
    <row r="1257" s="132" customFormat="1" ht="20.100000000000001" customHeight="1"/>
    <row r="1258" s="132" customFormat="1" ht="20.100000000000001" customHeight="1"/>
    <row r="1259" s="132" customFormat="1" ht="20.100000000000001" customHeight="1"/>
    <row r="1260" s="132" customFormat="1" ht="20.100000000000001" customHeight="1"/>
    <row r="1261" s="132" customFormat="1" ht="20.100000000000001" customHeight="1"/>
    <row r="1262" s="132" customFormat="1" ht="20.100000000000001" customHeight="1"/>
    <row r="1263" s="132" customFormat="1" ht="20.100000000000001" customHeight="1"/>
    <row r="1264" s="132" customFormat="1" ht="20.100000000000001" customHeight="1"/>
    <row r="1265" s="132" customFormat="1" ht="20.100000000000001" customHeight="1"/>
    <row r="1266" s="132" customFormat="1" ht="20.100000000000001" customHeight="1"/>
    <row r="1267" s="132" customFormat="1" ht="20.100000000000001" customHeight="1"/>
    <row r="1268" s="132" customFormat="1" ht="20.100000000000001" customHeight="1"/>
    <row r="1269" s="132" customFormat="1" ht="20.100000000000001" customHeight="1"/>
    <row r="1270" s="132" customFormat="1" ht="20.100000000000001" customHeight="1"/>
    <row r="1271" s="132" customFormat="1" ht="20.100000000000001" customHeight="1"/>
    <row r="1272" s="132" customFormat="1" ht="20.100000000000001" customHeight="1"/>
    <row r="1273" s="132" customFormat="1" ht="20.100000000000001" customHeight="1"/>
    <row r="1274" s="132" customFormat="1" ht="20.100000000000001" customHeight="1"/>
    <row r="1275" s="132" customFormat="1" ht="20.100000000000001" customHeight="1"/>
    <row r="1276" s="132" customFormat="1" ht="20.100000000000001" customHeight="1"/>
    <row r="1277" s="132" customFormat="1" ht="20.100000000000001" customHeight="1"/>
    <row r="1278" s="132" customFormat="1" ht="20.100000000000001" customHeight="1"/>
    <row r="1279" s="132" customFormat="1" ht="20.100000000000001" customHeight="1"/>
    <row r="1280" s="132" customFormat="1" ht="20.100000000000001" customHeight="1"/>
    <row r="1281" s="132" customFormat="1" ht="20.100000000000001" customHeight="1"/>
    <row r="1282" s="132" customFormat="1" ht="20.100000000000001" customHeight="1"/>
    <row r="1283" s="132" customFormat="1" ht="20.100000000000001" customHeight="1"/>
    <row r="1284" s="132" customFormat="1" ht="20.100000000000001" customHeight="1"/>
    <row r="1285" s="132" customFormat="1" ht="20.100000000000001" customHeight="1"/>
    <row r="1286" s="132" customFormat="1" ht="20.100000000000001" customHeight="1"/>
    <row r="1287" s="132" customFormat="1" ht="20.100000000000001" customHeight="1"/>
    <row r="1288" s="132" customFormat="1" ht="20.100000000000001" customHeight="1"/>
    <row r="1289" s="132" customFormat="1" ht="20.100000000000001" customHeight="1"/>
    <row r="1290" s="132" customFormat="1" ht="20.100000000000001" customHeight="1"/>
    <row r="1291" s="132" customFormat="1" ht="20.100000000000001" customHeight="1"/>
    <row r="1292" s="132" customFormat="1" ht="20.100000000000001" customHeight="1"/>
    <row r="1293" s="132" customFormat="1" ht="20.100000000000001" customHeight="1"/>
    <row r="1294" s="132" customFormat="1" ht="20.100000000000001" customHeight="1"/>
    <row r="1295" s="132" customFormat="1" ht="20.100000000000001" customHeight="1"/>
    <row r="1296" s="132" customFormat="1" ht="20.100000000000001" customHeight="1"/>
    <row r="1297" s="132" customFormat="1" ht="20.100000000000001" customHeight="1"/>
    <row r="1298" s="132" customFormat="1" ht="20.100000000000001" customHeight="1"/>
    <row r="1299" s="132" customFormat="1" ht="20.100000000000001" customHeight="1"/>
    <row r="1300" s="132" customFormat="1" ht="20.100000000000001" customHeight="1"/>
    <row r="1301" s="132" customFormat="1" ht="20.100000000000001" customHeight="1"/>
    <row r="1302" s="132" customFormat="1" ht="20.100000000000001" customHeight="1"/>
    <row r="1303" s="132" customFormat="1" ht="20.100000000000001" customHeight="1"/>
    <row r="1304" s="132" customFormat="1" ht="20.100000000000001" customHeight="1"/>
    <row r="1305" s="132" customFormat="1" ht="20.100000000000001" customHeight="1"/>
    <row r="1306" s="132" customFormat="1" ht="20.100000000000001" customHeight="1"/>
    <row r="1307" s="132" customFormat="1" ht="20.100000000000001" customHeight="1"/>
    <row r="1308" s="132" customFormat="1" ht="20.100000000000001" customHeight="1"/>
    <row r="1309" s="132" customFormat="1" ht="20.100000000000001" customHeight="1"/>
    <row r="1310" s="132" customFormat="1" ht="20.100000000000001" customHeight="1"/>
    <row r="1311" s="132" customFormat="1" ht="20.100000000000001" customHeight="1"/>
    <row r="1312" s="132" customFormat="1" ht="20.100000000000001" customHeight="1"/>
    <row r="1313" s="132" customFormat="1" ht="20.100000000000001" customHeight="1"/>
    <row r="1314" s="132" customFormat="1" ht="20.100000000000001" customHeight="1"/>
    <row r="1315" s="132" customFormat="1" ht="20.100000000000001" customHeight="1"/>
    <row r="1316" s="132" customFormat="1" ht="20.100000000000001" customHeight="1"/>
    <row r="1317" s="132" customFormat="1" ht="20.100000000000001" customHeight="1"/>
    <row r="1318" s="132" customFormat="1" ht="20.100000000000001" customHeight="1"/>
    <row r="1319" s="132" customFormat="1" ht="20.100000000000001" customHeight="1"/>
    <row r="1320" s="132" customFormat="1" ht="20.100000000000001" customHeight="1"/>
    <row r="1321" s="132" customFormat="1" ht="20.100000000000001" customHeight="1"/>
    <row r="1322" s="132" customFormat="1" ht="20.100000000000001" customHeight="1"/>
    <row r="1323" s="132" customFormat="1" ht="20.100000000000001" customHeight="1"/>
    <row r="1324" s="132" customFormat="1" ht="20.100000000000001" customHeight="1"/>
    <row r="1325" s="132" customFormat="1" ht="20.100000000000001" customHeight="1"/>
    <row r="1326" s="132" customFormat="1" ht="20.100000000000001" customHeight="1"/>
    <row r="1327" s="132" customFormat="1" ht="20.100000000000001" customHeight="1"/>
    <row r="1328" s="132" customFormat="1" ht="20.100000000000001" customHeight="1"/>
    <row r="1329" s="132" customFormat="1" ht="20.100000000000001" customHeight="1"/>
    <row r="1330" s="132" customFormat="1" ht="20.100000000000001" customHeight="1"/>
    <row r="1331" s="132" customFormat="1" ht="20.100000000000001" customHeight="1"/>
    <row r="1332" s="132" customFormat="1" ht="20.100000000000001" customHeight="1"/>
    <row r="1333" s="132" customFormat="1" ht="20.100000000000001" customHeight="1"/>
    <row r="1334" s="132" customFormat="1" ht="20.100000000000001" customHeight="1"/>
    <row r="1335" s="132" customFormat="1" ht="20.100000000000001" customHeight="1"/>
    <row r="1336" s="132" customFormat="1" ht="20.100000000000001" customHeight="1"/>
    <row r="1337" s="132" customFormat="1" ht="20.100000000000001" customHeight="1"/>
    <row r="1338" s="132" customFormat="1" ht="20.100000000000001" customHeight="1"/>
    <row r="1339" s="132" customFormat="1" ht="20.100000000000001" customHeight="1"/>
    <row r="1340" s="132" customFormat="1" ht="20.100000000000001" customHeight="1"/>
    <row r="1341" s="132" customFormat="1" ht="20.100000000000001" customHeight="1"/>
    <row r="1342" s="132" customFormat="1" ht="20.100000000000001" customHeight="1"/>
    <row r="1343" s="132" customFormat="1" ht="20.100000000000001" customHeight="1"/>
    <row r="1344" s="132" customFormat="1" ht="20.100000000000001" customHeight="1"/>
    <row r="1345" s="132" customFormat="1" ht="20.100000000000001" customHeight="1"/>
    <row r="1346" s="132" customFormat="1" ht="20.100000000000001" customHeight="1"/>
    <row r="1347" s="132" customFormat="1" ht="20.100000000000001" customHeight="1"/>
    <row r="1348" s="132" customFormat="1" ht="20.100000000000001" customHeight="1"/>
    <row r="1349" s="132" customFormat="1" ht="20.100000000000001" customHeight="1"/>
    <row r="1350" s="132" customFormat="1" ht="20.100000000000001" customHeight="1"/>
    <row r="1351" s="132" customFormat="1" ht="20.100000000000001" customHeight="1"/>
    <row r="1352" s="132" customFormat="1" ht="20.100000000000001" customHeight="1"/>
    <row r="1353" s="132" customFormat="1" ht="20.100000000000001" customHeight="1"/>
    <row r="1354" s="132" customFormat="1" ht="20.100000000000001" customHeight="1"/>
    <row r="1355" s="132" customFormat="1" ht="20.100000000000001" customHeight="1"/>
    <row r="1356" s="132" customFormat="1" ht="20.100000000000001" customHeight="1"/>
    <row r="1357" s="132" customFormat="1" ht="20.100000000000001" customHeight="1"/>
    <row r="1358" s="132" customFormat="1" ht="20.100000000000001" customHeight="1"/>
    <row r="1359" s="132" customFormat="1" ht="20.100000000000001" customHeight="1"/>
    <row r="1360" s="132" customFormat="1" ht="20.100000000000001" customHeight="1"/>
    <row r="1361" s="132" customFormat="1" ht="20.100000000000001" customHeight="1"/>
    <row r="1362" s="132" customFormat="1" ht="20.100000000000001" customHeight="1"/>
    <row r="1363" s="132" customFormat="1" ht="20.100000000000001" customHeight="1"/>
    <row r="1364" s="132" customFormat="1" ht="20.100000000000001" customHeight="1"/>
    <row r="1365" s="132" customFormat="1" ht="20.100000000000001" customHeight="1"/>
    <row r="1366" s="132" customFormat="1" ht="20.100000000000001" customHeight="1"/>
    <row r="1367" s="132" customFormat="1" ht="20.100000000000001" customHeight="1"/>
    <row r="1368" s="132" customFormat="1" ht="20.100000000000001" customHeight="1"/>
    <row r="1369" s="132" customFormat="1" ht="20.100000000000001" customHeight="1"/>
    <row r="1370" s="132" customFormat="1" ht="20.100000000000001" customHeight="1"/>
    <row r="1371" s="132" customFormat="1" ht="20.100000000000001" customHeight="1"/>
    <row r="1372" s="132" customFormat="1" ht="20.100000000000001" customHeight="1"/>
    <row r="1373" s="132" customFormat="1" ht="20.100000000000001" customHeight="1"/>
    <row r="1374" s="132" customFormat="1" ht="20.100000000000001" customHeight="1"/>
    <row r="1375" s="132" customFormat="1" ht="20.100000000000001" customHeight="1"/>
    <row r="1376" s="132" customFormat="1" ht="20.100000000000001" customHeight="1"/>
    <row r="1377" s="132" customFormat="1" ht="20.100000000000001" customHeight="1"/>
    <row r="1378" s="132" customFormat="1" ht="20.100000000000001" customHeight="1"/>
    <row r="1379" s="132" customFormat="1" ht="20.100000000000001" customHeight="1"/>
    <row r="1380" s="132" customFormat="1" ht="20.100000000000001" customHeight="1"/>
    <row r="1381" s="132" customFormat="1" ht="20.100000000000001" customHeight="1"/>
    <row r="1382" s="132" customFormat="1" ht="20.100000000000001" customHeight="1"/>
    <row r="1383" s="132" customFormat="1" ht="20.100000000000001" customHeight="1"/>
    <row r="1384" s="132" customFormat="1" ht="20.100000000000001" customHeight="1"/>
    <row r="1385" s="132" customFormat="1" ht="20.100000000000001" customHeight="1"/>
    <row r="1386" s="132" customFormat="1" ht="20.100000000000001" customHeight="1"/>
    <row r="1387" s="132" customFormat="1" ht="20.100000000000001" customHeight="1"/>
    <row r="1388" s="132" customFormat="1" ht="20.100000000000001" customHeight="1"/>
    <row r="1389" s="132" customFormat="1" ht="20.100000000000001" customHeight="1"/>
    <row r="1390" s="132" customFormat="1" ht="20.100000000000001" customHeight="1"/>
    <row r="1391" s="132" customFormat="1" ht="20.100000000000001" customHeight="1"/>
    <row r="1392" s="132" customFormat="1" ht="20.100000000000001" customHeight="1"/>
    <row r="1393" s="132" customFormat="1" ht="20.100000000000001" customHeight="1"/>
    <row r="1394" s="132" customFormat="1" ht="20.100000000000001" customHeight="1"/>
    <row r="1395" s="132" customFormat="1" ht="20.100000000000001" customHeight="1"/>
    <row r="1396" s="132" customFormat="1" ht="20.100000000000001" customHeight="1"/>
    <row r="1397" s="132" customFormat="1" ht="20.100000000000001" customHeight="1"/>
    <row r="1398" s="132" customFormat="1" ht="20.100000000000001" customHeight="1"/>
    <row r="1399" s="132" customFormat="1" ht="20.100000000000001" customHeight="1"/>
    <row r="1400" s="132" customFormat="1" ht="20.100000000000001" customHeight="1"/>
    <row r="1401" s="132" customFormat="1" ht="20.100000000000001" customHeight="1"/>
    <row r="1402" s="132" customFormat="1" ht="20.100000000000001" customHeight="1"/>
    <row r="1403" s="132" customFormat="1" ht="20.100000000000001" customHeight="1"/>
    <row r="1404" s="132" customFormat="1" ht="20.100000000000001" customHeight="1"/>
    <row r="1405" s="132" customFormat="1" ht="20.100000000000001" customHeight="1"/>
  </sheetData>
  <mergeCells count="57">
    <mergeCell ref="I38:K38"/>
    <mergeCell ref="J39:K39"/>
    <mergeCell ref="A5:B5"/>
    <mergeCell ref="A34:B34"/>
    <mergeCell ref="C34:G34"/>
    <mergeCell ref="A10:B10"/>
    <mergeCell ref="C32:G32"/>
    <mergeCell ref="A30:B30"/>
    <mergeCell ref="C30:G30"/>
    <mergeCell ref="J35:K35"/>
    <mergeCell ref="J37:K37"/>
    <mergeCell ref="J36:K36"/>
    <mergeCell ref="I36:I37"/>
    <mergeCell ref="A27:G27"/>
    <mergeCell ref="A31:G31"/>
    <mergeCell ref="A33:B33"/>
    <mergeCell ref="C33:G33"/>
    <mergeCell ref="C28:G28"/>
    <mergeCell ref="A28:B28"/>
    <mergeCell ref="A32:B32"/>
    <mergeCell ref="A29:G29"/>
    <mergeCell ref="A26:B26"/>
    <mergeCell ref="C26:G26"/>
    <mergeCell ref="C16:G16"/>
    <mergeCell ref="A17:G17"/>
    <mergeCell ref="A8:G8"/>
    <mergeCell ref="A23:G23"/>
    <mergeCell ref="A14:B14"/>
    <mergeCell ref="A15:G15"/>
    <mergeCell ref="C14:G14"/>
    <mergeCell ref="A24:B24"/>
    <mergeCell ref="C24:G24"/>
    <mergeCell ref="A25:G25"/>
    <mergeCell ref="A20:B20"/>
    <mergeCell ref="C20:G20"/>
    <mergeCell ref="A1:Q1"/>
    <mergeCell ref="A6:B6"/>
    <mergeCell ref="A19:G19"/>
    <mergeCell ref="A22:B22"/>
    <mergeCell ref="C22:G22"/>
    <mergeCell ref="A18:B18"/>
    <mergeCell ref="C18:G18"/>
    <mergeCell ref="A2:B2"/>
    <mergeCell ref="C2:G2"/>
    <mergeCell ref="A7:B7"/>
    <mergeCell ref="A16:B16"/>
    <mergeCell ref="C10:G10"/>
    <mergeCell ref="A11:G11"/>
    <mergeCell ref="A12:B12"/>
    <mergeCell ref="C12:G12"/>
    <mergeCell ref="A21:G21"/>
    <mergeCell ref="A3:B3"/>
    <mergeCell ref="C3:G3"/>
    <mergeCell ref="A4:G4"/>
    <mergeCell ref="A13:G13"/>
    <mergeCell ref="A9:G9"/>
    <mergeCell ref="C5:G7"/>
  </mergeCells>
  <phoneticPr fontId="12" type="noConversion"/>
  <printOptions horizontalCentered="1"/>
  <pageMargins left="0.47244094488188981" right="0.47244094488188981" top="0.39370078740157483" bottom="0.39370078740157483" header="0" footer="0"/>
  <pageSetup paperSize="9" orientation="landscape" horizontalDpi="300" verticalDpi="300" r:id="rId1"/>
  <headerFooter alignWithMargins="0"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39"/>
  <sheetViews>
    <sheetView showZeros="0" view="pageBreakPreview" topLeftCell="A56" zoomScaleNormal="100" zoomScaleSheetLayoutView="100" workbookViewId="0">
      <selection activeCell="L78" sqref="L78:M78"/>
    </sheetView>
  </sheetViews>
  <sheetFormatPr defaultColWidth="3" defaultRowHeight="12.95" customHeight="1"/>
  <cols>
    <col min="1" max="30" width="3.42578125" style="38" customWidth="1"/>
    <col min="31" max="36" width="3" style="38" customWidth="1"/>
    <col min="37" max="37" width="2.7109375" style="38" customWidth="1"/>
    <col min="38" max="16384" width="3" style="38"/>
  </cols>
  <sheetData>
    <row r="1" spans="1:30" ht="12.95" customHeight="1">
      <c r="A1" s="394" t="s">
        <v>315</v>
      </c>
      <c r="B1" s="394"/>
      <c r="C1" s="394"/>
      <c r="AA1" s="386" t="s">
        <v>258</v>
      </c>
      <c r="AB1" s="386"/>
      <c r="AC1" s="386"/>
      <c r="AD1" s="386"/>
    </row>
    <row r="2" spans="1:30" s="1" customFormat="1" ht="20.100000000000001" customHeight="1">
      <c r="A2" s="358" t="s">
        <v>6</v>
      </c>
      <c r="B2" s="359"/>
      <c r="C2" s="359"/>
      <c r="D2" s="359"/>
      <c r="E2" s="359"/>
      <c r="F2" s="358" t="s">
        <v>7</v>
      </c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60"/>
      <c r="AA2" s="359"/>
      <c r="AB2" s="359"/>
      <c r="AC2" s="359"/>
      <c r="AD2" s="360"/>
    </row>
    <row r="3" spans="1:30" s="1" customFormat="1" ht="12.95" customHeight="1">
      <c r="A3" s="2"/>
      <c r="B3" s="3"/>
      <c r="C3" s="3"/>
      <c r="D3" s="3"/>
      <c r="E3" s="3"/>
      <c r="F3" s="84"/>
      <c r="G3" s="7"/>
      <c r="H3" s="7"/>
      <c r="I3" s="7"/>
      <c r="J3" s="7"/>
      <c r="K3" s="7"/>
      <c r="L3" s="7"/>
      <c r="M3" s="395" t="s">
        <v>317</v>
      </c>
      <c r="N3" s="395"/>
      <c r="O3" s="395"/>
      <c r="P3" s="395"/>
      <c r="Q3" s="395"/>
      <c r="R3" s="7"/>
      <c r="S3" s="7"/>
      <c r="T3" s="7"/>
      <c r="U3" s="7"/>
      <c r="V3" s="7"/>
      <c r="W3" s="10"/>
      <c r="X3" s="10"/>
      <c r="Z3" s="6"/>
      <c r="AA3" s="3"/>
      <c r="AB3" s="3"/>
      <c r="AC3" s="3"/>
      <c r="AD3" s="4"/>
    </row>
    <row r="4" spans="1:30" s="1" customFormat="1" ht="12.95" customHeight="1">
      <c r="A4" s="5"/>
      <c r="F4" s="84"/>
      <c r="G4" s="7"/>
      <c r="H4" s="7"/>
      <c r="I4" s="7"/>
      <c r="J4" s="7"/>
      <c r="K4" s="7"/>
      <c r="L4" s="7"/>
      <c r="M4" s="396"/>
      <c r="N4" s="396"/>
      <c r="O4" s="396"/>
      <c r="P4" s="396"/>
      <c r="Q4" s="396"/>
      <c r="R4" s="7"/>
      <c r="S4" s="7"/>
      <c r="T4" s="7"/>
      <c r="U4" s="7"/>
      <c r="V4" s="7"/>
      <c r="W4" s="10"/>
      <c r="X4" s="10"/>
      <c r="Z4" s="6"/>
      <c r="AD4" s="6"/>
    </row>
    <row r="5" spans="1:30" s="1" customFormat="1" ht="12.95" customHeight="1">
      <c r="A5" s="383" t="s">
        <v>101</v>
      </c>
      <c r="B5" s="349"/>
      <c r="C5" s="349"/>
      <c r="D5" s="349"/>
      <c r="E5" s="349"/>
      <c r="F5" s="5"/>
      <c r="O5" s="7"/>
      <c r="P5" s="7"/>
      <c r="Q5" s="7"/>
      <c r="R5" s="7"/>
      <c r="S5" s="7"/>
      <c r="T5" s="7"/>
      <c r="U5" s="7"/>
      <c r="V5" s="7"/>
      <c r="W5" s="10"/>
      <c r="X5" s="10"/>
      <c r="Z5" s="6"/>
      <c r="AD5" s="6"/>
    </row>
    <row r="6" spans="1:30" s="1" customFormat="1" ht="12.95" customHeight="1">
      <c r="A6" s="330"/>
      <c r="B6" s="349"/>
      <c r="C6" s="349"/>
      <c r="D6" s="349"/>
      <c r="E6" s="349"/>
      <c r="F6" s="397" t="s">
        <v>100</v>
      </c>
      <c r="G6" s="398"/>
      <c r="H6" s="398"/>
      <c r="I6" s="398"/>
      <c r="J6" s="398"/>
      <c r="K6" s="399">
        <v>14.84</v>
      </c>
      <c r="L6" s="399"/>
      <c r="M6" s="399"/>
      <c r="N6" s="7" t="s">
        <v>14</v>
      </c>
      <c r="P6" s="7"/>
      <c r="Q6" s="7"/>
      <c r="R6" s="7"/>
      <c r="S6" s="7"/>
      <c r="T6" s="7"/>
      <c r="U6" s="7"/>
      <c r="V6" s="7"/>
      <c r="W6" s="10"/>
      <c r="X6" s="10"/>
      <c r="Z6" s="6"/>
      <c r="AD6" s="6"/>
    </row>
    <row r="7" spans="1:30" s="1" customFormat="1" ht="12.95" customHeight="1">
      <c r="A7" s="5"/>
      <c r="F7" s="84"/>
      <c r="G7" s="12"/>
      <c r="H7" s="12"/>
      <c r="I7" s="12"/>
      <c r="J7" s="12"/>
      <c r="K7" s="12"/>
      <c r="L7" s="13"/>
      <c r="M7" s="13"/>
      <c r="N7" s="13"/>
      <c r="O7" s="7"/>
      <c r="P7" s="7"/>
      <c r="Q7" s="7"/>
      <c r="R7" s="7"/>
      <c r="S7" s="7"/>
      <c r="T7" s="7"/>
      <c r="U7" s="7"/>
      <c r="V7" s="7"/>
      <c r="W7" s="10"/>
      <c r="X7" s="10"/>
      <c r="Z7" s="6"/>
      <c r="AD7" s="6"/>
    </row>
    <row r="8" spans="1:30" s="1" customFormat="1" ht="12.95" customHeight="1">
      <c r="A8" s="5"/>
      <c r="F8" s="84"/>
      <c r="G8" s="400" t="s">
        <v>102</v>
      </c>
      <c r="H8" s="400"/>
      <c r="I8" s="400"/>
      <c r="J8" s="400"/>
      <c r="K8" s="400"/>
      <c r="L8" s="400"/>
      <c r="M8" s="13"/>
      <c r="N8" s="13"/>
      <c r="O8" s="7"/>
      <c r="P8" s="7"/>
      <c r="Q8" s="7"/>
      <c r="R8" s="7"/>
      <c r="S8" s="7"/>
      <c r="T8" s="7"/>
      <c r="U8" s="7"/>
      <c r="V8" s="7"/>
      <c r="W8" s="10"/>
      <c r="X8" s="10"/>
      <c r="Z8" s="6"/>
      <c r="AD8" s="6"/>
    </row>
    <row r="9" spans="1:30" s="1" customFormat="1" ht="12.95" customHeight="1">
      <c r="A9" s="5"/>
      <c r="F9" s="84"/>
      <c r="G9" s="12"/>
      <c r="H9" s="15"/>
      <c r="I9" s="15"/>
      <c r="J9" s="85"/>
      <c r="K9" s="85"/>
      <c r="L9" s="85"/>
      <c r="M9" s="13"/>
      <c r="N9" s="17"/>
      <c r="O9" s="17"/>
      <c r="P9" s="7"/>
      <c r="Q9" s="16"/>
      <c r="R9" s="16"/>
      <c r="S9" s="16"/>
      <c r="T9" s="7"/>
      <c r="U9" s="7"/>
      <c r="V9" s="7"/>
      <c r="Z9" s="6"/>
      <c r="AD9" s="6"/>
    </row>
    <row r="10" spans="1:30" s="1" customFormat="1" ht="12.95" customHeight="1">
      <c r="A10" s="5"/>
      <c r="F10" s="84"/>
      <c r="G10" s="12"/>
      <c r="H10" s="401">
        <v>8.65</v>
      </c>
      <c r="I10" s="401"/>
      <c r="J10" s="401"/>
      <c r="K10" s="13" t="s">
        <v>103</v>
      </c>
      <c r="L10" s="402">
        <v>0.4</v>
      </c>
      <c r="M10" s="402"/>
      <c r="N10" s="7" t="s">
        <v>12</v>
      </c>
      <c r="O10" s="379" t="str">
        <f>FIXED(H10/L10,0)</f>
        <v>22</v>
      </c>
      <c r="P10" s="379"/>
      <c r="Q10" s="7" t="s">
        <v>9</v>
      </c>
      <c r="R10" s="16"/>
      <c r="S10" s="16"/>
      <c r="T10" s="7"/>
      <c r="V10" s="7"/>
      <c r="Z10" s="6"/>
      <c r="AD10" s="6"/>
    </row>
    <row r="11" spans="1:30" s="1" customFormat="1" ht="12.95" customHeight="1">
      <c r="A11" s="5"/>
      <c r="F11" s="84"/>
      <c r="G11" s="12"/>
      <c r="H11" s="401">
        <v>44.45</v>
      </c>
      <c r="I11" s="401"/>
      <c r="J11" s="401"/>
      <c r="K11" s="13" t="s">
        <v>103</v>
      </c>
      <c r="L11" s="402">
        <v>0.4</v>
      </c>
      <c r="M11" s="402"/>
      <c r="N11" s="7" t="s">
        <v>12</v>
      </c>
      <c r="O11" s="379" t="str">
        <f>FIXED(H11/L11,0)</f>
        <v>111</v>
      </c>
      <c r="P11" s="379"/>
      <c r="Q11" s="7" t="s">
        <v>9</v>
      </c>
      <c r="R11" s="16"/>
      <c r="S11" s="16"/>
      <c r="T11" s="16"/>
      <c r="U11" s="16"/>
      <c r="V11" s="7"/>
      <c r="X11" s="18"/>
      <c r="Y11" s="18"/>
      <c r="Z11" s="46"/>
      <c r="AD11" s="6"/>
    </row>
    <row r="12" spans="1:30" s="1" customFormat="1" ht="12.95" customHeight="1">
      <c r="A12" s="5"/>
      <c r="F12" s="84"/>
      <c r="G12" s="12"/>
      <c r="H12" s="12"/>
      <c r="I12" s="12"/>
      <c r="J12" s="12"/>
      <c r="K12" s="305">
        <f>O10+O11</f>
        <v>133</v>
      </c>
      <c r="L12" s="305"/>
      <c r="M12" s="17" t="s">
        <v>9</v>
      </c>
      <c r="N12" s="17" t="s">
        <v>8</v>
      </c>
      <c r="O12" s="7">
        <v>2</v>
      </c>
      <c r="P12" s="7" t="s">
        <v>33</v>
      </c>
      <c r="Q12" s="16" t="s">
        <v>12</v>
      </c>
      <c r="R12" s="379">
        <f>K12*O12</f>
        <v>266</v>
      </c>
      <c r="S12" s="379"/>
      <c r="T12" s="379"/>
      <c r="U12" s="19" t="s">
        <v>9</v>
      </c>
      <c r="V12" s="20"/>
      <c r="W12" s="21" t="s">
        <v>12</v>
      </c>
      <c r="X12" s="403">
        <f>R12</f>
        <v>266</v>
      </c>
      <c r="Y12" s="403"/>
      <c r="Z12" s="22" t="s">
        <v>9</v>
      </c>
      <c r="AD12" s="6" t="s">
        <v>9</v>
      </c>
    </row>
    <row r="13" spans="1:30" s="1" customFormat="1" ht="12.95" customHeight="1">
      <c r="A13" s="5"/>
      <c r="F13" s="84"/>
      <c r="G13" s="12"/>
      <c r="H13" s="15"/>
      <c r="I13" s="15"/>
      <c r="Z13" s="6"/>
      <c r="AA13" s="339">
        <f>X12</f>
        <v>266</v>
      </c>
      <c r="AB13" s="339"/>
      <c r="AC13" s="339"/>
      <c r="AD13" s="6"/>
    </row>
    <row r="14" spans="1:30" s="1" customFormat="1" ht="12.95" customHeight="1">
      <c r="A14" s="5"/>
      <c r="F14" s="84"/>
      <c r="G14" s="400" t="s">
        <v>104</v>
      </c>
      <c r="H14" s="400"/>
      <c r="I14" s="400"/>
      <c r="J14" s="400"/>
      <c r="K14" s="400"/>
      <c r="L14" s="400"/>
      <c r="M14" s="13"/>
      <c r="N14" s="13"/>
      <c r="O14" s="7"/>
      <c r="P14" s="7"/>
      <c r="Q14" s="7"/>
      <c r="R14" s="7"/>
      <c r="S14" s="7"/>
      <c r="T14" s="7"/>
      <c r="U14" s="16"/>
      <c r="V14" s="7"/>
      <c r="Z14" s="6"/>
      <c r="AD14" s="6"/>
    </row>
    <row r="15" spans="1:30" s="1" customFormat="1" ht="12.95" customHeight="1">
      <c r="A15" s="5"/>
      <c r="F15" s="84"/>
      <c r="G15" s="12"/>
      <c r="H15" s="12"/>
      <c r="I15" s="12"/>
      <c r="J15" s="12"/>
      <c r="K15" s="12"/>
      <c r="L15" s="12"/>
      <c r="M15" s="13"/>
      <c r="N15" s="13"/>
      <c r="O15" s="7"/>
      <c r="P15" s="7"/>
      <c r="Q15" s="7"/>
      <c r="R15" s="16"/>
      <c r="S15" s="16"/>
      <c r="T15" s="16"/>
      <c r="U15" s="16"/>
      <c r="V15" s="16"/>
      <c r="X15" s="24"/>
      <c r="Y15" s="404" t="s">
        <v>10</v>
      </c>
      <c r="Z15" s="405"/>
      <c r="AA15" s="24"/>
      <c r="AB15" s="24"/>
      <c r="AC15" s="339" t="s">
        <v>10</v>
      </c>
      <c r="AD15" s="406"/>
    </row>
    <row r="16" spans="1:30" s="1" customFormat="1" ht="12.95" customHeight="1">
      <c r="A16" s="5"/>
      <c r="F16" s="84"/>
      <c r="G16" s="12"/>
      <c r="H16" s="407">
        <f>K6</f>
        <v>14.84</v>
      </c>
      <c r="I16" s="408"/>
      <c r="J16" s="408"/>
      <c r="K16" s="15" t="s">
        <v>8</v>
      </c>
      <c r="L16" s="409">
        <f>AA13</f>
        <v>266</v>
      </c>
      <c r="M16" s="408"/>
      <c r="N16" s="23" t="s">
        <v>9</v>
      </c>
      <c r="O16" s="12" t="s">
        <v>8</v>
      </c>
      <c r="P16" s="384">
        <v>0.06</v>
      </c>
      <c r="Q16" s="384"/>
      <c r="R16" s="379" t="s">
        <v>11</v>
      </c>
      <c r="S16" s="379"/>
      <c r="T16" s="379"/>
      <c r="U16" s="16"/>
      <c r="V16" s="16"/>
      <c r="W16" s="1" t="s">
        <v>12</v>
      </c>
      <c r="X16" s="375">
        <f>ROUND(H16*L16*P16,3)</f>
        <v>236.846</v>
      </c>
      <c r="Y16" s="375"/>
      <c r="Z16" s="410"/>
      <c r="AA16" s="375">
        <f>X16</f>
        <v>236.846</v>
      </c>
      <c r="AB16" s="375"/>
      <c r="AC16" s="375"/>
      <c r="AD16" s="6"/>
    </row>
    <row r="17" spans="1:30" s="1" customFormat="1" ht="12.95" customHeight="1">
      <c r="A17" s="26"/>
      <c r="B17" s="21"/>
      <c r="C17" s="21"/>
      <c r="D17" s="21"/>
      <c r="E17" s="21"/>
      <c r="F17" s="101"/>
      <c r="G17" s="28"/>
      <c r="H17" s="20"/>
      <c r="I17" s="20"/>
      <c r="J17" s="21"/>
      <c r="K17" s="29"/>
      <c r="L17" s="20"/>
      <c r="M17" s="20"/>
      <c r="N17" s="20"/>
      <c r="O17" s="29"/>
      <c r="P17" s="30"/>
      <c r="Q17" s="29"/>
      <c r="R17" s="29"/>
      <c r="S17" s="29"/>
      <c r="T17" s="20"/>
      <c r="U17" s="21"/>
      <c r="V17" s="31"/>
      <c r="W17" s="32"/>
      <c r="X17" s="32"/>
      <c r="Y17" s="32"/>
      <c r="Z17" s="49"/>
      <c r="AA17" s="30"/>
      <c r="AB17" s="30"/>
      <c r="AC17" s="29"/>
      <c r="AD17" s="27"/>
    </row>
    <row r="18" spans="1:30" s="1" customFormat="1" ht="12.75" customHeight="1">
      <c r="A18" s="5"/>
      <c r="F18" s="8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"/>
      <c r="X18" s="10"/>
      <c r="Z18" s="6"/>
      <c r="AD18" s="6"/>
    </row>
    <row r="19" spans="1:30" s="1" customFormat="1" ht="12.75" customHeight="1">
      <c r="A19" s="383" t="s">
        <v>147</v>
      </c>
      <c r="B19" s="385"/>
      <c r="C19" s="385"/>
      <c r="D19" s="385"/>
      <c r="E19" s="385"/>
      <c r="F19" s="103" t="s">
        <v>109</v>
      </c>
      <c r="G19" s="7" t="s">
        <v>153</v>
      </c>
      <c r="H19" s="7"/>
      <c r="I19" s="7"/>
      <c r="J19" s="41">
        <v>4</v>
      </c>
      <c r="K19" s="411" t="s">
        <v>31</v>
      </c>
      <c r="L19" s="411"/>
      <c r="M19" s="411"/>
      <c r="N19" s="411"/>
      <c r="P19" s="7"/>
      <c r="Q19" s="7"/>
      <c r="R19" s="7"/>
      <c r="W19" s="10"/>
      <c r="X19" s="10"/>
      <c r="Z19" s="6"/>
      <c r="AC19" s="376" t="s">
        <v>107</v>
      </c>
      <c r="AD19" s="377"/>
    </row>
    <row r="20" spans="1:30" s="1" customFormat="1" ht="12.75" customHeight="1">
      <c r="A20" s="369" t="s">
        <v>114</v>
      </c>
      <c r="B20" s="370"/>
      <c r="C20" s="370"/>
      <c r="D20" s="370"/>
      <c r="E20" s="370"/>
      <c r="F20" s="84"/>
      <c r="G20" s="412" t="s">
        <v>28</v>
      </c>
      <c r="H20" s="412"/>
      <c r="I20" s="412"/>
      <c r="J20" s="412"/>
      <c r="K20" s="412"/>
      <c r="L20" s="412"/>
      <c r="M20" s="16" t="s">
        <v>15</v>
      </c>
      <c r="N20" s="37">
        <v>2</v>
      </c>
      <c r="O20" s="38" t="s">
        <v>9</v>
      </c>
      <c r="P20" s="38" t="s">
        <v>30</v>
      </c>
      <c r="Q20" s="38"/>
      <c r="X20" s="10"/>
      <c r="Z20" s="6"/>
      <c r="AA20" s="339">
        <v>1</v>
      </c>
      <c r="AB20" s="339"/>
      <c r="AC20" s="339"/>
      <c r="AD20" s="6"/>
    </row>
    <row r="21" spans="1:30" s="1" customFormat="1" ht="12.75" customHeight="1">
      <c r="A21" s="5"/>
      <c r="F21" s="84"/>
      <c r="G21" s="380" t="s">
        <v>105</v>
      </c>
      <c r="H21" s="380"/>
      <c r="I21" s="380"/>
      <c r="J21" s="380"/>
      <c r="K21" s="380"/>
      <c r="L21" s="380"/>
      <c r="M21" s="384">
        <v>10</v>
      </c>
      <c r="N21" s="384"/>
      <c r="O21" s="384"/>
      <c r="P21" s="42" t="s">
        <v>106</v>
      </c>
      <c r="Q21" s="7"/>
      <c r="R21" s="7"/>
      <c r="S21" s="7"/>
      <c r="T21" s="7"/>
      <c r="U21" s="7"/>
      <c r="V21" s="7"/>
      <c r="W21" s="10"/>
      <c r="X21" s="10"/>
      <c r="Z21" s="6"/>
      <c r="AD21" s="6"/>
    </row>
    <row r="22" spans="1:30" ht="12.95" customHeight="1">
      <c r="A22" s="66"/>
      <c r="F22" s="102" t="s">
        <v>111</v>
      </c>
      <c r="G22" s="411" t="s">
        <v>154</v>
      </c>
      <c r="H22" s="411"/>
      <c r="I22" s="411"/>
      <c r="J22" s="411"/>
      <c r="Z22" s="39"/>
      <c r="AA22" s="10"/>
      <c r="AB22" s="10"/>
      <c r="AC22" s="37"/>
      <c r="AD22" s="39"/>
    </row>
    <row r="23" spans="1:30" ht="12.95" customHeight="1">
      <c r="A23" s="66"/>
      <c r="F23" s="84"/>
      <c r="G23" s="412" t="s">
        <v>28</v>
      </c>
      <c r="H23" s="412"/>
      <c r="I23" s="412"/>
      <c r="J23" s="412"/>
      <c r="K23" s="412"/>
      <c r="L23" s="412"/>
      <c r="M23" s="16" t="s">
        <v>29</v>
      </c>
      <c r="N23" s="37">
        <v>4</v>
      </c>
      <c r="O23" s="38" t="s">
        <v>9</v>
      </c>
      <c r="P23" s="38" t="s">
        <v>30</v>
      </c>
      <c r="R23" s="41"/>
      <c r="S23" s="41"/>
      <c r="T23" s="42"/>
      <c r="U23" s="42"/>
      <c r="V23" s="42"/>
      <c r="W23" s="42"/>
      <c r="Z23" s="39"/>
      <c r="AA23" s="10"/>
      <c r="AB23" s="10"/>
      <c r="AC23" s="37"/>
      <c r="AD23" s="39"/>
    </row>
    <row r="24" spans="1:30" ht="12.95" customHeight="1">
      <c r="A24" s="5"/>
      <c r="B24" s="1"/>
      <c r="C24" s="1"/>
      <c r="D24" s="1"/>
      <c r="E24" s="6"/>
      <c r="F24" s="7"/>
      <c r="G24" s="380" t="s">
        <v>155</v>
      </c>
      <c r="H24" s="380"/>
      <c r="I24" s="380"/>
      <c r="J24" s="380"/>
      <c r="K24" s="380"/>
      <c r="L24" s="380"/>
      <c r="M24" s="384">
        <v>5</v>
      </c>
      <c r="N24" s="384"/>
      <c r="O24" s="384"/>
      <c r="P24" s="42" t="s">
        <v>106</v>
      </c>
      <c r="T24" s="7"/>
      <c r="U24" s="1"/>
      <c r="V24" s="40"/>
      <c r="Z24" s="39"/>
      <c r="AA24" s="10"/>
      <c r="AB24" s="10"/>
      <c r="AC24" s="37"/>
      <c r="AD24" s="39"/>
    </row>
    <row r="25" spans="1:30" ht="12.95" customHeight="1">
      <c r="A25" s="5"/>
      <c r="B25" s="1"/>
      <c r="C25" s="1"/>
      <c r="D25" s="1"/>
      <c r="E25" s="6"/>
      <c r="G25" s="33"/>
      <c r="H25" s="33"/>
      <c r="I25" s="33"/>
      <c r="J25" s="33"/>
      <c r="K25" s="33"/>
      <c r="L25" s="33"/>
      <c r="M25" s="16"/>
      <c r="O25" s="45"/>
      <c r="P25" s="45"/>
      <c r="Q25" s="379" t="s">
        <v>11</v>
      </c>
      <c r="R25" s="379"/>
      <c r="S25" s="379"/>
      <c r="T25" s="379"/>
      <c r="Z25" s="39"/>
      <c r="AA25" s="10"/>
      <c r="AB25" s="10"/>
      <c r="AC25" s="379" t="s">
        <v>10</v>
      </c>
      <c r="AD25" s="413"/>
    </row>
    <row r="26" spans="1:30" ht="12.95" customHeight="1">
      <c r="A26" s="5"/>
      <c r="B26" s="1"/>
      <c r="C26" s="1"/>
      <c r="D26" s="1"/>
      <c r="E26" s="6"/>
      <c r="F26" s="7" t="s">
        <v>156</v>
      </c>
      <c r="G26" s="379" t="s">
        <v>32</v>
      </c>
      <c r="H26" s="379"/>
      <c r="I26" s="1" t="s">
        <v>15</v>
      </c>
      <c r="J26" s="378">
        <f>M21*N20+M24*N23</f>
        <v>40</v>
      </c>
      <c r="K26" s="378"/>
      <c r="L26" s="378"/>
      <c r="M26" s="16" t="s">
        <v>8</v>
      </c>
      <c r="N26" s="24">
        <f>AA20</f>
        <v>1</v>
      </c>
      <c r="O26" s="1" t="s">
        <v>9</v>
      </c>
      <c r="P26" s="38" t="s">
        <v>8</v>
      </c>
      <c r="Q26" s="414">
        <v>7.2400000000000006E-2</v>
      </c>
      <c r="R26" s="414"/>
      <c r="S26" s="414"/>
      <c r="T26" s="414"/>
      <c r="W26" s="38" t="s">
        <v>12</v>
      </c>
      <c r="X26" s="376">
        <f>ROUND(J26*N26*Q26,3)</f>
        <v>2.8959999999999999</v>
      </c>
      <c r="Y26" s="376"/>
      <c r="Z26" s="377"/>
      <c r="AA26" s="375">
        <f>X26</f>
        <v>2.8959999999999999</v>
      </c>
      <c r="AB26" s="375"/>
      <c r="AC26" s="375"/>
      <c r="AD26" s="39"/>
    </row>
    <row r="27" spans="1:30" ht="12.95" customHeight="1">
      <c r="A27" s="5"/>
      <c r="B27" s="1"/>
      <c r="C27" s="1"/>
      <c r="D27" s="1"/>
      <c r="E27" s="6"/>
      <c r="F27" s="7"/>
      <c r="G27" s="33"/>
      <c r="H27" s="33"/>
      <c r="I27" s="33"/>
      <c r="J27" s="33"/>
      <c r="K27" s="33"/>
      <c r="L27" s="33"/>
      <c r="M27" s="86"/>
      <c r="N27" s="86"/>
      <c r="O27" s="86"/>
      <c r="P27" s="42"/>
      <c r="T27" s="7"/>
      <c r="U27" s="1"/>
      <c r="V27" s="40"/>
      <c r="Z27" s="39"/>
      <c r="AA27" s="10"/>
      <c r="AB27" s="10"/>
      <c r="AC27" s="37"/>
      <c r="AD27" s="39"/>
    </row>
    <row r="28" spans="1:30" s="1" customFormat="1" ht="12.95" customHeight="1">
      <c r="A28" s="26"/>
      <c r="B28" s="21"/>
      <c r="C28" s="21"/>
      <c r="D28" s="21"/>
      <c r="E28" s="27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30"/>
      <c r="X28" s="30"/>
      <c r="Y28" s="21"/>
      <c r="Z28" s="27"/>
      <c r="AA28" s="21"/>
      <c r="AB28" s="21"/>
      <c r="AC28" s="21"/>
      <c r="AD28" s="27"/>
    </row>
    <row r="29" spans="1:30" ht="12.95" customHeight="1">
      <c r="A29" s="5"/>
      <c r="B29" s="1"/>
      <c r="C29" s="1"/>
      <c r="D29" s="1"/>
      <c r="E29" s="1"/>
      <c r="F29" s="84"/>
      <c r="G29" s="35"/>
      <c r="H29" s="7"/>
      <c r="I29" s="7"/>
      <c r="J29" s="1"/>
      <c r="K29" s="37"/>
      <c r="L29" s="7"/>
      <c r="M29" s="7"/>
      <c r="N29" s="7"/>
      <c r="O29" s="37"/>
      <c r="P29" s="10"/>
      <c r="Q29" s="37"/>
      <c r="R29" s="37"/>
      <c r="S29" s="37"/>
      <c r="T29" s="7"/>
      <c r="U29" s="1"/>
      <c r="V29" s="40"/>
      <c r="Z29" s="39"/>
      <c r="AA29" s="10"/>
      <c r="AB29" s="10"/>
      <c r="AC29" s="37"/>
      <c r="AD29" s="39"/>
    </row>
    <row r="30" spans="1:30" ht="12.95" customHeight="1">
      <c r="A30" s="415" t="s">
        <v>265</v>
      </c>
      <c r="B30" s="416"/>
      <c r="C30" s="416"/>
      <c r="D30" s="416"/>
      <c r="E30" s="417"/>
      <c r="F30" s="84"/>
      <c r="H30" s="376">
        <f>(H10+H11)*2</f>
        <v>106.2</v>
      </c>
      <c r="I30" s="376"/>
      <c r="J30" s="376"/>
      <c r="K30" s="178" t="s">
        <v>269</v>
      </c>
      <c r="L30" s="352">
        <v>10</v>
      </c>
      <c r="M30" s="352"/>
      <c r="N30" s="7" t="s">
        <v>270</v>
      </c>
      <c r="O30" s="7"/>
      <c r="P30" s="1"/>
      <c r="Q30" s="16"/>
      <c r="R30" s="16"/>
      <c r="S30" s="16"/>
      <c r="T30" s="7"/>
      <c r="U30" s="1"/>
      <c r="Z30" s="39"/>
      <c r="AA30" s="1"/>
      <c r="AB30" s="1"/>
      <c r="AC30" s="16"/>
      <c r="AD30" s="39"/>
    </row>
    <row r="31" spans="1:30" ht="12.95" customHeight="1">
      <c r="A31" s="351" t="s">
        <v>266</v>
      </c>
      <c r="B31" s="352"/>
      <c r="C31" s="352"/>
      <c r="D31" s="352"/>
      <c r="E31" s="334"/>
      <c r="F31" s="84"/>
      <c r="G31" s="35"/>
      <c r="H31" s="7"/>
      <c r="I31" s="34"/>
      <c r="J31" s="16"/>
      <c r="K31" s="16"/>
      <c r="L31" s="7"/>
      <c r="M31" s="16"/>
      <c r="N31" s="16"/>
      <c r="O31" s="34"/>
      <c r="Q31" s="41"/>
      <c r="Z31" s="39"/>
      <c r="AA31" s="1"/>
      <c r="AB31" s="1"/>
      <c r="AC31" s="16"/>
      <c r="AD31" s="46"/>
    </row>
    <row r="32" spans="1:30" ht="12.95" customHeight="1">
      <c r="A32" s="5"/>
      <c r="B32" s="1"/>
      <c r="C32" s="1"/>
      <c r="D32" s="1"/>
      <c r="E32" s="1"/>
      <c r="F32" s="84"/>
      <c r="G32" s="35"/>
      <c r="H32" s="7"/>
      <c r="I32" s="7"/>
      <c r="J32" s="1"/>
      <c r="K32" s="16"/>
      <c r="L32" s="7"/>
      <c r="M32" s="7"/>
      <c r="Z32" s="39"/>
      <c r="AA32" s="25"/>
      <c r="AB32" s="339">
        <f>ROUNDUP(H30/L30,0)</f>
        <v>11</v>
      </c>
      <c r="AC32" s="339"/>
      <c r="AD32" s="39" t="s">
        <v>115</v>
      </c>
    </row>
    <row r="33" spans="1:30" s="1" customFormat="1" ht="12.95" customHeight="1">
      <c r="A33" s="26"/>
      <c r="B33" s="21"/>
      <c r="C33" s="21"/>
      <c r="D33" s="21"/>
      <c r="E33" s="21"/>
      <c r="F33" s="26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7"/>
      <c r="AA33" s="21"/>
      <c r="AB33" s="21"/>
      <c r="AC33" s="21"/>
      <c r="AD33" s="27"/>
    </row>
    <row r="34" spans="1:30" s="1" customFormat="1" ht="12.95" customHeight="1">
      <c r="A34" s="5"/>
      <c r="F34" s="8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"/>
      <c r="X34" s="10"/>
      <c r="Z34" s="6"/>
      <c r="AD34" s="6"/>
    </row>
    <row r="35" spans="1:30" s="1" customFormat="1" ht="12.95" customHeight="1">
      <c r="A35" s="418" t="s">
        <v>148</v>
      </c>
      <c r="B35" s="419"/>
      <c r="C35" s="419"/>
      <c r="D35" s="419"/>
      <c r="E35" s="419"/>
      <c r="F35" s="84"/>
      <c r="G35" s="33" t="s">
        <v>13</v>
      </c>
      <c r="H35" s="378">
        <f>K6</f>
        <v>14.84</v>
      </c>
      <c r="I35" s="378"/>
      <c r="J35" s="378"/>
      <c r="K35" s="1" t="s">
        <v>14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0"/>
      <c r="X35" s="10"/>
      <c r="Z35" s="6"/>
      <c r="AD35" s="6"/>
    </row>
    <row r="36" spans="1:30" s="1" customFormat="1" ht="12.95" customHeight="1">
      <c r="A36" s="420"/>
      <c r="B36" s="419"/>
      <c r="C36" s="419"/>
      <c r="D36" s="419"/>
      <c r="E36" s="419"/>
      <c r="F36" s="8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0"/>
      <c r="X36" s="10"/>
      <c r="Z36" s="6"/>
      <c r="AD36" s="6"/>
    </row>
    <row r="37" spans="1:30" ht="12.95" customHeight="1">
      <c r="A37" s="5"/>
      <c r="B37" s="1"/>
      <c r="C37" s="1"/>
      <c r="D37" s="1"/>
      <c r="E37" s="1"/>
      <c r="F37" s="84"/>
      <c r="G37" s="35"/>
      <c r="H37" s="421" t="s">
        <v>120</v>
      </c>
      <c r="I37" s="421"/>
      <c r="J37" s="421"/>
      <c r="K37" s="421"/>
      <c r="L37" s="421"/>
      <c r="M37" s="7" t="s">
        <v>15</v>
      </c>
      <c r="N37" s="36">
        <v>4</v>
      </c>
      <c r="O37" s="380" t="s">
        <v>107</v>
      </c>
      <c r="P37" s="380"/>
      <c r="Q37" s="37"/>
      <c r="Z37" s="39"/>
      <c r="AA37" s="10"/>
      <c r="AB37" s="10"/>
      <c r="AC37" s="376" t="s">
        <v>107</v>
      </c>
      <c r="AD37" s="377"/>
    </row>
    <row r="38" spans="1:30" ht="12.95" customHeight="1">
      <c r="A38" s="5"/>
      <c r="B38" s="1"/>
      <c r="C38" s="1"/>
      <c r="D38" s="1"/>
      <c r="E38" s="1"/>
      <c r="F38" s="84"/>
      <c r="G38" s="35"/>
      <c r="H38" s="350" t="s">
        <v>16</v>
      </c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Z38" s="39"/>
      <c r="AA38" s="339">
        <f>N37</f>
        <v>4</v>
      </c>
      <c r="AB38" s="339"/>
      <c r="AC38" s="339"/>
      <c r="AD38" s="39"/>
    </row>
    <row r="39" spans="1:30" ht="12.95" customHeight="1">
      <c r="A39" s="5"/>
      <c r="B39" s="1"/>
      <c r="C39" s="1"/>
      <c r="D39" s="1"/>
      <c r="E39" s="1"/>
      <c r="F39" s="84"/>
      <c r="G39" s="35"/>
      <c r="H39" s="423" t="s">
        <v>17</v>
      </c>
      <c r="I39" s="423"/>
      <c r="J39" s="423"/>
      <c r="K39" s="423"/>
      <c r="L39" s="423"/>
      <c r="M39" s="423" t="s">
        <v>18</v>
      </c>
      <c r="N39" s="423"/>
      <c r="O39" s="423"/>
      <c r="P39" s="424" t="s">
        <v>19</v>
      </c>
      <c r="Q39" s="425"/>
      <c r="R39" s="425"/>
      <c r="S39" s="425"/>
      <c r="T39" s="426"/>
      <c r="U39" s="341" t="s">
        <v>20</v>
      </c>
      <c r="V39" s="341"/>
      <c r="W39" s="341"/>
      <c r="X39" s="341"/>
      <c r="Z39" s="39"/>
      <c r="AA39" s="10"/>
      <c r="AB39" s="10"/>
      <c r="AC39" s="37"/>
      <c r="AD39" s="39"/>
    </row>
    <row r="40" spans="1:30" ht="12.95" customHeight="1">
      <c r="A40" s="5"/>
      <c r="B40" s="1"/>
      <c r="C40" s="1"/>
      <c r="D40" s="1"/>
      <c r="E40" s="1"/>
      <c r="F40" s="84"/>
      <c r="G40" s="35"/>
      <c r="H40" s="423" t="s">
        <v>21</v>
      </c>
      <c r="I40" s="423"/>
      <c r="J40" s="423"/>
      <c r="K40" s="423"/>
      <c r="L40" s="423"/>
      <c r="M40" s="341" t="s">
        <v>22</v>
      </c>
      <c r="N40" s="341"/>
      <c r="O40" s="341"/>
      <c r="P40" s="427">
        <f>H35</f>
        <v>14.84</v>
      </c>
      <c r="Q40" s="428"/>
      <c r="R40" s="428"/>
      <c r="S40" s="428"/>
      <c r="T40" s="88" t="s">
        <v>14</v>
      </c>
      <c r="U40" s="341"/>
      <c r="V40" s="341"/>
      <c r="W40" s="341"/>
      <c r="X40" s="341"/>
      <c r="Z40" s="39"/>
      <c r="AA40" s="10"/>
      <c r="AB40" s="10"/>
      <c r="AC40" s="37"/>
      <c r="AD40" s="39"/>
    </row>
    <row r="41" spans="1:30" ht="12.95" customHeight="1">
      <c r="A41" s="5"/>
      <c r="B41" s="1"/>
      <c r="C41" s="1"/>
      <c r="D41" s="1"/>
      <c r="E41" s="1"/>
      <c r="F41" s="84"/>
      <c r="G41" s="35"/>
      <c r="H41" s="345" t="s">
        <v>23</v>
      </c>
      <c r="I41" s="346"/>
      <c r="J41" s="346"/>
      <c r="K41" s="346"/>
      <c r="L41" s="347"/>
      <c r="M41" s="345" t="s">
        <v>24</v>
      </c>
      <c r="N41" s="346"/>
      <c r="O41" s="347"/>
      <c r="P41" s="429" t="str">
        <f>FIXED(H35/1,0)</f>
        <v>15</v>
      </c>
      <c r="Q41" s="430"/>
      <c r="R41" s="430"/>
      <c r="S41" s="430"/>
      <c r="T41" s="88" t="s">
        <v>25</v>
      </c>
      <c r="U41" s="345"/>
      <c r="V41" s="346"/>
      <c r="W41" s="346"/>
      <c r="X41" s="347"/>
      <c r="Z41" s="39"/>
      <c r="AA41" s="10"/>
      <c r="AB41" s="10"/>
      <c r="AC41" s="37"/>
      <c r="AD41" s="39"/>
    </row>
    <row r="42" spans="1:30" ht="12.95" customHeight="1">
      <c r="A42" s="5"/>
      <c r="B42" s="1"/>
      <c r="C42" s="1"/>
      <c r="D42" s="1"/>
      <c r="E42" s="1"/>
      <c r="F42" s="84"/>
      <c r="G42" s="35"/>
      <c r="H42" s="423" t="s">
        <v>26</v>
      </c>
      <c r="I42" s="423"/>
      <c r="J42" s="423"/>
      <c r="K42" s="423"/>
      <c r="L42" s="423"/>
      <c r="M42" s="341" t="s">
        <v>27</v>
      </c>
      <c r="N42" s="341"/>
      <c r="O42" s="341"/>
      <c r="P42" s="431">
        <f>P40+(0.15*2+0.09*2)*P41</f>
        <v>22.04</v>
      </c>
      <c r="Q42" s="431"/>
      <c r="R42" s="432"/>
      <c r="S42" s="93"/>
      <c r="T42" s="88" t="s">
        <v>14</v>
      </c>
      <c r="U42" s="341"/>
      <c r="V42" s="341"/>
      <c r="W42" s="341"/>
      <c r="X42" s="341"/>
      <c r="Z42" s="39"/>
      <c r="AA42" s="10"/>
      <c r="AB42" s="10"/>
      <c r="AC42" s="37"/>
      <c r="AD42" s="39"/>
    </row>
    <row r="43" spans="1:30" s="1" customFormat="1" ht="12.95" customHeight="1">
      <c r="A43" s="26"/>
      <c r="B43" s="21"/>
      <c r="C43" s="21"/>
      <c r="D43" s="21"/>
      <c r="E43" s="21"/>
      <c r="F43" s="10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30"/>
      <c r="X43" s="30"/>
      <c r="Y43" s="21"/>
      <c r="Z43" s="27"/>
      <c r="AA43" s="21"/>
      <c r="AB43" s="21"/>
      <c r="AC43" s="21"/>
      <c r="AD43" s="27"/>
    </row>
    <row r="44" spans="1:30" s="1" customFormat="1" ht="12.95" customHeight="1">
      <c r="A44" s="5"/>
      <c r="F44" s="8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0"/>
      <c r="X44" s="10"/>
      <c r="Z44" s="6"/>
      <c r="AD44" s="6"/>
    </row>
    <row r="45" spans="1:30" s="1" customFormat="1" ht="12.95" customHeight="1">
      <c r="A45" s="330" t="s">
        <v>320</v>
      </c>
      <c r="B45" s="349"/>
      <c r="C45" s="349"/>
      <c r="D45" s="349"/>
      <c r="E45" s="349"/>
      <c r="F45" s="5"/>
      <c r="G45" s="433" t="s">
        <v>34</v>
      </c>
      <c r="H45" s="433"/>
      <c r="I45" s="433"/>
      <c r="J45" s="433"/>
      <c r="K45" s="433"/>
      <c r="L45" s="7"/>
      <c r="M45" s="7"/>
      <c r="N45" s="7"/>
      <c r="Z45" s="6"/>
      <c r="AD45" s="6"/>
    </row>
    <row r="46" spans="1:30" s="1" customFormat="1" ht="12.95" customHeight="1">
      <c r="A46" s="351"/>
      <c r="B46" s="352"/>
      <c r="C46" s="352"/>
      <c r="D46" s="352"/>
      <c r="E46" s="352"/>
      <c r="F46" s="5"/>
      <c r="Z46" s="6"/>
      <c r="AD46" s="6"/>
    </row>
    <row r="47" spans="1:30" s="1" customFormat="1" ht="12.95" customHeight="1">
      <c r="A47" s="5"/>
      <c r="F47" s="5"/>
      <c r="G47" s="1" t="s">
        <v>109</v>
      </c>
      <c r="H47" s="349" t="s">
        <v>322</v>
      </c>
      <c r="I47" s="349"/>
      <c r="J47" s="349"/>
      <c r="Q47" s="50"/>
      <c r="R47" s="51"/>
      <c r="S47" s="51"/>
      <c r="T47" s="50"/>
      <c r="U47" s="52"/>
      <c r="V47" s="52"/>
      <c r="W47" s="52"/>
      <c r="Z47" s="53"/>
      <c r="AD47" s="59" t="s">
        <v>14</v>
      </c>
    </row>
    <row r="48" spans="1:30" s="1" customFormat="1" ht="12.95" customHeight="1">
      <c r="A48" s="5"/>
      <c r="F48" s="5"/>
      <c r="H48" s="372">
        <v>14.34</v>
      </c>
      <c r="I48" s="372"/>
      <c r="J48" s="372"/>
      <c r="K48" s="50" t="s">
        <v>8</v>
      </c>
      <c r="L48" s="434">
        <f>AA13</f>
        <v>266</v>
      </c>
      <c r="M48" s="434"/>
      <c r="N48" s="1" t="s">
        <v>25</v>
      </c>
      <c r="O48" s="50"/>
      <c r="P48" s="439"/>
      <c r="Q48" s="439"/>
      <c r="R48" s="8"/>
      <c r="T48" s="52"/>
      <c r="U48" s="50"/>
      <c r="V48" s="51"/>
      <c r="W48" s="38" t="s">
        <v>35</v>
      </c>
      <c r="X48" s="435">
        <f>ROUND(H48*L48,3)</f>
        <v>3814.44</v>
      </c>
      <c r="Y48" s="435"/>
      <c r="Z48" s="436"/>
      <c r="AA48" s="375">
        <f>+X48</f>
        <v>3814.44</v>
      </c>
      <c r="AB48" s="375"/>
      <c r="AC48" s="375"/>
      <c r="AD48" s="6"/>
    </row>
    <row r="49" spans="1:30" s="1" customFormat="1" ht="12.95" customHeight="1">
      <c r="A49" s="5"/>
      <c r="F49" s="5"/>
      <c r="H49" s="52"/>
      <c r="I49" s="52"/>
      <c r="J49" s="52"/>
      <c r="K49" s="50"/>
      <c r="L49" s="54"/>
      <c r="M49" s="54"/>
      <c r="O49" s="24"/>
      <c r="T49" s="52"/>
      <c r="U49" s="50"/>
      <c r="V49" s="51"/>
      <c r="W49" s="38"/>
      <c r="X49" s="55"/>
      <c r="Y49" s="55"/>
      <c r="Z49" s="56"/>
      <c r="AA49" s="25"/>
      <c r="AB49" s="25"/>
      <c r="AC49" s="25"/>
      <c r="AD49" s="6"/>
    </row>
    <row r="50" spans="1:30" s="1" customFormat="1" ht="12.95" customHeight="1">
      <c r="A50" s="5"/>
      <c r="F50" s="5"/>
      <c r="G50" s="1" t="s">
        <v>111</v>
      </c>
      <c r="H50" s="349" t="s">
        <v>323</v>
      </c>
      <c r="I50" s="349"/>
      <c r="J50" s="349"/>
      <c r="Q50" s="50"/>
      <c r="R50" s="51"/>
      <c r="S50" s="51"/>
      <c r="T50" s="50"/>
      <c r="U50" s="52"/>
      <c r="V50" s="52"/>
      <c r="W50" s="52"/>
      <c r="Z50" s="53"/>
      <c r="AD50" s="59" t="s">
        <v>14</v>
      </c>
    </row>
    <row r="51" spans="1:30" s="1" customFormat="1" ht="12.95" customHeight="1">
      <c r="A51" s="5"/>
      <c r="F51" s="5"/>
      <c r="H51" s="437">
        <v>0</v>
      </c>
      <c r="I51" s="437"/>
      <c r="J51" s="437"/>
      <c r="K51" s="50" t="s">
        <v>8</v>
      </c>
      <c r="L51" s="434">
        <f>L48</f>
        <v>266</v>
      </c>
      <c r="M51" s="434"/>
      <c r="N51" s="1" t="s">
        <v>25</v>
      </c>
      <c r="O51" s="50"/>
      <c r="P51" s="439"/>
      <c r="Q51" s="439"/>
      <c r="R51" s="8"/>
      <c r="T51" s="52"/>
      <c r="U51" s="50"/>
      <c r="V51" s="51"/>
      <c r="W51" s="38" t="s">
        <v>35</v>
      </c>
      <c r="X51" s="435">
        <f>ROUND(H51*L51,3)</f>
        <v>0</v>
      </c>
      <c r="Y51" s="435"/>
      <c r="Z51" s="436"/>
      <c r="AA51" s="375">
        <f>+X51</f>
        <v>0</v>
      </c>
      <c r="AB51" s="375"/>
      <c r="AC51" s="375"/>
      <c r="AD51" s="6"/>
    </row>
    <row r="52" spans="1:30" s="1" customFormat="1" ht="12.95" customHeight="1">
      <c r="A52" s="5"/>
      <c r="F52" s="5"/>
      <c r="H52" s="174"/>
      <c r="I52" s="174"/>
      <c r="J52" s="174"/>
      <c r="K52" s="50"/>
      <c r="L52" s="54"/>
      <c r="M52" s="54"/>
      <c r="O52" s="50"/>
      <c r="P52" s="176"/>
      <c r="Q52" s="176"/>
      <c r="R52" s="8"/>
      <c r="T52" s="52"/>
      <c r="U52" s="50"/>
      <c r="V52" s="51"/>
      <c r="W52" s="38"/>
      <c r="X52" s="55"/>
      <c r="Y52" s="55"/>
      <c r="Z52" s="56"/>
      <c r="AA52" s="25"/>
      <c r="AB52" s="25"/>
      <c r="AC52" s="25"/>
      <c r="AD52" s="6"/>
    </row>
    <row r="53" spans="1:30" s="1" customFormat="1" ht="12.95" customHeight="1">
      <c r="A53" s="5"/>
      <c r="F53" s="5"/>
      <c r="G53" s="1" t="s">
        <v>156</v>
      </c>
      <c r="H53" s="349" t="s">
        <v>324</v>
      </c>
      <c r="I53" s="349"/>
      <c r="J53" s="349"/>
      <c r="Q53" s="50"/>
      <c r="R53" s="51"/>
      <c r="S53" s="51"/>
      <c r="T53" s="50"/>
      <c r="U53" s="52"/>
      <c r="V53" s="52"/>
      <c r="W53" s="52"/>
      <c r="Z53" s="53"/>
      <c r="AD53" s="59" t="s">
        <v>14</v>
      </c>
    </row>
    <row r="54" spans="1:30" s="1" customFormat="1" ht="12.95" customHeight="1">
      <c r="A54" s="5"/>
      <c r="F54" s="5"/>
      <c r="H54" s="440">
        <v>0</v>
      </c>
      <c r="I54" s="440"/>
      <c r="J54" s="440"/>
      <c r="K54" s="50" t="s">
        <v>8</v>
      </c>
      <c r="L54" s="434">
        <f>L51</f>
        <v>266</v>
      </c>
      <c r="M54" s="434"/>
      <c r="N54" s="1" t="s">
        <v>25</v>
      </c>
      <c r="O54" s="50"/>
      <c r="P54" s="439"/>
      <c r="Q54" s="439"/>
      <c r="R54" s="8"/>
      <c r="T54" s="52"/>
      <c r="U54" s="50"/>
      <c r="V54" s="51"/>
      <c r="W54" s="38" t="s">
        <v>35</v>
      </c>
      <c r="X54" s="435">
        <f>ROUND(H54*L54,3)</f>
        <v>0</v>
      </c>
      <c r="Y54" s="435"/>
      <c r="Z54" s="436"/>
      <c r="AA54" s="375">
        <f>+X54</f>
        <v>0</v>
      </c>
      <c r="AB54" s="375"/>
      <c r="AC54" s="375"/>
      <c r="AD54" s="6"/>
    </row>
    <row r="55" spans="1:30" s="1" customFormat="1" ht="12.95" customHeight="1">
      <c r="A55" s="26"/>
      <c r="B55" s="21"/>
      <c r="C55" s="21"/>
      <c r="D55" s="21"/>
      <c r="E55" s="21"/>
      <c r="F55" s="26"/>
      <c r="G55" s="21"/>
      <c r="H55" s="61"/>
      <c r="I55" s="61"/>
      <c r="J55" s="61"/>
      <c r="K55" s="57"/>
      <c r="L55" s="62"/>
      <c r="M55" s="62"/>
      <c r="N55" s="21"/>
      <c r="O55" s="48"/>
      <c r="P55" s="21"/>
      <c r="Q55" s="21"/>
      <c r="R55" s="21"/>
      <c r="S55" s="21"/>
      <c r="T55" s="61"/>
      <c r="U55" s="57"/>
      <c r="V55" s="58"/>
      <c r="W55" s="32"/>
      <c r="X55" s="63"/>
      <c r="Y55" s="63"/>
      <c r="Z55" s="94"/>
      <c r="AA55" s="64"/>
      <c r="AB55" s="64"/>
      <c r="AC55" s="64"/>
      <c r="AD55" s="27"/>
    </row>
    <row r="56" spans="1:30" s="1" customFormat="1" ht="12.95" customHeight="1">
      <c r="A56" s="5"/>
      <c r="F56" s="8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0"/>
      <c r="X56" s="10"/>
      <c r="Z56" s="6"/>
      <c r="AD56" s="6"/>
    </row>
    <row r="57" spans="1:30" s="1" customFormat="1" ht="12.95" customHeight="1">
      <c r="A57" s="330" t="s">
        <v>128</v>
      </c>
      <c r="B57" s="349"/>
      <c r="C57" s="349"/>
      <c r="D57" s="349"/>
      <c r="E57" s="349"/>
      <c r="F57" s="5"/>
      <c r="G57" s="438">
        <f>K6-0.5</f>
        <v>14.34</v>
      </c>
      <c r="H57" s="438"/>
      <c r="I57" s="438"/>
      <c r="J57" s="1" t="s">
        <v>117</v>
      </c>
      <c r="K57" s="404">
        <f>AA13</f>
        <v>266</v>
      </c>
      <c r="L57" s="404"/>
      <c r="M57" s="1" t="s">
        <v>118</v>
      </c>
      <c r="W57" s="1" t="s">
        <v>113</v>
      </c>
      <c r="X57" s="352">
        <f>G57*K57</f>
        <v>3814.44</v>
      </c>
      <c r="Y57" s="352"/>
      <c r="Z57" s="334"/>
      <c r="AD57" s="59" t="s">
        <v>14</v>
      </c>
    </row>
    <row r="58" spans="1:30" s="1" customFormat="1" ht="12.95" customHeight="1">
      <c r="A58" s="351" t="s">
        <v>116</v>
      </c>
      <c r="B58" s="352"/>
      <c r="C58" s="352"/>
      <c r="D58" s="352"/>
      <c r="E58" s="352"/>
      <c r="F58" s="5"/>
      <c r="Z58" s="6"/>
      <c r="AA58" s="375">
        <f>X57</f>
        <v>3814.44</v>
      </c>
      <c r="AB58" s="375"/>
      <c r="AC58" s="375"/>
      <c r="AD58" s="6"/>
    </row>
    <row r="59" spans="1:30" s="1" customFormat="1" ht="12.95" customHeight="1">
      <c r="A59" s="5"/>
      <c r="F59" s="5"/>
      <c r="Z59" s="6"/>
      <c r="AD59" s="6"/>
    </row>
    <row r="60" spans="1:30" s="1" customFormat="1" ht="12.95" customHeight="1">
      <c r="A60" s="5"/>
      <c r="F60" s="5"/>
      <c r="Z60" s="6"/>
      <c r="AD60" s="6"/>
    </row>
    <row r="61" spans="1:30" s="1" customFormat="1" ht="12.95" customHeight="1">
      <c r="A61" s="26"/>
      <c r="B61" s="21"/>
      <c r="C61" s="21"/>
      <c r="D61" s="21"/>
      <c r="E61" s="21"/>
      <c r="F61" s="10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30"/>
      <c r="X61" s="30"/>
      <c r="Y61" s="21"/>
      <c r="Z61" s="27"/>
      <c r="AA61" s="21"/>
      <c r="AB61" s="21"/>
      <c r="AC61" s="21"/>
      <c r="AD61" s="27"/>
    </row>
    <row r="62" spans="1:30" s="1" customFormat="1" ht="12.95" customHeight="1">
      <c r="A62" s="5"/>
      <c r="F62" s="8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"/>
      <c r="X62" s="10"/>
      <c r="Z62" s="6"/>
      <c r="AD62" s="6"/>
    </row>
    <row r="63" spans="1:30" s="1" customFormat="1" ht="12.95" customHeight="1">
      <c r="A63" s="330" t="s">
        <v>150</v>
      </c>
      <c r="B63" s="349"/>
      <c r="C63" s="349"/>
      <c r="D63" s="349"/>
      <c r="E63" s="349"/>
      <c r="F63" s="5"/>
      <c r="G63" s="433" t="s">
        <v>34</v>
      </c>
      <c r="H63" s="433"/>
      <c r="I63" s="433"/>
      <c r="J63" s="433"/>
      <c r="K63" s="433"/>
      <c r="L63" s="7"/>
      <c r="M63" s="7"/>
      <c r="N63" s="7"/>
      <c r="Z63" s="6"/>
      <c r="AD63" s="6"/>
    </row>
    <row r="64" spans="1:30" s="1" customFormat="1" ht="12.95" customHeight="1">
      <c r="A64" s="5"/>
      <c r="F64" s="5"/>
      <c r="Z64" s="6"/>
      <c r="AD64" s="59" t="s">
        <v>14</v>
      </c>
    </row>
    <row r="65" spans="1:30" s="1" customFormat="1" ht="12.95" customHeight="1">
      <c r="A65" s="5"/>
      <c r="F65" s="5"/>
      <c r="J65" s="352">
        <f>H48*L48</f>
        <v>3814.44</v>
      </c>
      <c r="K65" s="352"/>
      <c r="L65" s="352"/>
      <c r="M65" s="1" t="s">
        <v>2</v>
      </c>
      <c r="N65" s="352">
        <f>H51*L51</f>
        <v>0</v>
      </c>
      <c r="O65" s="352"/>
      <c r="P65" s="352"/>
      <c r="Q65" s="1" t="s">
        <v>2</v>
      </c>
      <c r="R65" s="352">
        <f>H54*L54</f>
        <v>0</v>
      </c>
      <c r="S65" s="352"/>
      <c r="T65" s="352"/>
      <c r="W65" s="1" t="s">
        <v>113</v>
      </c>
      <c r="X65" s="352">
        <f>J65+N65+R65</f>
        <v>3814.44</v>
      </c>
      <c r="Y65" s="352"/>
      <c r="Z65" s="334"/>
      <c r="AA65" s="375">
        <f>X65</f>
        <v>3814.44</v>
      </c>
      <c r="AB65" s="375"/>
      <c r="AC65" s="375"/>
      <c r="AD65" s="6"/>
    </row>
    <row r="66" spans="1:30" s="1" customFormat="1" ht="12.95" customHeight="1">
      <c r="A66" s="5"/>
      <c r="F66" s="5"/>
      <c r="Z66" s="6"/>
      <c r="AD66" s="6"/>
    </row>
    <row r="67" spans="1:30" s="1" customFormat="1" ht="12.95" customHeight="1">
      <c r="A67" s="26"/>
      <c r="B67" s="21"/>
      <c r="C67" s="21"/>
      <c r="D67" s="21"/>
      <c r="E67" s="21"/>
      <c r="F67" s="26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7"/>
      <c r="AA67" s="21"/>
      <c r="AB67" s="21"/>
      <c r="AC67" s="21"/>
      <c r="AD67" s="27"/>
    </row>
    <row r="68" spans="1:30" s="1" customFormat="1" ht="12.95" customHeight="1">
      <c r="A68" s="5"/>
      <c r="F68" s="8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0"/>
      <c r="X68" s="10"/>
      <c r="Z68" s="6"/>
      <c r="AD68" s="6"/>
    </row>
    <row r="69" spans="1:30" ht="12.95" customHeight="1">
      <c r="A69" s="383" t="s">
        <v>129</v>
      </c>
      <c r="B69" s="349"/>
      <c r="C69" s="349"/>
      <c r="D69" s="349"/>
      <c r="E69" s="349"/>
      <c r="F69" s="66"/>
      <c r="G69" s="441" t="s">
        <v>63</v>
      </c>
      <c r="H69" s="441"/>
      <c r="I69" s="441"/>
      <c r="J69" s="441"/>
      <c r="K69" s="441"/>
      <c r="L69" s="441"/>
      <c r="M69" s="441"/>
      <c r="Z69" s="39"/>
      <c r="AD69" s="39"/>
    </row>
    <row r="70" spans="1:30" ht="12.75" customHeight="1">
      <c r="A70" s="330"/>
      <c r="B70" s="349"/>
      <c r="C70" s="349"/>
      <c r="D70" s="349"/>
      <c r="E70" s="349"/>
      <c r="F70" s="66"/>
      <c r="Z70" s="39"/>
      <c r="AD70" s="39"/>
    </row>
    <row r="71" spans="1:30" s="1" customFormat="1" ht="12.95" customHeight="1">
      <c r="A71" s="5"/>
      <c r="B71" s="349" t="s">
        <v>274</v>
      </c>
      <c r="C71" s="349"/>
      <c r="D71" s="349"/>
      <c r="E71" s="349"/>
      <c r="F71" s="103"/>
      <c r="G71" s="352" t="s">
        <v>122</v>
      </c>
      <c r="H71" s="352"/>
      <c r="I71" s="438">
        <v>8.4</v>
      </c>
      <c r="J71" s="438"/>
      <c r="K71" s="90" t="s">
        <v>14</v>
      </c>
      <c r="L71" s="1" t="s">
        <v>121</v>
      </c>
      <c r="M71" s="97">
        <v>4</v>
      </c>
      <c r="N71" s="1" t="s">
        <v>118</v>
      </c>
      <c r="T71" s="7"/>
      <c r="V71" s="7"/>
      <c r="W71" s="38"/>
      <c r="X71" s="38"/>
      <c r="Y71" s="38"/>
      <c r="Z71" s="39"/>
      <c r="AA71" s="10"/>
      <c r="AB71" s="10"/>
      <c r="AC71" s="37"/>
      <c r="AD71" s="6"/>
    </row>
    <row r="72" spans="1:30" s="1" customFormat="1" ht="12.95" customHeight="1">
      <c r="A72" s="5"/>
      <c r="F72" s="84"/>
      <c r="G72" s="352" t="s">
        <v>122</v>
      </c>
      <c r="H72" s="352"/>
      <c r="I72" s="438">
        <v>43.6</v>
      </c>
      <c r="J72" s="438"/>
      <c r="K72" s="90" t="s">
        <v>14</v>
      </c>
      <c r="L72" s="1" t="s">
        <v>121</v>
      </c>
      <c r="M72" s="97">
        <v>4</v>
      </c>
      <c r="N72" s="1" t="s">
        <v>118</v>
      </c>
      <c r="O72" s="67"/>
      <c r="P72" s="8"/>
      <c r="Q72" s="37"/>
      <c r="R72" s="37"/>
      <c r="S72" s="37"/>
      <c r="T72" s="7"/>
      <c r="V72" s="7"/>
      <c r="W72" s="38"/>
      <c r="X72" s="38"/>
      <c r="Y72" s="38"/>
      <c r="Z72" s="39"/>
      <c r="AA72" s="10"/>
      <c r="AB72" s="10"/>
      <c r="AC72" s="37"/>
      <c r="AD72" s="6"/>
    </row>
    <row r="73" spans="1:30" s="1" customFormat="1" ht="12.95" customHeight="1">
      <c r="A73" s="5"/>
      <c r="F73" s="84"/>
      <c r="I73" s="175"/>
      <c r="J73" s="175"/>
      <c r="K73" s="90"/>
      <c r="M73" s="97"/>
      <c r="O73" s="67"/>
      <c r="P73" s="8"/>
      <c r="Q73" s="37"/>
      <c r="R73" s="37"/>
      <c r="S73" s="37"/>
      <c r="T73" s="7"/>
      <c r="V73" s="7"/>
      <c r="W73" s="38"/>
      <c r="X73" s="38"/>
      <c r="Y73" s="38"/>
      <c r="Z73" s="39"/>
      <c r="AA73" s="10"/>
      <c r="AB73" s="10"/>
      <c r="AC73" s="37"/>
      <c r="AD73" s="6" t="s">
        <v>118</v>
      </c>
    </row>
    <row r="74" spans="1:30" s="1" customFormat="1" ht="12.95" customHeight="1">
      <c r="A74" s="5"/>
      <c r="F74" s="84"/>
      <c r="G74" s="35"/>
      <c r="H74" s="7" t="s">
        <v>1</v>
      </c>
      <c r="I74" s="91" t="s">
        <v>124</v>
      </c>
      <c r="J74" s="177">
        <v>6</v>
      </c>
      <c r="K74" s="175" t="s">
        <v>123</v>
      </c>
      <c r="L74" s="97">
        <v>8</v>
      </c>
      <c r="M74" s="175" t="s">
        <v>119</v>
      </c>
      <c r="N74" s="99" t="s">
        <v>124</v>
      </c>
      <c r="O74" s="98">
        <f>M71</f>
        <v>4</v>
      </c>
      <c r="P74" s="8" t="s">
        <v>118</v>
      </c>
      <c r="Q74" s="37"/>
      <c r="R74" s="37"/>
      <c r="S74" s="37"/>
      <c r="T74" s="7"/>
      <c r="V74" s="7"/>
      <c r="W74" s="38" t="s">
        <v>113</v>
      </c>
      <c r="X74" s="337">
        <f>O74</f>
        <v>4</v>
      </c>
      <c r="Y74" s="337"/>
      <c r="Z74" s="338"/>
      <c r="AA74" s="339">
        <f>X74</f>
        <v>4</v>
      </c>
      <c r="AB74" s="339"/>
      <c r="AC74" s="339"/>
      <c r="AD74" s="6"/>
    </row>
    <row r="75" spans="1:30" s="1" customFormat="1" ht="12.95" customHeight="1">
      <c r="A75" s="5"/>
      <c r="F75" s="84"/>
      <c r="G75" s="35"/>
      <c r="H75" s="7"/>
      <c r="I75" s="91"/>
      <c r="J75" s="177"/>
      <c r="K75" s="175"/>
      <c r="L75" s="97"/>
      <c r="M75" s="175"/>
      <c r="N75" s="99"/>
      <c r="O75" s="98"/>
      <c r="P75" s="8"/>
      <c r="Q75" s="37"/>
      <c r="R75" s="37"/>
      <c r="S75" s="37"/>
      <c r="T75" s="7"/>
      <c r="V75" s="7"/>
      <c r="W75" s="38"/>
      <c r="X75" s="38"/>
      <c r="Y75" s="38"/>
      <c r="Z75" s="39"/>
      <c r="AA75" s="10"/>
      <c r="AB75" s="10"/>
      <c r="AC75" s="37"/>
      <c r="AD75" s="6" t="s">
        <v>118</v>
      </c>
    </row>
    <row r="76" spans="1:30" s="1" customFormat="1" ht="12.95" customHeight="1">
      <c r="A76" s="5"/>
      <c r="F76" s="84"/>
      <c r="G76" s="35"/>
      <c r="H76" s="7" t="s">
        <v>1</v>
      </c>
      <c r="I76" s="91" t="s">
        <v>124</v>
      </c>
      <c r="J76" s="177">
        <v>9</v>
      </c>
      <c r="K76" s="175" t="s">
        <v>123</v>
      </c>
      <c r="L76" s="97">
        <v>11</v>
      </c>
      <c r="M76" s="175" t="s">
        <v>119</v>
      </c>
      <c r="N76" s="99" t="s">
        <v>124</v>
      </c>
      <c r="O76" s="98">
        <f>M72*4</f>
        <v>16</v>
      </c>
      <c r="P76" s="8" t="s">
        <v>118</v>
      </c>
      <c r="Q76" s="37"/>
      <c r="R76" s="37"/>
      <c r="S76" s="37"/>
      <c r="T76" s="7"/>
      <c r="V76" s="7"/>
      <c r="W76" s="38" t="s">
        <v>113</v>
      </c>
      <c r="X76" s="337">
        <f>O76</f>
        <v>16</v>
      </c>
      <c r="Y76" s="337"/>
      <c r="Z76" s="338"/>
      <c r="AA76" s="339">
        <f>X76</f>
        <v>16</v>
      </c>
      <c r="AB76" s="339"/>
      <c r="AC76" s="339"/>
      <c r="AD76" s="6"/>
    </row>
    <row r="77" spans="1:30" s="1" customFormat="1" ht="12.95" customHeight="1">
      <c r="A77" s="5"/>
      <c r="F77" s="84"/>
      <c r="G77" s="379" t="s">
        <v>125</v>
      </c>
      <c r="H77" s="421"/>
      <c r="I77" s="421"/>
      <c r="J77" s="91"/>
      <c r="L77" s="24"/>
      <c r="N77" s="67"/>
      <c r="O77" s="83"/>
      <c r="P77" s="8"/>
      <c r="Q77" s="380" t="s">
        <v>11</v>
      </c>
      <c r="R77" s="380"/>
      <c r="S77" s="380"/>
      <c r="T77" s="380"/>
      <c r="V77" s="7"/>
      <c r="W77" s="38"/>
      <c r="X77" s="38"/>
      <c r="Y77" s="44"/>
      <c r="Z77" s="92"/>
      <c r="AA77" s="24"/>
      <c r="AB77" s="24"/>
      <c r="AC77" s="24"/>
      <c r="AD77" s="59" t="s">
        <v>10</v>
      </c>
    </row>
    <row r="78" spans="1:30" s="1" customFormat="1" ht="12.95" customHeight="1">
      <c r="A78" s="5"/>
      <c r="F78" s="84"/>
      <c r="G78" s="35"/>
      <c r="H78" s="14" t="s">
        <v>4</v>
      </c>
      <c r="I78" s="442">
        <f>I71*M71</f>
        <v>33.6</v>
      </c>
      <c r="J78" s="442"/>
      <c r="K78" s="1" t="s">
        <v>2</v>
      </c>
      <c r="L78" s="352">
        <f>I72*M72</f>
        <v>174.4</v>
      </c>
      <c r="M78" s="352"/>
      <c r="N78" s="89" t="s">
        <v>3</v>
      </c>
      <c r="O78" s="89" t="s">
        <v>117</v>
      </c>
      <c r="P78" s="373">
        <v>9.4E-2</v>
      </c>
      <c r="Q78" s="373"/>
      <c r="R78" s="373"/>
      <c r="S78" s="69"/>
      <c r="T78" s="7"/>
      <c r="V78" s="7"/>
      <c r="W78" s="38" t="s">
        <v>35</v>
      </c>
      <c r="X78" s="376">
        <f>ROUND((I78+L78)*P78,3)</f>
        <v>19.552</v>
      </c>
      <c r="Y78" s="376"/>
      <c r="Z78" s="377"/>
      <c r="AA78" s="375">
        <f>X78</f>
        <v>19.552</v>
      </c>
      <c r="AB78" s="375"/>
      <c r="AC78" s="375"/>
      <c r="AD78" s="6"/>
    </row>
    <row r="79" spans="1:30" s="1" customFormat="1" ht="12.95" customHeight="1">
      <c r="A79" s="26"/>
      <c r="B79" s="21"/>
      <c r="C79" s="21"/>
      <c r="D79" s="21"/>
      <c r="E79" s="21"/>
      <c r="F79" s="101"/>
      <c r="G79" s="28"/>
      <c r="H79" s="20"/>
      <c r="I79" s="95"/>
      <c r="J79" s="95"/>
      <c r="K79" s="21"/>
      <c r="L79" s="21"/>
      <c r="M79" s="21"/>
      <c r="N79" s="96"/>
      <c r="O79" s="96"/>
      <c r="P79" s="47"/>
      <c r="Q79" s="29"/>
      <c r="R79" s="29"/>
      <c r="S79" s="29"/>
      <c r="T79" s="20"/>
      <c r="U79" s="21"/>
      <c r="V79" s="20"/>
      <c r="W79" s="32"/>
      <c r="X79" s="32"/>
      <c r="Y79" s="32"/>
      <c r="Z79" s="49"/>
      <c r="AA79" s="30"/>
      <c r="AB79" s="30"/>
      <c r="AC79" s="29"/>
      <c r="AD79" s="27"/>
    </row>
    <row r="80" spans="1:30" s="1" customFormat="1" ht="12.95" customHeight="1">
      <c r="A80" s="5"/>
      <c r="F80" s="8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0"/>
      <c r="X80" s="10"/>
      <c r="Z80" s="6"/>
      <c r="AD80" s="6"/>
    </row>
    <row r="81" spans="1:35" ht="12.95" customHeight="1">
      <c r="A81" s="383" t="s">
        <v>303</v>
      </c>
      <c r="B81" s="349"/>
      <c r="C81" s="349"/>
      <c r="D81" s="349"/>
      <c r="E81" s="349"/>
      <c r="F81" s="66"/>
      <c r="G81" s="441" t="s">
        <v>63</v>
      </c>
      <c r="H81" s="441"/>
      <c r="I81" s="441"/>
      <c r="J81" s="441"/>
      <c r="K81" s="441"/>
      <c r="L81" s="441"/>
      <c r="M81" s="441"/>
      <c r="Z81" s="39"/>
      <c r="AD81" s="39"/>
    </row>
    <row r="82" spans="1:35" ht="12.75" customHeight="1">
      <c r="A82" s="330"/>
      <c r="B82" s="349"/>
      <c r="C82" s="349"/>
      <c r="D82" s="349"/>
      <c r="E82" s="349"/>
      <c r="F82" s="66"/>
      <c r="Z82" s="39"/>
      <c r="AD82" s="39"/>
    </row>
    <row r="83" spans="1:35" s="1" customFormat="1" ht="12.95" customHeight="1">
      <c r="A83" s="5"/>
      <c r="B83" s="349"/>
      <c r="C83" s="349"/>
      <c r="D83" s="349"/>
      <c r="E83" s="349"/>
      <c r="F83" s="103"/>
      <c r="G83" s="352" t="s">
        <v>122</v>
      </c>
      <c r="H83" s="352"/>
      <c r="I83" s="438">
        <v>7.4</v>
      </c>
      <c r="J83" s="438"/>
      <c r="K83" s="90" t="s">
        <v>14</v>
      </c>
      <c r="L83" s="1" t="s">
        <v>121</v>
      </c>
      <c r="M83" s="97">
        <v>38</v>
      </c>
      <c r="N83" s="1" t="s">
        <v>118</v>
      </c>
      <c r="T83" s="7"/>
      <c r="V83" s="7"/>
      <c r="W83" s="38"/>
      <c r="X83" s="38"/>
      <c r="Y83" s="38"/>
      <c r="Z83" s="39"/>
      <c r="AA83" s="10"/>
      <c r="AB83" s="10"/>
      <c r="AC83" s="37"/>
      <c r="AD83" s="6"/>
    </row>
    <row r="84" spans="1:35" s="1" customFormat="1" ht="12.95" customHeight="1">
      <c r="A84" s="5"/>
      <c r="F84" s="84"/>
      <c r="I84" s="175"/>
      <c r="J84" s="175"/>
      <c r="K84" s="90"/>
      <c r="M84" s="97"/>
      <c r="O84" s="67"/>
      <c r="P84" s="8"/>
      <c r="Q84" s="37"/>
      <c r="R84" s="37"/>
      <c r="S84" s="37"/>
      <c r="T84" s="7"/>
      <c r="V84" s="7"/>
      <c r="W84" s="38"/>
      <c r="X84" s="38"/>
      <c r="Y84" s="38"/>
      <c r="Z84" s="39"/>
      <c r="AA84" s="10"/>
      <c r="AB84" s="10"/>
      <c r="AC84" s="37"/>
      <c r="AD84" s="6" t="s">
        <v>118</v>
      </c>
    </row>
    <row r="85" spans="1:35" s="1" customFormat="1" ht="12.95" customHeight="1">
      <c r="A85" s="5"/>
      <c r="F85" s="84"/>
      <c r="G85" s="35"/>
      <c r="H85" s="7" t="s">
        <v>1</v>
      </c>
      <c r="I85" s="91" t="s">
        <v>124</v>
      </c>
      <c r="J85" s="177">
        <v>7</v>
      </c>
      <c r="K85" s="175" t="s">
        <v>123</v>
      </c>
      <c r="L85" s="97">
        <v>9</v>
      </c>
      <c r="M85" s="175" t="s">
        <v>119</v>
      </c>
      <c r="N85" s="99" t="s">
        <v>124</v>
      </c>
      <c r="O85" s="98">
        <f>M83</f>
        <v>38</v>
      </c>
      <c r="P85" s="8" t="s">
        <v>118</v>
      </c>
      <c r="Q85" s="37"/>
      <c r="R85" s="37"/>
      <c r="S85" s="37"/>
      <c r="T85" s="7"/>
      <c r="V85" s="7"/>
      <c r="W85" s="38" t="s">
        <v>113</v>
      </c>
      <c r="X85" s="337">
        <f>O85</f>
        <v>38</v>
      </c>
      <c r="Y85" s="337"/>
      <c r="Z85" s="338"/>
      <c r="AA85" s="339">
        <f>X85</f>
        <v>38</v>
      </c>
      <c r="AB85" s="339"/>
      <c r="AC85" s="339"/>
      <c r="AD85" s="6"/>
    </row>
    <row r="86" spans="1:35" s="1" customFormat="1" ht="12.95" customHeight="1">
      <c r="A86" s="5"/>
      <c r="F86" s="84"/>
      <c r="G86" s="379" t="s">
        <v>125</v>
      </c>
      <c r="H86" s="421"/>
      <c r="I86" s="421"/>
      <c r="J86" s="91"/>
      <c r="L86" s="24"/>
      <c r="N86" s="67"/>
      <c r="O86" s="83"/>
      <c r="P86" s="8"/>
      <c r="Q86" s="380" t="s">
        <v>11</v>
      </c>
      <c r="R86" s="380"/>
      <c r="S86" s="380"/>
      <c r="T86" s="380"/>
      <c r="V86" s="7"/>
      <c r="W86" s="38"/>
      <c r="X86" s="38"/>
      <c r="Y86" s="44"/>
      <c r="Z86" s="92"/>
      <c r="AA86" s="24"/>
      <c r="AB86" s="24"/>
      <c r="AC86" s="24"/>
      <c r="AD86" s="59" t="s">
        <v>10</v>
      </c>
    </row>
    <row r="87" spans="1:35" s="1" customFormat="1" ht="12.95" customHeight="1">
      <c r="A87" s="5"/>
      <c r="F87" s="84"/>
      <c r="G87" s="35"/>
      <c r="H87" s="14" t="s">
        <v>4</v>
      </c>
      <c r="I87" s="443">
        <f>I83*M83</f>
        <v>281.2</v>
      </c>
      <c r="J87" s="443"/>
      <c r="K87" s="1" t="s">
        <v>2</v>
      </c>
      <c r="L87" s="352"/>
      <c r="M87" s="352"/>
      <c r="N87" s="89" t="s">
        <v>3</v>
      </c>
      <c r="O87" s="89" t="s">
        <v>117</v>
      </c>
      <c r="P87" s="373">
        <v>9.4E-2</v>
      </c>
      <c r="Q87" s="373"/>
      <c r="R87" s="373"/>
      <c r="S87" s="69"/>
      <c r="T87" s="7"/>
      <c r="V87" s="7"/>
      <c r="W87" s="38" t="s">
        <v>35</v>
      </c>
      <c r="X87" s="376">
        <f>ROUND((I87+L87)*P87,3)</f>
        <v>26.433</v>
      </c>
      <c r="Y87" s="376"/>
      <c r="Z87" s="377"/>
      <c r="AA87" s="375">
        <f>X87</f>
        <v>26.433</v>
      </c>
      <c r="AB87" s="375"/>
      <c r="AC87" s="375"/>
      <c r="AD87" s="6"/>
    </row>
    <row r="88" spans="1:35" s="1" customFormat="1" ht="12.95" customHeight="1">
      <c r="A88" s="26"/>
      <c r="B88" s="21"/>
      <c r="C88" s="21"/>
      <c r="D88" s="21"/>
      <c r="E88" s="21"/>
      <c r="F88" s="101"/>
      <c r="G88" s="28"/>
      <c r="H88" s="20"/>
      <c r="I88" s="95"/>
      <c r="J88" s="95"/>
      <c r="K88" s="21"/>
      <c r="L88" s="21"/>
      <c r="M88" s="21"/>
      <c r="N88" s="96"/>
      <c r="O88" s="96"/>
      <c r="P88" s="47"/>
      <c r="Q88" s="29"/>
      <c r="R88" s="29"/>
      <c r="S88" s="29"/>
      <c r="T88" s="20"/>
      <c r="U88" s="21"/>
      <c r="V88" s="20"/>
      <c r="W88" s="32"/>
      <c r="X88" s="32"/>
      <c r="Y88" s="32"/>
      <c r="Z88" s="49"/>
      <c r="AA88" s="30"/>
      <c r="AB88" s="30"/>
      <c r="AC88" s="29"/>
      <c r="AD88" s="27"/>
    </row>
    <row r="89" spans="1:35" s="1" customFormat="1" ht="12.95" customHeight="1">
      <c r="A89" s="2"/>
      <c r="B89" s="3"/>
      <c r="C89" s="3"/>
      <c r="D89" s="3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"/>
      <c r="X89" s="10"/>
      <c r="Z89" s="6"/>
      <c r="AD89" s="6"/>
    </row>
    <row r="90" spans="1:35" s="1" customFormat="1" ht="12.95" customHeight="1">
      <c r="A90" s="383" t="s">
        <v>283</v>
      </c>
      <c r="B90" s="349"/>
      <c r="C90" s="349"/>
      <c r="D90" s="349"/>
      <c r="E90" s="332"/>
      <c r="F90" s="7"/>
      <c r="G90" s="33" t="s">
        <v>158</v>
      </c>
      <c r="H90" s="34"/>
      <c r="I90" s="34"/>
      <c r="N90" s="7"/>
      <c r="O90" s="7"/>
      <c r="P90" s="7"/>
      <c r="Q90" s="7"/>
      <c r="R90" s="7"/>
      <c r="S90" s="7"/>
      <c r="T90" s="7"/>
      <c r="U90" s="7"/>
      <c r="V90" s="7"/>
      <c r="W90" s="10"/>
      <c r="X90" s="10"/>
      <c r="Z90" s="6"/>
      <c r="AA90" s="10"/>
      <c r="AB90" s="10"/>
      <c r="AC90" s="376" t="s">
        <v>107</v>
      </c>
      <c r="AD90" s="377"/>
    </row>
    <row r="91" spans="1:35" s="1" customFormat="1" ht="12.95" customHeight="1">
      <c r="A91" s="330"/>
      <c r="B91" s="349"/>
      <c r="C91" s="349"/>
      <c r="D91" s="349"/>
      <c r="E91" s="332"/>
      <c r="F91" s="7"/>
      <c r="G91" s="7"/>
      <c r="H91" s="7"/>
      <c r="I91" s="7"/>
      <c r="J91" s="7"/>
      <c r="K91" s="7"/>
      <c r="L91" s="7" t="s">
        <v>15</v>
      </c>
      <c r="M91" s="36">
        <v>8</v>
      </c>
      <c r="N91" s="380" t="s">
        <v>107</v>
      </c>
      <c r="O91" s="380"/>
      <c r="P91" s="7"/>
      <c r="Q91" s="7"/>
      <c r="R91" s="7"/>
      <c r="S91" s="7"/>
      <c r="T91" s="7"/>
      <c r="U91" s="7"/>
      <c r="V91" s="7"/>
      <c r="W91" s="10"/>
      <c r="X91" s="10"/>
      <c r="Z91" s="6"/>
      <c r="AA91" s="339">
        <f>M91</f>
        <v>8</v>
      </c>
      <c r="AB91" s="339"/>
      <c r="AC91" s="339"/>
      <c r="AD91" s="39"/>
    </row>
    <row r="92" spans="1:35" s="1" customFormat="1" ht="12.95" customHeight="1">
      <c r="A92" s="11"/>
      <c r="B92" s="8"/>
      <c r="C92" s="8"/>
      <c r="D92" s="8"/>
      <c r="E92" s="9"/>
      <c r="F92" s="7"/>
      <c r="G92" s="35"/>
      <c r="H92" s="50"/>
      <c r="I92" s="50"/>
      <c r="J92" s="38"/>
      <c r="K92" s="367" t="s">
        <v>39</v>
      </c>
      <c r="L92" s="367"/>
      <c r="M92" s="367"/>
      <c r="N92" s="367"/>
      <c r="O92" s="367"/>
      <c r="P92" s="367"/>
      <c r="Q92" s="367"/>
      <c r="R92" s="367"/>
      <c r="S92" s="80"/>
      <c r="T92" s="7"/>
      <c r="V92" s="40"/>
      <c r="X92" s="38"/>
      <c r="Y92" s="38" t="s">
        <v>40</v>
      </c>
      <c r="Z92" s="39"/>
      <c r="AA92" s="18"/>
      <c r="AB92" s="18"/>
      <c r="AC92" s="18"/>
      <c r="AD92" s="39"/>
    </row>
    <row r="93" spans="1:35" s="1" customFormat="1" ht="12.95" customHeight="1">
      <c r="A93" s="11"/>
      <c r="B93" s="8"/>
      <c r="C93" s="8"/>
      <c r="D93" s="8"/>
      <c r="E93" s="9"/>
      <c r="G93" s="341" t="s">
        <v>41</v>
      </c>
      <c r="H93" s="341"/>
      <c r="I93" s="341"/>
      <c r="J93" s="341"/>
      <c r="K93" s="342" t="s">
        <v>42</v>
      </c>
      <c r="L93" s="343"/>
      <c r="M93" s="343"/>
      <c r="N93" s="343"/>
      <c r="O93" s="344"/>
      <c r="P93" s="340" t="s">
        <v>43</v>
      </c>
      <c r="Q93" s="340"/>
      <c r="R93" s="340" t="s">
        <v>45</v>
      </c>
      <c r="S93" s="340"/>
      <c r="T93" s="340"/>
      <c r="U93" s="340"/>
      <c r="V93" s="340" t="s">
        <v>20</v>
      </c>
      <c r="W93" s="340"/>
      <c r="X93" s="340"/>
      <c r="Y93" s="340"/>
      <c r="Z93" s="6"/>
      <c r="AA93" s="18"/>
      <c r="AB93" s="18"/>
      <c r="AC93" s="18"/>
      <c r="AD93" s="39"/>
    </row>
    <row r="94" spans="1:35" s="1" customFormat="1" ht="12.95" customHeight="1">
      <c r="A94" s="11"/>
      <c r="B94" s="8"/>
      <c r="C94" s="8"/>
      <c r="D94" s="8"/>
      <c r="E94" s="9"/>
      <c r="G94" s="341" t="s">
        <v>79</v>
      </c>
      <c r="H94" s="341"/>
      <c r="I94" s="341"/>
      <c r="J94" s="341"/>
      <c r="K94" s="342" t="s">
        <v>159</v>
      </c>
      <c r="L94" s="343"/>
      <c r="M94" s="343"/>
      <c r="N94" s="343"/>
      <c r="O94" s="344"/>
      <c r="P94" s="340" t="s">
        <v>25</v>
      </c>
      <c r="Q94" s="340"/>
      <c r="R94" s="348">
        <v>2</v>
      </c>
      <c r="S94" s="348"/>
      <c r="T94" s="348"/>
      <c r="U94" s="348"/>
      <c r="V94" s="382">
        <f>0.3*0.3*0.014*7.85</f>
        <v>9.8910000000000005E-3</v>
      </c>
      <c r="W94" s="382"/>
      <c r="X94" s="382"/>
      <c r="Y94" s="382"/>
      <c r="Z94" s="6"/>
      <c r="AA94" s="18"/>
      <c r="AB94" s="18"/>
      <c r="AC94" s="18"/>
      <c r="AD94" s="39"/>
      <c r="AG94" s="352">
        <f>V94*AA91</f>
        <v>7.9128000000000004E-2</v>
      </c>
      <c r="AH94" s="352"/>
      <c r="AI94" s="352"/>
    </row>
    <row r="95" spans="1:35" s="1" customFormat="1" ht="12.95" customHeight="1">
      <c r="A95" s="11"/>
      <c r="B95" s="8"/>
      <c r="C95" s="8"/>
      <c r="D95" s="8"/>
      <c r="E95" s="9"/>
      <c r="G95" s="341" t="s">
        <v>157</v>
      </c>
      <c r="H95" s="341"/>
      <c r="I95" s="341"/>
      <c r="J95" s="341"/>
      <c r="K95" s="342" t="s">
        <v>318</v>
      </c>
      <c r="L95" s="343"/>
      <c r="M95" s="343"/>
      <c r="N95" s="343"/>
      <c r="O95" s="344"/>
      <c r="P95" s="358" t="s">
        <v>119</v>
      </c>
      <c r="Q95" s="360"/>
      <c r="R95" s="358">
        <f>1.43</f>
        <v>1.43</v>
      </c>
      <c r="S95" s="359"/>
      <c r="T95" s="359"/>
      <c r="U95" s="360"/>
      <c r="V95" s="340"/>
      <c r="W95" s="340"/>
      <c r="X95" s="340"/>
      <c r="Y95" s="340"/>
      <c r="Z95" s="6"/>
      <c r="AA95" s="18"/>
      <c r="AB95" s="18"/>
      <c r="AC95" s="18"/>
      <c r="AD95" s="39"/>
    </row>
    <row r="96" spans="1:35" s="1" customFormat="1" ht="12.95" customHeight="1">
      <c r="A96" s="11"/>
      <c r="B96" s="8"/>
      <c r="C96" s="8"/>
      <c r="D96" s="8"/>
      <c r="E96" s="9"/>
      <c r="G96" s="341" t="s">
        <v>52</v>
      </c>
      <c r="H96" s="341"/>
      <c r="I96" s="341"/>
      <c r="J96" s="341"/>
      <c r="K96" s="342" t="s">
        <v>53</v>
      </c>
      <c r="L96" s="343"/>
      <c r="M96" s="343"/>
      <c r="N96" s="343"/>
      <c r="O96" s="344"/>
      <c r="P96" s="340" t="s">
        <v>25</v>
      </c>
      <c r="Q96" s="340"/>
      <c r="R96" s="348">
        <v>4</v>
      </c>
      <c r="S96" s="348"/>
      <c r="T96" s="348"/>
      <c r="U96" s="348"/>
      <c r="V96" s="340"/>
      <c r="W96" s="340"/>
      <c r="X96" s="340"/>
      <c r="Y96" s="340"/>
      <c r="Z96" s="6"/>
      <c r="AA96" s="18"/>
      <c r="AB96" s="18"/>
      <c r="AC96" s="18"/>
      <c r="AD96" s="39"/>
    </row>
    <row r="97" spans="1:35" s="1" customFormat="1" ht="12.95" customHeight="1">
      <c r="A97" s="11"/>
      <c r="B97" s="8"/>
      <c r="C97" s="8"/>
      <c r="D97" s="8"/>
      <c r="E97" s="9"/>
      <c r="G97" s="447" t="s">
        <v>48</v>
      </c>
      <c r="H97" s="447"/>
      <c r="I97" s="447"/>
      <c r="J97" s="447"/>
      <c r="K97" s="342" t="s">
        <v>73</v>
      </c>
      <c r="L97" s="343"/>
      <c r="M97" s="343"/>
      <c r="N97" s="343"/>
      <c r="O97" s="344"/>
      <c r="P97" s="340" t="s">
        <v>25</v>
      </c>
      <c r="Q97" s="340"/>
      <c r="R97" s="348">
        <v>4</v>
      </c>
      <c r="S97" s="348"/>
      <c r="T97" s="348"/>
      <c r="U97" s="348"/>
      <c r="V97" s="340"/>
      <c r="W97" s="340"/>
      <c r="X97" s="340"/>
      <c r="Y97" s="340"/>
      <c r="Z97" s="6"/>
      <c r="AA97" s="18"/>
      <c r="AB97" s="18"/>
      <c r="AC97" s="18"/>
      <c r="AD97" s="39"/>
    </row>
    <row r="98" spans="1:35" s="1" customFormat="1" ht="12.95" customHeight="1">
      <c r="A98" s="11"/>
      <c r="B98" s="8"/>
      <c r="C98" s="8"/>
      <c r="D98" s="8"/>
      <c r="E98" s="9"/>
      <c r="G98" s="447"/>
      <c r="H98" s="447"/>
      <c r="I98" s="447"/>
      <c r="J98" s="447"/>
      <c r="K98" s="342" t="s">
        <v>62</v>
      </c>
      <c r="L98" s="343"/>
      <c r="M98" s="343"/>
      <c r="N98" s="343"/>
      <c r="O98" s="344"/>
      <c r="P98" s="340" t="s">
        <v>25</v>
      </c>
      <c r="Q98" s="340"/>
      <c r="R98" s="355">
        <v>4</v>
      </c>
      <c r="S98" s="356"/>
      <c r="T98" s="356"/>
      <c r="U98" s="357"/>
      <c r="V98" s="340"/>
      <c r="W98" s="340"/>
      <c r="X98" s="340"/>
      <c r="Y98" s="340"/>
      <c r="Z98" s="6"/>
      <c r="AA98" s="18"/>
      <c r="AB98" s="18"/>
      <c r="AC98" s="18"/>
      <c r="AD98" s="39"/>
    </row>
    <row r="99" spans="1:35" s="192" customFormat="1" ht="12.95" customHeight="1">
      <c r="A99" s="194"/>
      <c r="B99" s="195"/>
      <c r="C99" s="195"/>
      <c r="D99" s="195"/>
      <c r="E99" s="259"/>
      <c r="F99" s="260"/>
      <c r="G99" s="341" t="s">
        <v>50</v>
      </c>
      <c r="H99" s="341"/>
      <c r="I99" s="341"/>
      <c r="J99" s="341"/>
      <c r="K99" s="342" t="s">
        <v>75</v>
      </c>
      <c r="L99" s="343"/>
      <c r="M99" s="343"/>
      <c r="N99" s="343"/>
      <c r="O99" s="344"/>
      <c r="P99" s="358" t="s">
        <v>14</v>
      </c>
      <c r="Q99" s="360"/>
      <c r="R99" s="340">
        <v>3.36</v>
      </c>
      <c r="S99" s="340"/>
      <c r="T99" s="340"/>
      <c r="U99" s="340"/>
      <c r="V99" s="340"/>
      <c r="W99" s="340"/>
      <c r="X99" s="340"/>
      <c r="Y99" s="340"/>
      <c r="Z99" s="193"/>
      <c r="AA99" s="196"/>
      <c r="AB99" s="196"/>
      <c r="AC99" s="196"/>
      <c r="AD99" s="191"/>
    </row>
    <row r="100" spans="1:35" s="1" customFormat="1" ht="12.95" customHeight="1">
      <c r="A100" s="26"/>
      <c r="B100" s="21"/>
      <c r="C100" s="21"/>
      <c r="D100" s="21"/>
      <c r="E100" s="21"/>
      <c r="F100" s="10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30"/>
      <c r="X100" s="30"/>
      <c r="Y100" s="21"/>
      <c r="Z100" s="27"/>
      <c r="AA100" s="21"/>
      <c r="AB100" s="21"/>
      <c r="AC100" s="21"/>
      <c r="AD100" s="27"/>
    </row>
    <row r="101" spans="1:35" s="1" customFormat="1" ht="12.95" customHeight="1">
      <c r="A101" s="2"/>
      <c r="B101" s="3"/>
      <c r="C101" s="3"/>
      <c r="D101" s="3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0"/>
      <c r="X101" s="10"/>
      <c r="Z101" s="6"/>
      <c r="AD101" s="6"/>
    </row>
    <row r="102" spans="1:35" s="1" customFormat="1" ht="12.95" customHeight="1">
      <c r="A102" s="383" t="s">
        <v>284</v>
      </c>
      <c r="B102" s="349"/>
      <c r="C102" s="349"/>
      <c r="D102" s="349"/>
      <c r="E102" s="332"/>
      <c r="F102" s="7"/>
      <c r="G102" s="33" t="s">
        <v>184</v>
      </c>
      <c r="H102" s="34"/>
      <c r="I102" s="34"/>
      <c r="N102" s="7"/>
      <c r="O102" s="7"/>
      <c r="P102" s="7"/>
      <c r="Q102" s="7"/>
      <c r="R102" s="7"/>
      <c r="S102" s="7"/>
      <c r="T102" s="7"/>
      <c r="U102" s="7"/>
      <c r="V102" s="7"/>
      <c r="W102" s="10"/>
      <c r="X102" s="10"/>
      <c r="Z102" s="6"/>
      <c r="AA102" s="10"/>
      <c r="AB102" s="10"/>
      <c r="AC102" s="376" t="s">
        <v>107</v>
      </c>
      <c r="AD102" s="377"/>
    </row>
    <row r="103" spans="1:35" s="1" customFormat="1" ht="12.95" customHeight="1">
      <c r="A103" s="330"/>
      <c r="B103" s="349"/>
      <c r="C103" s="349"/>
      <c r="D103" s="349"/>
      <c r="E103" s="332"/>
      <c r="F103" s="7"/>
      <c r="G103" s="7"/>
      <c r="H103" s="7"/>
      <c r="I103" s="7"/>
      <c r="J103" s="7"/>
      <c r="K103" s="7"/>
      <c r="L103" s="7" t="s">
        <v>15</v>
      </c>
      <c r="M103" s="36">
        <v>12</v>
      </c>
      <c r="N103" s="380" t="s">
        <v>107</v>
      </c>
      <c r="O103" s="380"/>
      <c r="P103" s="7"/>
      <c r="Q103" s="7"/>
      <c r="R103" s="7"/>
      <c r="S103" s="7"/>
      <c r="T103" s="7"/>
      <c r="U103" s="7"/>
      <c r="V103" s="7"/>
      <c r="W103" s="10"/>
      <c r="X103" s="10"/>
      <c r="Z103" s="6"/>
      <c r="AA103" s="339">
        <f>M103</f>
        <v>12</v>
      </c>
      <c r="AB103" s="339"/>
      <c r="AC103" s="339"/>
      <c r="AD103" s="39"/>
    </row>
    <row r="104" spans="1:35" s="1" customFormat="1" ht="12.95" customHeight="1">
      <c r="A104" s="11"/>
      <c r="B104" s="8"/>
      <c r="C104" s="8"/>
      <c r="D104" s="8"/>
      <c r="E104" s="9"/>
      <c r="F104" s="7"/>
      <c r="G104" s="35"/>
      <c r="H104" s="50"/>
      <c r="I104" s="50"/>
      <c r="J104" s="38"/>
      <c r="K104" s="367" t="s">
        <v>39</v>
      </c>
      <c r="L104" s="367"/>
      <c r="M104" s="367"/>
      <c r="N104" s="367"/>
      <c r="O104" s="367"/>
      <c r="P104" s="367"/>
      <c r="Q104" s="367"/>
      <c r="R104" s="367"/>
      <c r="S104" s="80"/>
      <c r="T104" s="7"/>
      <c r="V104" s="40"/>
      <c r="X104" s="38"/>
      <c r="Y104" s="38" t="s">
        <v>40</v>
      </c>
      <c r="Z104" s="39"/>
      <c r="AA104" s="18"/>
      <c r="AB104" s="18"/>
      <c r="AC104" s="18"/>
      <c r="AD104" s="39"/>
    </row>
    <row r="105" spans="1:35" s="1" customFormat="1" ht="12.95" customHeight="1">
      <c r="A105" s="11"/>
      <c r="B105" s="8"/>
      <c r="C105" s="8"/>
      <c r="D105" s="8"/>
      <c r="E105" s="9"/>
      <c r="G105" s="341" t="s">
        <v>41</v>
      </c>
      <c r="H105" s="341"/>
      <c r="I105" s="341"/>
      <c r="J105" s="341"/>
      <c r="K105" s="342" t="s">
        <v>42</v>
      </c>
      <c r="L105" s="343"/>
      <c r="M105" s="343"/>
      <c r="N105" s="343"/>
      <c r="O105" s="344"/>
      <c r="P105" s="340" t="s">
        <v>43</v>
      </c>
      <c r="Q105" s="340"/>
      <c r="R105" s="340" t="s">
        <v>45</v>
      </c>
      <c r="S105" s="340"/>
      <c r="T105" s="340"/>
      <c r="U105" s="340"/>
      <c r="V105" s="340" t="s">
        <v>20</v>
      </c>
      <c r="W105" s="340"/>
      <c r="X105" s="340"/>
      <c r="Y105" s="340"/>
      <c r="Z105" s="6"/>
      <c r="AA105" s="18"/>
      <c r="AB105" s="18"/>
      <c r="AC105" s="18"/>
      <c r="AD105" s="39"/>
    </row>
    <row r="106" spans="1:35" s="1" customFormat="1" ht="12.95" customHeight="1">
      <c r="A106" s="11"/>
      <c r="B106" s="8"/>
      <c r="C106" s="8"/>
      <c r="D106" s="8"/>
      <c r="E106" s="9"/>
      <c r="G106" s="390" t="s">
        <v>79</v>
      </c>
      <c r="H106" s="391"/>
      <c r="I106" s="391"/>
      <c r="J106" s="392"/>
      <c r="K106" s="342" t="s">
        <v>271</v>
      </c>
      <c r="L106" s="343"/>
      <c r="M106" s="343"/>
      <c r="N106" s="343"/>
      <c r="O106" s="344"/>
      <c r="P106" s="340" t="s">
        <v>25</v>
      </c>
      <c r="Q106" s="340"/>
      <c r="R106" s="348">
        <v>1</v>
      </c>
      <c r="S106" s="348"/>
      <c r="T106" s="348"/>
      <c r="U106" s="348"/>
      <c r="V106" s="382">
        <f>0.5*0.2*0.014*7.85</f>
        <v>1.0990000000000002E-2</v>
      </c>
      <c r="W106" s="382"/>
      <c r="X106" s="382"/>
      <c r="Y106" s="382"/>
      <c r="Z106" s="6"/>
      <c r="AA106" s="18"/>
      <c r="AB106" s="18"/>
      <c r="AC106" s="18"/>
      <c r="AD106" s="39"/>
      <c r="AG106" s="352">
        <f>V106*AA103</f>
        <v>0.13188000000000002</v>
      </c>
      <c r="AH106" s="352"/>
      <c r="AI106" s="352"/>
    </row>
    <row r="107" spans="1:35" s="1" customFormat="1" ht="12.95" customHeight="1">
      <c r="A107" s="11"/>
      <c r="B107" s="8"/>
      <c r="C107" s="8"/>
      <c r="D107" s="8"/>
      <c r="E107" s="9"/>
      <c r="G107" s="393"/>
      <c r="H107" s="386"/>
      <c r="I107" s="386"/>
      <c r="J107" s="387"/>
      <c r="K107" s="342" t="s">
        <v>272</v>
      </c>
      <c r="L107" s="343"/>
      <c r="M107" s="343"/>
      <c r="N107" s="343"/>
      <c r="O107" s="344"/>
      <c r="P107" s="340" t="s">
        <v>25</v>
      </c>
      <c r="Q107" s="340"/>
      <c r="R107" s="348">
        <v>1</v>
      </c>
      <c r="S107" s="348"/>
      <c r="T107" s="348"/>
      <c r="U107" s="348"/>
      <c r="V107" s="382">
        <f>0.62*0.25*0.014*7.85</f>
        <v>1.7034500000000001E-2</v>
      </c>
      <c r="W107" s="382"/>
      <c r="X107" s="382"/>
      <c r="Y107" s="382"/>
      <c r="Z107" s="6"/>
      <c r="AA107" s="18"/>
      <c r="AB107" s="18"/>
      <c r="AC107" s="18"/>
      <c r="AD107" s="39"/>
      <c r="AG107" s="352">
        <f>V107*AA103</f>
        <v>0.20441400000000001</v>
      </c>
      <c r="AH107" s="352"/>
      <c r="AI107" s="352"/>
    </row>
    <row r="108" spans="1:35" s="1" customFormat="1" ht="12.95" customHeight="1">
      <c r="A108" s="11"/>
      <c r="B108" s="8"/>
      <c r="C108" s="8"/>
      <c r="D108" s="8"/>
      <c r="E108" s="9"/>
      <c r="G108" s="341" t="s">
        <v>157</v>
      </c>
      <c r="H108" s="341"/>
      <c r="I108" s="341"/>
      <c r="J108" s="341"/>
      <c r="K108" s="342"/>
      <c r="L108" s="343"/>
      <c r="M108" s="343"/>
      <c r="N108" s="343"/>
      <c r="O108" s="344"/>
      <c r="P108" s="358" t="s">
        <v>119</v>
      </c>
      <c r="Q108" s="360"/>
      <c r="R108" s="358">
        <v>1.57</v>
      </c>
      <c r="S108" s="359"/>
      <c r="T108" s="359"/>
      <c r="U108" s="360"/>
      <c r="V108" s="340"/>
      <c r="W108" s="340"/>
      <c r="X108" s="340"/>
      <c r="Y108" s="340"/>
      <c r="Z108" s="6"/>
      <c r="AA108" s="18"/>
      <c r="AB108" s="18"/>
      <c r="AC108" s="18"/>
      <c r="AD108" s="39"/>
    </row>
    <row r="109" spans="1:35" s="1" customFormat="1" ht="12.95" customHeight="1">
      <c r="A109" s="11"/>
      <c r="B109" s="8"/>
      <c r="C109" s="8"/>
      <c r="D109" s="8"/>
      <c r="E109" s="9"/>
      <c r="G109" s="341" t="s">
        <v>50</v>
      </c>
      <c r="H109" s="341"/>
      <c r="I109" s="341"/>
      <c r="J109" s="341"/>
      <c r="K109" s="342" t="s">
        <v>75</v>
      </c>
      <c r="L109" s="343"/>
      <c r="M109" s="343"/>
      <c r="N109" s="343"/>
      <c r="O109" s="344"/>
      <c r="P109" s="358" t="s">
        <v>14</v>
      </c>
      <c r="Q109" s="360"/>
      <c r="R109" s="340">
        <v>3.14</v>
      </c>
      <c r="S109" s="340"/>
      <c r="T109" s="340"/>
      <c r="U109" s="340"/>
      <c r="V109" s="340"/>
      <c r="W109" s="340"/>
      <c r="X109" s="340"/>
      <c r="Y109" s="340"/>
      <c r="Z109" s="6"/>
      <c r="AA109" s="18"/>
      <c r="AB109" s="18"/>
      <c r="AC109" s="18"/>
      <c r="AD109" s="39"/>
    </row>
    <row r="110" spans="1:35" s="1" customFormat="1" ht="12.95" customHeight="1">
      <c r="A110" s="26"/>
      <c r="B110" s="21"/>
      <c r="C110" s="21"/>
      <c r="D110" s="21"/>
      <c r="E110" s="21"/>
      <c r="F110" s="10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30"/>
      <c r="X110" s="30"/>
      <c r="Y110" s="21"/>
      <c r="Z110" s="27"/>
      <c r="AA110" s="21"/>
      <c r="AB110" s="21"/>
      <c r="AC110" s="21"/>
      <c r="AD110" s="27"/>
    </row>
    <row r="111" spans="1:35" s="1" customFormat="1" ht="12.95" customHeight="1">
      <c r="A111" s="5"/>
      <c r="F111" s="8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0"/>
      <c r="X111" s="10"/>
      <c r="Z111" s="6"/>
      <c r="AD111" s="6"/>
    </row>
    <row r="112" spans="1:35" ht="12.95" customHeight="1">
      <c r="A112" s="66"/>
      <c r="F112" s="84"/>
      <c r="G112" s="441" t="s">
        <v>36</v>
      </c>
      <c r="H112" s="441"/>
      <c r="I112" s="441"/>
      <c r="J112" s="441"/>
      <c r="K112" s="441"/>
      <c r="L112" s="7"/>
      <c r="M112" s="7"/>
      <c r="N112" s="7"/>
      <c r="O112" s="37"/>
      <c r="P112" s="10"/>
      <c r="Q112" s="37"/>
      <c r="R112" s="37"/>
      <c r="S112" s="37"/>
      <c r="T112" s="7"/>
      <c r="U112" s="1"/>
      <c r="V112" s="7"/>
      <c r="Z112" s="39"/>
      <c r="AA112" s="10"/>
      <c r="AB112" s="10"/>
      <c r="AC112" s="37"/>
      <c r="AD112" s="6"/>
    </row>
    <row r="113" spans="1:37" ht="12.95" customHeight="1">
      <c r="A113" s="383" t="s">
        <v>285</v>
      </c>
      <c r="B113" s="385"/>
      <c r="C113" s="385"/>
      <c r="D113" s="385"/>
      <c r="E113" s="385"/>
      <c r="F113" s="84"/>
      <c r="G113" s="35"/>
      <c r="Z113" s="39"/>
      <c r="AA113" s="1"/>
      <c r="AB113" s="1"/>
      <c r="AC113" s="1"/>
      <c r="AD113" s="6"/>
      <c r="AI113" s="354"/>
      <c r="AJ113" s="354"/>
      <c r="AK113" s="354"/>
    </row>
    <row r="114" spans="1:37" ht="12.95" customHeight="1">
      <c r="A114" s="383"/>
      <c r="B114" s="385"/>
      <c r="C114" s="385"/>
      <c r="D114" s="385"/>
      <c r="E114" s="385"/>
      <c r="F114" s="84"/>
      <c r="G114" s="35"/>
      <c r="H114" s="444">
        <v>0.63600000000000001</v>
      </c>
      <c r="I114" s="444"/>
      <c r="J114" s="444"/>
      <c r="K114" s="50" t="s">
        <v>8</v>
      </c>
      <c r="L114" s="445">
        <v>76</v>
      </c>
      <c r="M114" s="445"/>
      <c r="N114" s="50" t="s">
        <v>25</v>
      </c>
      <c r="T114" s="50"/>
      <c r="U114" s="50"/>
      <c r="V114" s="50"/>
      <c r="W114" s="38" t="s">
        <v>35</v>
      </c>
      <c r="X114" s="376">
        <f>ROUND(H114*L114,3)</f>
        <v>48.335999999999999</v>
      </c>
      <c r="Y114" s="376"/>
      <c r="Z114" s="377"/>
      <c r="AA114" s="10"/>
      <c r="AB114" s="10"/>
      <c r="AC114" s="37"/>
      <c r="AD114" s="6"/>
      <c r="AI114" s="50"/>
      <c r="AJ114" s="50"/>
      <c r="AK114" s="43"/>
    </row>
    <row r="115" spans="1:37" ht="12.95" customHeight="1">
      <c r="A115" s="351" t="s">
        <v>37</v>
      </c>
      <c r="B115" s="352"/>
      <c r="C115" s="352"/>
      <c r="D115" s="352"/>
      <c r="E115" s="352"/>
      <c r="F115" s="84"/>
      <c r="G115" s="35"/>
      <c r="H115" s="50"/>
      <c r="I115" s="50"/>
      <c r="J115" s="50"/>
      <c r="K115" s="50"/>
      <c r="L115" s="68"/>
      <c r="M115" s="68"/>
      <c r="N115" s="50"/>
      <c r="T115" s="50"/>
      <c r="U115" s="50"/>
      <c r="V115" s="50"/>
      <c r="Z115" s="39"/>
      <c r="AA115" s="10"/>
      <c r="AB115" s="10"/>
      <c r="AC115" s="37"/>
      <c r="AD115" s="6"/>
      <c r="AI115" s="50"/>
      <c r="AJ115" s="50"/>
      <c r="AK115" s="43"/>
    </row>
    <row r="116" spans="1:37" ht="12.95" customHeight="1">
      <c r="A116" s="66"/>
      <c r="F116" s="84"/>
      <c r="G116" s="35"/>
      <c r="H116" s="444">
        <v>0.45</v>
      </c>
      <c r="I116" s="444"/>
      <c r="J116" s="444"/>
      <c r="K116" s="50" t="s">
        <v>8</v>
      </c>
      <c r="L116" s="446">
        <f>L114*2</f>
        <v>152</v>
      </c>
      <c r="M116" s="446"/>
      <c r="N116" s="50" t="s">
        <v>25</v>
      </c>
      <c r="T116" s="50"/>
      <c r="U116" s="50"/>
      <c r="V116" s="57"/>
      <c r="W116" s="32" t="s">
        <v>35</v>
      </c>
      <c r="X116" s="386">
        <f>ROUND(H116*L116,3)</f>
        <v>68.400000000000006</v>
      </c>
      <c r="Y116" s="386"/>
      <c r="Z116" s="387"/>
      <c r="AA116" s="10"/>
      <c r="AB116" s="10"/>
      <c r="AC116" s="388" t="s">
        <v>25</v>
      </c>
      <c r="AD116" s="389"/>
      <c r="AI116" s="354"/>
      <c r="AJ116" s="354"/>
      <c r="AK116" s="354"/>
    </row>
    <row r="117" spans="1:37" ht="12.95" customHeight="1">
      <c r="A117" s="5"/>
      <c r="B117" s="1"/>
      <c r="C117" s="1"/>
      <c r="D117" s="1"/>
      <c r="E117" s="1"/>
      <c r="F117" s="84"/>
      <c r="G117" s="35"/>
      <c r="H117" s="7"/>
      <c r="I117" s="7"/>
      <c r="J117" s="1"/>
      <c r="K117" s="37"/>
      <c r="L117" s="7"/>
      <c r="M117" s="7"/>
      <c r="N117" s="7"/>
      <c r="O117" s="37"/>
      <c r="P117" s="10"/>
      <c r="Q117" s="37"/>
      <c r="R117" s="37"/>
      <c r="S117" s="37"/>
      <c r="T117" s="7"/>
      <c r="U117" s="1"/>
      <c r="V117" s="40" t="s">
        <v>38</v>
      </c>
      <c r="X117" s="376">
        <f>SUM(X114:Z116)</f>
        <v>116.736</v>
      </c>
      <c r="Y117" s="376"/>
      <c r="Z117" s="377"/>
      <c r="AA117" s="339">
        <f>L114</f>
        <v>76</v>
      </c>
      <c r="AB117" s="339"/>
      <c r="AC117" s="339"/>
      <c r="AD117" s="39"/>
    </row>
    <row r="118" spans="1:37" ht="12.95" customHeight="1">
      <c r="A118" s="5"/>
      <c r="B118" s="1"/>
      <c r="C118" s="1"/>
      <c r="D118" s="1"/>
      <c r="E118" s="1"/>
      <c r="F118" s="84"/>
      <c r="G118" s="35"/>
      <c r="H118" s="7"/>
      <c r="I118" s="7"/>
      <c r="J118" s="1"/>
      <c r="K118" s="37"/>
      <c r="L118" s="7"/>
      <c r="M118" s="379" t="s">
        <v>11</v>
      </c>
      <c r="N118" s="379"/>
      <c r="O118" s="379"/>
      <c r="P118" s="10"/>
      <c r="V118" s="40"/>
      <c r="Z118" s="39"/>
      <c r="AA118" s="10"/>
      <c r="AB118" s="10"/>
      <c r="AC118" s="388" t="s">
        <v>10</v>
      </c>
      <c r="AD118" s="389"/>
    </row>
    <row r="119" spans="1:37" ht="12.95" customHeight="1">
      <c r="A119" s="5"/>
      <c r="B119" s="1"/>
      <c r="C119" s="1"/>
      <c r="D119" s="1"/>
      <c r="E119" s="1"/>
      <c r="F119" s="84"/>
      <c r="G119" s="35"/>
      <c r="H119" s="444">
        <f>X117</f>
        <v>116.736</v>
      </c>
      <c r="I119" s="444"/>
      <c r="J119" s="444"/>
      <c r="K119" s="50" t="s">
        <v>8</v>
      </c>
      <c r="L119" s="373">
        <v>1.3299999999999999E-2</v>
      </c>
      <c r="M119" s="373"/>
      <c r="N119" s="373"/>
      <c r="O119" s="37"/>
      <c r="P119" s="10"/>
      <c r="Q119" s="37"/>
      <c r="R119" s="37"/>
      <c r="S119" s="37"/>
      <c r="T119" s="7"/>
      <c r="U119" s="1"/>
      <c r="V119" s="40"/>
      <c r="W119" s="38" t="s">
        <v>35</v>
      </c>
      <c r="X119" s="376">
        <f>ROUND(H119*L119,3)</f>
        <v>1.5529999999999999</v>
      </c>
      <c r="Y119" s="376"/>
      <c r="Z119" s="377"/>
      <c r="AA119" s="375">
        <f>X119</f>
        <v>1.5529999999999999</v>
      </c>
      <c r="AB119" s="375"/>
      <c r="AC119" s="375"/>
      <c r="AD119" s="39"/>
    </row>
    <row r="120" spans="1:37" s="1" customFormat="1" ht="12.95" customHeight="1">
      <c r="A120" s="5"/>
      <c r="B120" s="8"/>
      <c r="C120" s="8"/>
      <c r="D120" s="8"/>
      <c r="E120" s="8"/>
      <c r="F120" s="84"/>
      <c r="G120" s="35"/>
      <c r="H120" s="50"/>
      <c r="I120" s="50"/>
      <c r="J120" s="38"/>
      <c r="K120" s="367" t="s">
        <v>39</v>
      </c>
      <c r="L120" s="367"/>
      <c r="M120" s="367"/>
      <c r="N120" s="367"/>
      <c r="O120" s="367"/>
      <c r="P120" s="367"/>
      <c r="Q120" s="367"/>
      <c r="R120" s="367"/>
      <c r="S120" s="80"/>
      <c r="T120" s="7"/>
      <c r="V120" s="40"/>
      <c r="W120" s="38" t="s">
        <v>40</v>
      </c>
      <c r="X120" s="38"/>
      <c r="Y120" s="38"/>
      <c r="Z120" s="39"/>
      <c r="AC120" s="37"/>
      <c r="AD120" s="6"/>
    </row>
    <row r="121" spans="1:37" s="1" customFormat="1" ht="12.95" customHeight="1">
      <c r="A121" s="5"/>
      <c r="B121" s="8"/>
      <c r="C121" s="8"/>
      <c r="D121" s="8"/>
      <c r="E121" s="8"/>
      <c r="F121" s="341" t="s">
        <v>41</v>
      </c>
      <c r="G121" s="341"/>
      <c r="H121" s="341"/>
      <c r="I121" s="342" t="s">
        <v>42</v>
      </c>
      <c r="J121" s="343"/>
      <c r="K121" s="343"/>
      <c r="L121" s="343"/>
      <c r="M121" s="344"/>
      <c r="N121" s="340" t="s">
        <v>43</v>
      </c>
      <c r="O121" s="340"/>
      <c r="P121" s="342" t="s">
        <v>44</v>
      </c>
      <c r="Q121" s="343"/>
      <c r="R121" s="343"/>
      <c r="S121" s="344"/>
      <c r="T121" s="340" t="s">
        <v>45</v>
      </c>
      <c r="U121" s="340"/>
      <c r="V121" s="340"/>
      <c r="W121" s="340"/>
      <c r="X121" s="340" t="s">
        <v>20</v>
      </c>
      <c r="Y121" s="340"/>
      <c r="Z121" s="340"/>
      <c r="AD121" s="6"/>
    </row>
    <row r="122" spans="1:37" s="1" customFormat="1" ht="12.95" customHeight="1">
      <c r="A122" s="5"/>
      <c r="B122" s="8"/>
      <c r="C122" s="8"/>
      <c r="D122" s="8"/>
      <c r="E122" s="8"/>
      <c r="F122" s="390" t="s">
        <v>46</v>
      </c>
      <c r="G122" s="391"/>
      <c r="H122" s="392"/>
      <c r="I122" s="448" t="s">
        <v>47</v>
      </c>
      <c r="J122" s="449"/>
      <c r="K122" s="449"/>
      <c r="L122" s="449"/>
      <c r="M122" s="450"/>
      <c r="N122" s="340" t="s">
        <v>25</v>
      </c>
      <c r="O122" s="340"/>
      <c r="P122" s="345">
        <v>0.63600000000000001</v>
      </c>
      <c r="Q122" s="346"/>
      <c r="R122" s="346"/>
      <c r="S122" s="347"/>
      <c r="T122" s="348">
        <v>1</v>
      </c>
      <c r="U122" s="348"/>
      <c r="V122" s="348"/>
      <c r="W122" s="348"/>
      <c r="X122" s="340"/>
      <c r="Y122" s="340"/>
      <c r="Z122" s="340"/>
      <c r="AD122" s="6"/>
    </row>
    <row r="123" spans="1:37" s="1" customFormat="1" ht="12.95" customHeight="1">
      <c r="A123" s="5"/>
      <c r="B123" s="8"/>
      <c r="C123" s="8"/>
      <c r="D123" s="8"/>
      <c r="E123" s="8"/>
      <c r="F123" s="393"/>
      <c r="G123" s="386"/>
      <c r="H123" s="387"/>
      <c r="I123" s="451"/>
      <c r="J123" s="452"/>
      <c r="K123" s="452"/>
      <c r="L123" s="452"/>
      <c r="M123" s="453"/>
      <c r="N123" s="340" t="s">
        <v>25</v>
      </c>
      <c r="O123" s="340"/>
      <c r="P123" s="345">
        <v>0.45</v>
      </c>
      <c r="Q123" s="346"/>
      <c r="R123" s="346"/>
      <c r="S123" s="347"/>
      <c r="T123" s="348">
        <v>2</v>
      </c>
      <c r="U123" s="348"/>
      <c r="V123" s="348"/>
      <c r="W123" s="348"/>
      <c r="X123" s="340"/>
      <c r="Y123" s="340"/>
      <c r="Z123" s="340"/>
      <c r="AD123" s="6"/>
    </row>
    <row r="124" spans="1:37" s="1" customFormat="1" ht="12.95" customHeight="1">
      <c r="A124" s="5"/>
      <c r="B124" s="8"/>
      <c r="C124" s="8"/>
      <c r="D124" s="8"/>
      <c r="E124" s="8"/>
      <c r="F124" s="345" t="s">
        <v>52</v>
      </c>
      <c r="G124" s="346"/>
      <c r="H124" s="347"/>
      <c r="I124" s="342" t="s">
        <v>53</v>
      </c>
      <c r="J124" s="343"/>
      <c r="K124" s="343"/>
      <c r="L124" s="343"/>
      <c r="M124" s="344"/>
      <c r="N124" s="340" t="s">
        <v>25</v>
      </c>
      <c r="O124" s="340"/>
      <c r="P124" s="345"/>
      <c r="Q124" s="346"/>
      <c r="R124" s="346"/>
      <c r="S124" s="347"/>
      <c r="T124" s="355">
        <v>3</v>
      </c>
      <c r="U124" s="356"/>
      <c r="V124" s="356"/>
      <c r="W124" s="357"/>
      <c r="X124" s="358"/>
      <c r="Y124" s="359"/>
      <c r="Z124" s="360"/>
      <c r="AD124" s="6"/>
    </row>
    <row r="125" spans="1:37" s="1" customFormat="1" ht="12.95" customHeight="1">
      <c r="A125" s="5"/>
      <c r="B125" s="8"/>
      <c r="C125" s="8"/>
      <c r="D125" s="8"/>
      <c r="E125" s="8"/>
      <c r="F125" s="447" t="s">
        <v>48</v>
      </c>
      <c r="G125" s="447"/>
      <c r="H125" s="447"/>
      <c r="I125" s="342" t="s">
        <v>49</v>
      </c>
      <c r="J125" s="343"/>
      <c r="K125" s="343"/>
      <c r="L125" s="343"/>
      <c r="M125" s="344"/>
      <c r="N125" s="340" t="s">
        <v>25</v>
      </c>
      <c r="O125" s="340"/>
      <c r="P125" s="342"/>
      <c r="Q125" s="343"/>
      <c r="R125" s="343"/>
      <c r="S125" s="344"/>
      <c r="T125" s="348">
        <v>6</v>
      </c>
      <c r="U125" s="348"/>
      <c r="V125" s="348"/>
      <c r="W125" s="348"/>
      <c r="X125" s="340"/>
      <c r="Y125" s="340"/>
      <c r="Z125" s="340"/>
      <c r="AD125" s="6"/>
    </row>
    <row r="126" spans="1:37" s="1" customFormat="1" ht="12.95" customHeight="1">
      <c r="A126" s="5"/>
      <c r="B126" s="8"/>
      <c r="C126" s="8"/>
      <c r="D126" s="8"/>
      <c r="E126" s="8"/>
      <c r="F126" s="78"/>
      <c r="G126" s="60"/>
      <c r="H126" s="60"/>
      <c r="I126" s="74"/>
      <c r="J126" s="74"/>
      <c r="K126" s="74"/>
      <c r="L126" s="74"/>
      <c r="M126" s="74"/>
      <c r="N126" s="3"/>
      <c r="O126" s="3"/>
      <c r="P126" s="74"/>
      <c r="Q126" s="74"/>
      <c r="R126" s="74"/>
      <c r="S126" s="74"/>
      <c r="T126" s="3"/>
      <c r="U126" s="3"/>
      <c r="V126" s="3"/>
      <c r="W126" s="3"/>
      <c r="X126" s="3"/>
      <c r="Y126" s="3"/>
      <c r="Z126" s="4"/>
      <c r="AD126" s="6"/>
    </row>
    <row r="127" spans="1:37" s="1" customFormat="1" ht="12.95" customHeight="1">
      <c r="A127" s="26"/>
      <c r="B127" s="21"/>
      <c r="C127" s="21"/>
      <c r="D127" s="21"/>
      <c r="E127" s="21"/>
      <c r="F127" s="10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30"/>
      <c r="X127" s="30"/>
      <c r="Y127" s="21"/>
      <c r="Z127" s="27"/>
      <c r="AA127" s="21"/>
      <c r="AB127" s="21"/>
      <c r="AC127" s="21"/>
      <c r="AD127" s="27"/>
    </row>
    <row r="128" spans="1:37" s="1" customFormat="1" ht="12.95" customHeight="1">
      <c r="A128" s="5"/>
      <c r="F128" s="8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0"/>
      <c r="X128" s="10"/>
      <c r="Z128" s="6"/>
      <c r="AD128" s="6"/>
    </row>
    <row r="129" spans="1:35" s="1" customFormat="1" ht="12.95" customHeight="1">
      <c r="A129" s="418" t="s">
        <v>286</v>
      </c>
      <c r="B129" s="456"/>
      <c r="C129" s="456"/>
      <c r="D129" s="456"/>
      <c r="E129" s="457"/>
      <c r="F129" s="79"/>
      <c r="G129" s="441" t="s">
        <v>63</v>
      </c>
      <c r="H129" s="441"/>
      <c r="I129" s="441"/>
      <c r="J129" s="441"/>
      <c r="K129" s="441"/>
      <c r="L129" s="441"/>
      <c r="M129" s="441"/>
      <c r="Z129" s="6"/>
      <c r="AC129" s="37"/>
      <c r="AD129" s="6"/>
    </row>
    <row r="130" spans="1:35" s="1" customFormat="1" ht="12.95" customHeight="1">
      <c r="A130" s="369" t="s">
        <v>287</v>
      </c>
      <c r="B130" s="370"/>
      <c r="C130" s="370"/>
      <c r="D130" s="370"/>
      <c r="E130" s="371"/>
      <c r="F130" s="79"/>
      <c r="G130" s="50"/>
      <c r="H130" s="50"/>
      <c r="I130" s="80"/>
      <c r="J130" s="80"/>
      <c r="K130" s="80"/>
      <c r="L130" s="80"/>
      <c r="M130" s="80"/>
      <c r="N130" s="454">
        <f>4*2</f>
        <v>8</v>
      </c>
      <c r="O130" s="454"/>
      <c r="P130" s="1" t="s">
        <v>9</v>
      </c>
      <c r="Z130" s="6"/>
      <c r="AC130" s="37"/>
      <c r="AD130" s="6" t="s">
        <v>9</v>
      </c>
    </row>
    <row r="131" spans="1:35" s="1" customFormat="1" ht="12.95" customHeight="1">
      <c r="A131" s="455" t="s">
        <v>273</v>
      </c>
      <c r="B131" s="438"/>
      <c r="C131" s="438"/>
      <c r="D131" s="438"/>
      <c r="E131" s="438"/>
      <c r="F131" s="84"/>
      <c r="G131" s="35"/>
      <c r="H131" s="50"/>
      <c r="I131" s="50"/>
      <c r="J131" s="38"/>
      <c r="K131" s="367" t="s">
        <v>39</v>
      </c>
      <c r="L131" s="367"/>
      <c r="M131" s="367"/>
      <c r="N131" s="367"/>
      <c r="O131" s="367"/>
      <c r="P131" s="367"/>
      <c r="Q131" s="367"/>
      <c r="R131" s="367"/>
      <c r="S131" s="80"/>
      <c r="T131" s="7"/>
      <c r="V131" s="40"/>
      <c r="X131" s="38"/>
      <c r="Y131" s="38" t="s">
        <v>40</v>
      </c>
      <c r="Z131" s="39"/>
      <c r="AA131" s="339">
        <f>N130</f>
        <v>8</v>
      </c>
      <c r="AB131" s="339"/>
      <c r="AC131" s="339"/>
      <c r="AD131" s="6"/>
    </row>
    <row r="132" spans="1:35" s="1" customFormat="1" ht="12.95" customHeight="1">
      <c r="A132" s="5"/>
      <c r="F132" s="341" t="s">
        <v>41</v>
      </c>
      <c r="G132" s="341"/>
      <c r="H132" s="341"/>
      <c r="I132" s="342" t="s">
        <v>42</v>
      </c>
      <c r="J132" s="343"/>
      <c r="K132" s="343"/>
      <c r="L132" s="343"/>
      <c r="M132" s="344"/>
      <c r="N132" s="340" t="s">
        <v>43</v>
      </c>
      <c r="O132" s="340"/>
      <c r="P132" s="458" t="s">
        <v>44</v>
      </c>
      <c r="Q132" s="458"/>
      <c r="R132" s="458"/>
      <c r="S132" s="73"/>
      <c r="T132" s="340" t="s">
        <v>64</v>
      </c>
      <c r="U132" s="340"/>
      <c r="V132" s="340"/>
      <c r="W132" s="340"/>
      <c r="X132" s="340" t="s">
        <v>65</v>
      </c>
      <c r="Y132" s="340"/>
      <c r="Z132" s="340"/>
      <c r="AC132" s="37"/>
      <c r="AD132" s="6"/>
    </row>
    <row r="133" spans="1:35" s="1" customFormat="1" ht="12.95" customHeight="1">
      <c r="A133" s="5"/>
      <c r="B133" s="8"/>
      <c r="C133" s="8"/>
      <c r="D133" s="8"/>
      <c r="E133" s="8"/>
      <c r="F133" s="341" t="s">
        <v>66</v>
      </c>
      <c r="G133" s="341"/>
      <c r="H133" s="341"/>
      <c r="I133" s="342" t="s">
        <v>67</v>
      </c>
      <c r="J133" s="343"/>
      <c r="K133" s="343"/>
      <c r="L133" s="343"/>
      <c r="M133" s="344"/>
      <c r="N133" s="340" t="s">
        <v>25</v>
      </c>
      <c r="O133" s="340"/>
      <c r="P133" s="461">
        <v>4.4000000000000004</v>
      </c>
      <c r="Q133" s="461"/>
      <c r="R133" s="461"/>
      <c r="S133" s="71"/>
      <c r="T133" s="348">
        <v>1</v>
      </c>
      <c r="U133" s="348"/>
      <c r="V133" s="348"/>
      <c r="W133" s="348"/>
      <c r="X133" s="358">
        <f>(P133*T133*0.094)</f>
        <v>0.41360000000000002</v>
      </c>
      <c r="Y133" s="359"/>
      <c r="Z133" s="360"/>
      <c r="AC133" s="37"/>
      <c r="AD133" s="6"/>
    </row>
    <row r="134" spans="1:35" s="1" customFormat="1" ht="12.95" customHeight="1">
      <c r="A134" s="5"/>
      <c r="B134" s="8"/>
      <c r="C134" s="8"/>
      <c r="D134" s="8"/>
      <c r="E134" s="8"/>
      <c r="F134" s="459" t="s">
        <v>68</v>
      </c>
      <c r="G134" s="391"/>
      <c r="H134" s="392"/>
      <c r="I134" s="342" t="s">
        <v>69</v>
      </c>
      <c r="J134" s="343"/>
      <c r="K134" s="343"/>
      <c r="L134" s="343"/>
      <c r="M134" s="344"/>
      <c r="N134" s="358" t="s">
        <v>25</v>
      </c>
      <c r="O134" s="360"/>
      <c r="P134" s="345"/>
      <c r="Q134" s="346"/>
      <c r="R134" s="347"/>
      <c r="S134" s="82"/>
      <c r="T134" s="355">
        <v>1</v>
      </c>
      <c r="U134" s="356"/>
      <c r="V134" s="356"/>
      <c r="W134" s="357"/>
      <c r="X134" s="462">
        <f>((0.424*0.3*0.014)*T134+(0.3*0.3*0.014)*T135+(0.245*0.145*0.014)*T136)*7.85</f>
        <v>3.9487069999999992E-2</v>
      </c>
      <c r="Y134" s="463"/>
      <c r="Z134" s="464"/>
      <c r="AC134" s="37"/>
      <c r="AD134" s="6"/>
      <c r="AG134" s="352">
        <f>X134*AA131</f>
        <v>0.31589655999999994</v>
      </c>
      <c r="AH134" s="352"/>
      <c r="AI134" s="352"/>
    </row>
    <row r="135" spans="1:35" s="1" customFormat="1" ht="12.95" customHeight="1">
      <c r="A135" s="5"/>
      <c r="B135" s="8"/>
      <c r="C135" s="8"/>
      <c r="D135" s="8"/>
      <c r="E135" s="8"/>
      <c r="F135" s="460"/>
      <c r="G135" s="376"/>
      <c r="H135" s="377"/>
      <c r="I135" s="342" t="s">
        <v>70</v>
      </c>
      <c r="J135" s="343"/>
      <c r="K135" s="343"/>
      <c r="L135" s="343"/>
      <c r="M135" s="344"/>
      <c r="N135" s="358" t="s">
        <v>25</v>
      </c>
      <c r="O135" s="360"/>
      <c r="P135" s="345"/>
      <c r="Q135" s="346"/>
      <c r="R135" s="347"/>
      <c r="S135" s="82"/>
      <c r="T135" s="355">
        <v>1</v>
      </c>
      <c r="U135" s="356"/>
      <c r="V135" s="356"/>
      <c r="W135" s="357"/>
      <c r="X135" s="351"/>
      <c r="Y135" s="352"/>
      <c r="Z135" s="334"/>
      <c r="AC135" s="37"/>
      <c r="AD135" s="6"/>
    </row>
    <row r="136" spans="1:35" s="1" customFormat="1" ht="12.95" customHeight="1">
      <c r="A136" s="5"/>
      <c r="B136" s="8"/>
      <c r="C136" s="8"/>
      <c r="D136" s="8"/>
      <c r="E136" s="8"/>
      <c r="F136" s="393"/>
      <c r="G136" s="386"/>
      <c r="H136" s="387"/>
      <c r="I136" s="342" t="s">
        <v>160</v>
      </c>
      <c r="J136" s="343"/>
      <c r="K136" s="343"/>
      <c r="L136" s="343"/>
      <c r="M136" s="344"/>
      <c r="N136" s="358" t="s">
        <v>25</v>
      </c>
      <c r="O136" s="360"/>
      <c r="P136" s="345"/>
      <c r="Q136" s="346"/>
      <c r="R136" s="347"/>
      <c r="S136" s="82"/>
      <c r="T136" s="355">
        <v>4</v>
      </c>
      <c r="U136" s="356"/>
      <c r="V136" s="356"/>
      <c r="W136" s="357"/>
      <c r="X136" s="465"/>
      <c r="Y136" s="466"/>
      <c r="Z136" s="467"/>
      <c r="AC136" s="37"/>
      <c r="AD136" s="6"/>
    </row>
    <row r="137" spans="1:35" s="1" customFormat="1" ht="12.95" customHeight="1">
      <c r="A137" s="5"/>
      <c r="B137" s="8"/>
      <c r="C137" s="8"/>
      <c r="D137" s="8"/>
      <c r="E137" s="8"/>
      <c r="F137" s="341" t="s">
        <v>52</v>
      </c>
      <c r="G137" s="341"/>
      <c r="H137" s="341"/>
      <c r="I137" s="342" t="s">
        <v>53</v>
      </c>
      <c r="J137" s="343"/>
      <c r="K137" s="343"/>
      <c r="L137" s="343"/>
      <c r="M137" s="344"/>
      <c r="N137" s="340" t="s">
        <v>25</v>
      </c>
      <c r="O137" s="340"/>
      <c r="P137" s="358"/>
      <c r="Q137" s="359"/>
      <c r="R137" s="360"/>
      <c r="S137" s="77"/>
      <c r="T137" s="348">
        <v>12</v>
      </c>
      <c r="U137" s="348"/>
      <c r="V137" s="348"/>
      <c r="W137" s="348"/>
      <c r="X137" s="340"/>
      <c r="Y137" s="340"/>
      <c r="Z137" s="340"/>
      <c r="AC137" s="37"/>
      <c r="AD137" s="6"/>
    </row>
    <row r="138" spans="1:35" s="1" customFormat="1" ht="12.95" customHeight="1">
      <c r="A138" s="5"/>
      <c r="B138" s="8"/>
      <c r="C138" s="8"/>
      <c r="D138" s="8"/>
      <c r="E138" s="8"/>
      <c r="F138" s="345" t="s">
        <v>71</v>
      </c>
      <c r="G138" s="346"/>
      <c r="H138" s="347"/>
      <c r="I138" s="342" t="s">
        <v>72</v>
      </c>
      <c r="J138" s="343"/>
      <c r="K138" s="343"/>
      <c r="L138" s="343"/>
      <c r="M138" s="344"/>
      <c r="N138" s="358" t="s">
        <v>14</v>
      </c>
      <c r="O138" s="360"/>
      <c r="P138" s="358">
        <f>ROUND(((0.424+0.3)*2*T134+(0.3+0.3)*2*T135+(0.2+0.145)*2*T136),3)</f>
        <v>5.4080000000000004</v>
      </c>
      <c r="Q138" s="359"/>
      <c r="R138" s="360"/>
      <c r="S138" s="76"/>
      <c r="T138" s="355"/>
      <c r="U138" s="356"/>
      <c r="V138" s="356"/>
      <c r="W138" s="357"/>
      <c r="X138" s="358"/>
      <c r="Y138" s="359"/>
      <c r="Z138" s="360"/>
      <c r="AC138" s="37"/>
      <c r="AD138" s="6"/>
    </row>
    <row r="139" spans="1:35" s="1" customFormat="1" ht="12.95" customHeight="1">
      <c r="A139" s="5"/>
      <c r="B139" s="8"/>
      <c r="C139" s="8"/>
      <c r="D139" s="8"/>
      <c r="E139" s="8"/>
      <c r="F139" s="361" t="s">
        <v>48</v>
      </c>
      <c r="G139" s="362"/>
      <c r="H139" s="363"/>
      <c r="I139" s="342" t="s">
        <v>62</v>
      </c>
      <c r="J139" s="343"/>
      <c r="K139" s="343"/>
      <c r="L139" s="343"/>
      <c r="M139" s="344"/>
      <c r="N139" s="340" t="s">
        <v>25</v>
      </c>
      <c r="O139" s="340"/>
      <c r="P139" s="358"/>
      <c r="Q139" s="359"/>
      <c r="R139" s="360"/>
      <c r="S139" s="77"/>
      <c r="T139" s="348">
        <v>12</v>
      </c>
      <c r="U139" s="348"/>
      <c r="V139" s="348"/>
      <c r="W139" s="348"/>
      <c r="X139" s="340"/>
      <c r="Y139" s="340"/>
      <c r="Z139" s="340"/>
      <c r="AC139" s="37"/>
      <c r="AD139" s="6"/>
    </row>
    <row r="140" spans="1:35" s="1" customFormat="1" ht="12.95" customHeight="1">
      <c r="A140" s="5"/>
      <c r="B140" s="8"/>
      <c r="C140" s="8"/>
      <c r="D140" s="8"/>
      <c r="E140" s="8"/>
      <c r="F140" s="364"/>
      <c r="G140" s="365"/>
      <c r="H140" s="366"/>
      <c r="I140" s="342" t="s">
        <v>73</v>
      </c>
      <c r="J140" s="343"/>
      <c r="K140" s="343"/>
      <c r="L140" s="343"/>
      <c r="M140" s="344"/>
      <c r="N140" s="340" t="s">
        <v>25</v>
      </c>
      <c r="O140" s="340"/>
      <c r="P140" s="358"/>
      <c r="Q140" s="359"/>
      <c r="R140" s="360"/>
      <c r="S140" s="76"/>
      <c r="T140" s="355">
        <v>4</v>
      </c>
      <c r="U140" s="356"/>
      <c r="V140" s="356"/>
      <c r="W140" s="357"/>
      <c r="X140" s="340"/>
      <c r="Y140" s="340"/>
      <c r="Z140" s="340"/>
      <c r="AC140" s="37"/>
      <c r="AD140" s="6"/>
    </row>
    <row r="141" spans="1:35" s="1" customFormat="1" ht="12.95" customHeight="1">
      <c r="A141" s="5"/>
      <c r="B141" s="8"/>
      <c r="C141" s="8"/>
      <c r="D141" s="8"/>
      <c r="E141" s="8"/>
      <c r="F141" s="345" t="s">
        <v>74</v>
      </c>
      <c r="G141" s="346"/>
      <c r="H141" s="347"/>
      <c r="I141" s="342" t="s">
        <v>75</v>
      </c>
      <c r="J141" s="343"/>
      <c r="K141" s="343"/>
      <c r="L141" s="343"/>
      <c r="M141" s="344"/>
      <c r="N141" s="358" t="s">
        <v>14</v>
      </c>
      <c r="O141" s="360"/>
      <c r="P141" s="358">
        <f>ROUND(((0.424+0.3)*2*T134+(0.3+0.3)*2*T135+(0.2+0.145)*T136),3)</f>
        <v>4.0279999999999996</v>
      </c>
      <c r="Q141" s="359"/>
      <c r="R141" s="360"/>
      <c r="S141" s="76"/>
      <c r="T141" s="355"/>
      <c r="U141" s="356"/>
      <c r="V141" s="356"/>
      <c r="W141" s="357"/>
      <c r="X141" s="358"/>
      <c r="Y141" s="359"/>
      <c r="Z141" s="360"/>
      <c r="AC141" s="37"/>
      <c r="AD141" s="6"/>
    </row>
    <row r="142" spans="1:35" s="1" customFormat="1" ht="12.95" customHeight="1">
      <c r="A142" s="26"/>
      <c r="B142" s="21"/>
      <c r="C142" s="21"/>
      <c r="D142" s="21"/>
      <c r="E142" s="21"/>
      <c r="F142" s="10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30"/>
      <c r="X142" s="30"/>
      <c r="Y142" s="21"/>
      <c r="Z142" s="27"/>
      <c r="AA142" s="21"/>
      <c r="AB142" s="21"/>
      <c r="AC142" s="21"/>
      <c r="AD142" s="27"/>
    </row>
    <row r="143" spans="1:35" s="1" customFormat="1" ht="12.95" customHeight="1">
      <c r="A143" s="5"/>
      <c r="F143" s="8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  <c r="X143" s="10"/>
      <c r="Z143" s="6"/>
      <c r="AD143" s="6"/>
    </row>
    <row r="144" spans="1:35" s="1" customFormat="1" ht="12.95" customHeight="1">
      <c r="A144" s="100" t="s">
        <v>288</v>
      </c>
      <c r="B144" s="349" t="s">
        <v>143</v>
      </c>
      <c r="C144" s="349"/>
      <c r="D144" s="349"/>
      <c r="E144" s="349"/>
      <c r="F144" s="84"/>
      <c r="G144" s="35"/>
      <c r="H144" s="7"/>
      <c r="I144" s="91"/>
      <c r="J144" s="91"/>
      <c r="N144" s="67"/>
      <c r="O144" s="67"/>
      <c r="P144" s="8"/>
      <c r="Q144" s="37"/>
      <c r="R144" s="37"/>
      <c r="S144" s="37"/>
      <c r="T144" s="7"/>
      <c r="V144" s="7"/>
      <c r="W144" s="38"/>
      <c r="X144" s="38"/>
      <c r="Y144" s="38"/>
      <c r="Z144" s="39"/>
      <c r="AA144" s="10"/>
      <c r="AB144" s="10"/>
      <c r="AC144" s="37"/>
      <c r="AD144" s="6"/>
    </row>
    <row r="145" spans="1:35" s="1" customFormat="1" ht="12.95" customHeight="1">
      <c r="A145" s="5"/>
      <c r="B145" s="352" t="s">
        <v>144</v>
      </c>
      <c r="C145" s="352"/>
      <c r="D145" s="352"/>
      <c r="E145" s="352"/>
      <c r="F145" s="84"/>
      <c r="G145" s="33" t="s">
        <v>146</v>
      </c>
      <c r="H145" s="34"/>
      <c r="I145" s="34"/>
      <c r="J145" s="7" t="s">
        <v>15</v>
      </c>
      <c r="K145" s="36">
        <f>4*2</f>
        <v>8</v>
      </c>
      <c r="L145" s="380" t="s">
        <v>107</v>
      </c>
      <c r="M145" s="380"/>
      <c r="N145" s="7"/>
      <c r="O145" s="7"/>
      <c r="P145" s="7"/>
      <c r="Q145" s="7"/>
      <c r="R145" s="7"/>
      <c r="S145" s="7"/>
      <c r="T145" s="7"/>
      <c r="U145" s="7"/>
      <c r="V145" s="7"/>
      <c r="W145" s="10"/>
      <c r="X145" s="10"/>
      <c r="Z145" s="6"/>
      <c r="AA145" s="10"/>
      <c r="AB145" s="10"/>
      <c r="AC145" s="435" t="s">
        <v>107</v>
      </c>
      <c r="AD145" s="436"/>
    </row>
    <row r="146" spans="1:35" s="1" customFormat="1" ht="12.95" customHeight="1">
      <c r="A146" s="5"/>
      <c r="B146" s="352" t="s">
        <v>145</v>
      </c>
      <c r="C146" s="352"/>
      <c r="D146" s="352"/>
      <c r="E146" s="352"/>
      <c r="F146" s="84"/>
      <c r="G146" s="33"/>
      <c r="H146" s="34"/>
      <c r="I146" s="34"/>
      <c r="J146" s="7"/>
      <c r="K146" s="36"/>
      <c r="L146" s="33"/>
      <c r="M146" s="33"/>
      <c r="N146" s="7"/>
      <c r="O146" s="7"/>
      <c r="P146" s="7"/>
      <c r="Q146" s="7"/>
      <c r="R146" s="7"/>
      <c r="S146" s="7"/>
      <c r="T146" s="7"/>
      <c r="U146" s="7"/>
      <c r="V146" s="7"/>
      <c r="W146" s="10"/>
      <c r="X146" s="10"/>
      <c r="Z146" s="6"/>
      <c r="AA146" s="339">
        <f>K145</f>
        <v>8</v>
      </c>
      <c r="AB146" s="339"/>
      <c r="AC146" s="339"/>
      <c r="AD146" s="39"/>
    </row>
    <row r="147" spans="1:35" s="1" customFormat="1" ht="12.95" customHeight="1">
      <c r="A147" s="5"/>
      <c r="F147" s="84"/>
      <c r="G147" s="35"/>
      <c r="H147" s="50"/>
      <c r="I147" s="50"/>
      <c r="J147" s="38"/>
      <c r="K147" s="367" t="s">
        <v>39</v>
      </c>
      <c r="L147" s="367"/>
      <c r="M147" s="367"/>
      <c r="N147" s="367"/>
      <c r="O147" s="367"/>
      <c r="P147" s="367"/>
      <c r="Q147" s="367"/>
      <c r="R147" s="367"/>
      <c r="S147" s="80"/>
      <c r="T147" s="7"/>
      <c r="V147" s="40"/>
      <c r="X147" s="38"/>
      <c r="Y147" s="38" t="s">
        <v>40</v>
      </c>
      <c r="Z147" s="39"/>
      <c r="AA147" s="10"/>
      <c r="AB147" s="10"/>
      <c r="AC147" s="38"/>
      <c r="AD147" s="39"/>
    </row>
    <row r="148" spans="1:35" s="1" customFormat="1" ht="12.95" customHeight="1">
      <c r="A148" s="5"/>
      <c r="F148" s="341" t="s">
        <v>41</v>
      </c>
      <c r="G148" s="341"/>
      <c r="H148" s="341"/>
      <c r="I148" s="342" t="s">
        <v>42</v>
      </c>
      <c r="J148" s="343"/>
      <c r="K148" s="343"/>
      <c r="L148" s="343"/>
      <c r="M148" s="344"/>
      <c r="N148" s="340" t="s">
        <v>43</v>
      </c>
      <c r="O148" s="340"/>
      <c r="P148" s="458" t="s">
        <v>44</v>
      </c>
      <c r="Q148" s="458"/>
      <c r="R148" s="458"/>
      <c r="S148" s="73"/>
      <c r="T148" s="340" t="s">
        <v>64</v>
      </c>
      <c r="U148" s="340"/>
      <c r="V148" s="340"/>
      <c r="W148" s="340"/>
      <c r="X148" s="340" t="s">
        <v>65</v>
      </c>
      <c r="Y148" s="340"/>
      <c r="Z148" s="340"/>
      <c r="AA148" s="10"/>
      <c r="AB148" s="10"/>
      <c r="AC148" s="38"/>
      <c r="AD148" s="39"/>
    </row>
    <row r="149" spans="1:35" s="1" customFormat="1" ht="12.95" customHeight="1">
      <c r="A149" s="5"/>
      <c r="F149" s="459" t="s">
        <v>68</v>
      </c>
      <c r="G149" s="468"/>
      <c r="H149" s="469"/>
      <c r="I149" s="342" t="s">
        <v>161</v>
      </c>
      <c r="J149" s="343"/>
      <c r="K149" s="343"/>
      <c r="L149" s="343"/>
      <c r="M149" s="344"/>
      <c r="N149" s="358" t="s">
        <v>25</v>
      </c>
      <c r="O149" s="360"/>
      <c r="P149" s="345"/>
      <c r="Q149" s="346"/>
      <c r="R149" s="347"/>
      <c r="S149" s="82"/>
      <c r="T149" s="355">
        <v>1</v>
      </c>
      <c r="U149" s="356"/>
      <c r="V149" s="356"/>
      <c r="W149" s="357"/>
      <c r="X149" s="462">
        <f>((0.535*0.272*0.014)*T149+(0.77*0.6*0.014)*T150+(0.78*0.3*0.014)*T151+(0.3*0.3*0.014)*T152)*7.85</f>
        <v>0.153147848</v>
      </c>
      <c r="Y149" s="463"/>
      <c r="Z149" s="464"/>
      <c r="AA149" s="10"/>
      <c r="AB149" s="10"/>
      <c r="AC149" s="38"/>
      <c r="AD149" s="39"/>
      <c r="AG149" s="352">
        <f>X149*AA146</f>
        <v>1.225182784</v>
      </c>
      <c r="AH149" s="352"/>
      <c r="AI149" s="352"/>
    </row>
    <row r="150" spans="1:35" s="1" customFormat="1" ht="12.95" customHeight="1">
      <c r="A150" s="5"/>
      <c r="F150" s="470"/>
      <c r="G150" s="471"/>
      <c r="H150" s="472"/>
      <c r="I150" s="342" t="s">
        <v>162</v>
      </c>
      <c r="J150" s="343"/>
      <c r="K150" s="343"/>
      <c r="L150" s="343"/>
      <c r="M150" s="344"/>
      <c r="N150" s="358" t="s">
        <v>25</v>
      </c>
      <c r="O150" s="360"/>
      <c r="P150" s="345"/>
      <c r="Q150" s="346"/>
      <c r="R150" s="347"/>
      <c r="S150" s="82"/>
      <c r="T150" s="355">
        <v>2</v>
      </c>
      <c r="U150" s="356"/>
      <c r="V150" s="356"/>
      <c r="W150" s="357"/>
      <c r="X150" s="351"/>
      <c r="Y150" s="352"/>
      <c r="Z150" s="334"/>
      <c r="AA150" s="10"/>
      <c r="AB150" s="10"/>
      <c r="AC150" s="38"/>
      <c r="AD150" s="39"/>
    </row>
    <row r="151" spans="1:35" s="1" customFormat="1" ht="12.95" customHeight="1">
      <c r="A151" s="5"/>
      <c r="F151" s="470"/>
      <c r="G151" s="471"/>
      <c r="H151" s="472"/>
      <c r="I151" s="342" t="s">
        <v>163</v>
      </c>
      <c r="J151" s="343"/>
      <c r="K151" s="343"/>
      <c r="L151" s="343"/>
      <c r="M151" s="344"/>
      <c r="N151" s="358" t="s">
        <v>25</v>
      </c>
      <c r="O151" s="360"/>
      <c r="P151" s="345"/>
      <c r="Q151" s="346"/>
      <c r="R151" s="347"/>
      <c r="S151" s="82"/>
      <c r="T151" s="355">
        <v>1</v>
      </c>
      <c r="U151" s="356"/>
      <c r="V151" s="356"/>
      <c r="W151" s="357"/>
      <c r="X151" s="351"/>
      <c r="Y151" s="352"/>
      <c r="Z151" s="334"/>
      <c r="AA151" s="10"/>
      <c r="AB151" s="10"/>
      <c r="AC151" s="38"/>
      <c r="AD151" s="39"/>
    </row>
    <row r="152" spans="1:35" s="1" customFormat="1" ht="12.95" customHeight="1">
      <c r="A152" s="5"/>
      <c r="F152" s="473"/>
      <c r="G152" s="474"/>
      <c r="H152" s="475"/>
      <c r="I152" s="342" t="s">
        <v>126</v>
      </c>
      <c r="J152" s="343"/>
      <c r="K152" s="343"/>
      <c r="L152" s="343"/>
      <c r="M152" s="344"/>
      <c r="N152" s="358" t="s">
        <v>25</v>
      </c>
      <c r="O152" s="360"/>
      <c r="P152" s="345"/>
      <c r="Q152" s="346"/>
      <c r="R152" s="347"/>
      <c r="S152" s="82"/>
      <c r="T152" s="355">
        <v>1</v>
      </c>
      <c r="U152" s="356"/>
      <c r="V152" s="356"/>
      <c r="W152" s="357"/>
      <c r="X152" s="465"/>
      <c r="Y152" s="466"/>
      <c r="Z152" s="467"/>
      <c r="AA152" s="10"/>
      <c r="AB152" s="10"/>
      <c r="AC152" s="38"/>
      <c r="AD152" s="39"/>
    </row>
    <row r="153" spans="1:35" s="1" customFormat="1" ht="12.95" customHeight="1">
      <c r="A153" s="5"/>
      <c r="F153" s="341" t="s">
        <v>52</v>
      </c>
      <c r="G153" s="341"/>
      <c r="H153" s="341"/>
      <c r="I153" s="342" t="s">
        <v>53</v>
      </c>
      <c r="J153" s="343"/>
      <c r="K153" s="343"/>
      <c r="L153" s="343"/>
      <c r="M153" s="344"/>
      <c r="N153" s="340" t="s">
        <v>25</v>
      </c>
      <c r="O153" s="340"/>
      <c r="P153" s="358"/>
      <c r="Q153" s="359"/>
      <c r="R153" s="360"/>
      <c r="S153" s="77"/>
      <c r="T153" s="348">
        <v>16</v>
      </c>
      <c r="U153" s="348"/>
      <c r="V153" s="348"/>
      <c r="W153" s="348"/>
      <c r="X153" s="340"/>
      <c r="Y153" s="340"/>
      <c r="Z153" s="340"/>
      <c r="AA153" s="10"/>
      <c r="AB153" s="10"/>
      <c r="AC153" s="38"/>
      <c r="AD153" s="39"/>
    </row>
    <row r="154" spans="1:35" s="1" customFormat="1" ht="12.95" customHeight="1">
      <c r="A154" s="5"/>
      <c r="F154" s="345" t="s">
        <v>71</v>
      </c>
      <c r="G154" s="346"/>
      <c r="H154" s="347"/>
      <c r="I154" s="342" t="s">
        <v>72</v>
      </c>
      <c r="J154" s="343"/>
      <c r="K154" s="343"/>
      <c r="L154" s="343"/>
      <c r="M154" s="344"/>
      <c r="N154" s="358" t="s">
        <v>14</v>
      </c>
      <c r="O154" s="360"/>
      <c r="P154" s="358">
        <f>ROUND(((0.535+0.272)*2*T149+(0.77+0.6)*2*T150+(0.78+0.3)*2*T151+(0.3+0.3)*2*T152),3)</f>
        <v>10.454000000000001</v>
      </c>
      <c r="Q154" s="359"/>
      <c r="R154" s="360"/>
      <c r="S154" s="76"/>
      <c r="T154" s="355"/>
      <c r="U154" s="356"/>
      <c r="V154" s="356"/>
      <c r="W154" s="357"/>
      <c r="X154" s="358"/>
      <c r="Y154" s="359"/>
      <c r="Z154" s="360"/>
      <c r="AA154" s="10"/>
      <c r="AB154" s="10"/>
      <c r="AC154" s="38"/>
      <c r="AD154" s="39"/>
    </row>
    <row r="155" spans="1:35" s="1" customFormat="1" ht="12.95" customHeight="1">
      <c r="A155" s="5"/>
      <c r="F155" s="361" t="s">
        <v>48</v>
      </c>
      <c r="G155" s="362"/>
      <c r="H155" s="363"/>
      <c r="I155" s="342" t="s">
        <v>62</v>
      </c>
      <c r="J155" s="343"/>
      <c r="K155" s="343"/>
      <c r="L155" s="343"/>
      <c r="M155" s="344"/>
      <c r="N155" s="340" t="s">
        <v>25</v>
      </c>
      <c r="O155" s="340"/>
      <c r="P155" s="358"/>
      <c r="Q155" s="359"/>
      <c r="R155" s="360"/>
      <c r="S155" s="77"/>
      <c r="T155" s="348">
        <v>12</v>
      </c>
      <c r="U155" s="348"/>
      <c r="V155" s="348"/>
      <c r="W155" s="348"/>
      <c r="X155" s="340"/>
      <c r="Y155" s="340"/>
      <c r="Z155" s="340"/>
      <c r="AA155" s="10"/>
      <c r="AB155" s="10"/>
      <c r="AC155" s="38"/>
      <c r="AD155" s="39"/>
    </row>
    <row r="156" spans="1:35" s="1" customFormat="1" ht="12.95" customHeight="1">
      <c r="A156" s="5"/>
      <c r="F156" s="364"/>
      <c r="G156" s="365"/>
      <c r="H156" s="366"/>
      <c r="I156" s="342" t="s">
        <v>73</v>
      </c>
      <c r="J156" s="343"/>
      <c r="K156" s="343"/>
      <c r="L156" s="343"/>
      <c r="M156" s="344"/>
      <c r="N156" s="340" t="s">
        <v>25</v>
      </c>
      <c r="O156" s="340"/>
      <c r="P156" s="358"/>
      <c r="Q156" s="359"/>
      <c r="R156" s="360"/>
      <c r="S156" s="76"/>
      <c r="T156" s="355">
        <v>4</v>
      </c>
      <c r="U156" s="356"/>
      <c r="V156" s="356"/>
      <c r="W156" s="357"/>
      <c r="X156" s="340"/>
      <c r="Y156" s="340"/>
      <c r="Z156" s="340"/>
      <c r="AA156" s="10"/>
      <c r="AB156" s="10"/>
      <c r="AC156" s="38"/>
      <c r="AD156" s="39"/>
    </row>
    <row r="157" spans="1:35" s="1" customFormat="1" ht="12.95" customHeight="1">
      <c r="A157" s="5"/>
      <c r="F157" s="345" t="s">
        <v>74</v>
      </c>
      <c r="G157" s="346"/>
      <c r="H157" s="347"/>
      <c r="I157" s="342" t="s">
        <v>75</v>
      </c>
      <c r="J157" s="343"/>
      <c r="K157" s="343"/>
      <c r="L157" s="343"/>
      <c r="M157" s="344"/>
      <c r="N157" s="358" t="s">
        <v>14</v>
      </c>
      <c r="O157" s="360"/>
      <c r="P157" s="358">
        <f>ROUND((0.535+0.272)*2*T149+(0.77+0.6)*2*T150+(0.78+0.3)*T151+(0.3+0.3)*2*T152,3)</f>
        <v>9.3740000000000006</v>
      </c>
      <c r="Q157" s="359"/>
      <c r="R157" s="360"/>
      <c r="S157" s="76"/>
      <c r="T157" s="355"/>
      <c r="U157" s="356"/>
      <c r="V157" s="356"/>
      <c r="W157" s="357"/>
      <c r="X157" s="358"/>
      <c r="Y157" s="359"/>
      <c r="Z157" s="360"/>
      <c r="AA157" s="10"/>
      <c r="AB157" s="10"/>
      <c r="AC157" s="38"/>
      <c r="AD157" s="39"/>
    </row>
    <row r="158" spans="1:35" s="1" customFormat="1" ht="12.95" customHeight="1">
      <c r="A158" s="26"/>
      <c r="B158" s="21"/>
      <c r="C158" s="21"/>
      <c r="D158" s="21"/>
      <c r="E158" s="21"/>
      <c r="F158" s="10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30"/>
      <c r="X158" s="30"/>
      <c r="Y158" s="21"/>
      <c r="Z158" s="27"/>
      <c r="AA158" s="21"/>
      <c r="AB158" s="21"/>
      <c r="AC158" s="21"/>
      <c r="AD158" s="27"/>
    </row>
    <row r="159" spans="1:35" s="1" customFormat="1" ht="12.95" customHeight="1">
      <c r="A159" s="5"/>
      <c r="F159" s="8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0"/>
      <c r="X159" s="10"/>
      <c r="Z159" s="6"/>
      <c r="AD159" s="6"/>
    </row>
    <row r="160" spans="1:35" s="1" customFormat="1" ht="12.95" customHeight="1">
      <c r="A160" s="383" t="s">
        <v>289</v>
      </c>
      <c r="B160" s="385"/>
      <c r="C160" s="385"/>
      <c r="D160" s="385"/>
      <c r="E160" s="385"/>
      <c r="F160" s="8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10"/>
      <c r="X160" s="10"/>
      <c r="Z160" s="6"/>
      <c r="AD160" s="6"/>
    </row>
    <row r="161" spans="1:35" s="1" customFormat="1" ht="12.95" customHeight="1">
      <c r="A161" s="383"/>
      <c r="B161" s="385"/>
      <c r="C161" s="385"/>
      <c r="D161" s="385"/>
      <c r="E161" s="385"/>
      <c r="F161" s="84"/>
      <c r="G161" s="7"/>
      <c r="H161" s="7"/>
      <c r="I161" s="7"/>
      <c r="J161" s="381">
        <v>46</v>
      </c>
      <c r="K161" s="381"/>
      <c r="L161" s="379" t="s">
        <v>132</v>
      </c>
      <c r="M161" s="379"/>
      <c r="N161" s="7"/>
      <c r="O161" s="7"/>
      <c r="P161" s="7"/>
      <c r="Q161" s="7"/>
      <c r="R161" s="7"/>
      <c r="S161" s="7"/>
      <c r="T161" s="7"/>
      <c r="U161" s="7"/>
      <c r="V161" s="7"/>
      <c r="W161" s="10"/>
      <c r="X161" s="10"/>
      <c r="Z161" s="6"/>
      <c r="AC161" s="352" t="s">
        <v>132</v>
      </c>
      <c r="AD161" s="334"/>
    </row>
    <row r="162" spans="1:35" s="1" customFormat="1" ht="12.95" customHeight="1">
      <c r="A162" s="351" t="s">
        <v>135</v>
      </c>
      <c r="B162" s="352"/>
      <c r="C162" s="352"/>
      <c r="D162" s="352"/>
      <c r="E162" s="352"/>
      <c r="F162" s="8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0"/>
      <c r="X162" s="10"/>
      <c r="Z162" s="6"/>
      <c r="AB162" s="339">
        <f>J161</f>
        <v>46</v>
      </c>
      <c r="AC162" s="339"/>
      <c r="AD162" s="6"/>
    </row>
    <row r="163" spans="1:35" s="1" customFormat="1" ht="12.95" customHeight="1">
      <c r="A163" s="26"/>
      <c r="B163" s="21"/>
      <c r="C163" s="21"/>
      <c r="D163" s="21"/>
      <c r="E163" s="21"/>
      <c r="F163" s="10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30"/>
      <c r="X163" s="30"/>
      <c r="Y163" s="21"/>
      <c r="Z163" s="27"/>
      <c r="AA163" s="21"/>
      <c r="AB163" s="21"/>
      <c r="AC163" s="21"/>
      <c r="AD163" s="27"/>
    </row>
    <row r="164" spans="1:35" s="1" customFormat="1" ht="12.95" customHeight="1">
      <c r="A164" s="5"/>
      <c r="F164" s="8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0"/>
      <c r="X164" s="10"/>
      <c r="Z164" s="6"/>
      <c r="AD164" s="6"/>
    </row>
    <row r="165" spans="1:35" s="1" customFormat="1" ht="12.6" customHeight="1">
      <c r="A165" s="383" t="s">
        <v>290</v>
      </c>
      <c r="B165" s="385"/>
      <c r="C165" s="385"/>
      <c r="D165" s="385"/>
      <c r="E165" s="385"/>
      <c r="F165" s="79"/>
      <c r="G165" s="441" t="s">
        <v>63</v>
      </c>
      <c r="H165" s="441"/>
      <c r="I165" s="441"/>
      <c r="J165" s="441"/>
      <c r="K165" s="441"/>
      <c r="L165" s="441"/>
      <c r="M165" s="441"/>
      <c r="N165" s="454">
        <v>8</v>
      </c>
      <c r="O165" s="454"/>
      <c r="P165" s="1" t="s">
        <v>9</v>
      </c>
      <c r="Z165" s="6"/>
      <c r="AC165" s="37"/>
      <c r="AD165" s="6"/>
    </row>
    <row r="166" spans="1:35" s="1" customFormat="1" ht="12.6" customHeight="1">
      <c r="A166" s="383"/>
      <c r="B166" s="385"/>
      <c r="C166" s="385"/>
      <c r="D166" s="385"/>
      <c r="E166" s="385"/>
      <c r="F166" s="84"/>
      <c r="G166" s="35"/>
      <c r="H166" s="50"/>
      <c r="I166" s="50"/>
      <c r="J166" s="38"/>
      <c r="K166" s="367" t="s">
        <v>39</v>
      </c>
      <c r="L166" s="367"/>
      <c r="M166" s="367"/>
      <c r="N166" s="367"/>
      <c r="O166" s="367"/>
      <c r="P166" s="367"/>
      <c r="Q166" s="367"/>
      <c r="R166" s="367"/>
      <c r="S166" s="80"/>
      <c r="T166" s="7"/>
      <c r="V166" s="40"/>
      <c r="X166" s="38"/>
      <c r="Y166" s="38" t="s">
        <v>40</v>
      </c>
      <c r="Z166" s="39"/>
      <c r="AD166" s="6" t="s">
        <v>9</v>
      </c>
    </row>
    <row r="167" spans="1:35" s="1" customFormat="1" ht="12.6" customHeight="1">
      <c r="A167" s="351" t="s">
        <v>275</v>
      </c>
      <c r="B167" s="352"/>
      <c r="C167" s="352"/>
      <c r="D167" s="352"/>
      <c r="E167" s="352"/>
      <c r="F167" s="341" t="s">
        <v>41</v>
      </c>
      <c r="G167" s="341"/>
      <c r="H167" s="341"/>
      <c r="I167" s="342" t="s">
        <v>42</v>
      </c>
      <c r="J167" s="343"/>
      <c r="K167" s="343"/>
      <c r="L167" s="343"/>
      <c r="M167" s="344"/>
      <c r="N167" s="340" t="s">
        <v>43</v>
      </c>
      <c r="O167" s="340"/>
      <c r="P167" s="458" t="s">
        <v>44</v>
      </c>
      <c r="Q167" s="458"/>
      <c r="R167" s="458"/>
      <c r="S167" s="73"/>
      <c r="T167" s="340" t="s">
        <v>64</v>
      </c>
      <c r="U167" s="340"/>
      <c r="V167" s="340"/>
      <c r="W167" s="340"/>
      <c r="X167" s="340" t="s">
        <v>65</v>
      </c>
      <c r="Y167" s="340"/>
      <c r="Z167" s="340"/>
      <c r="AA167" s="339">
        <f>N165</f>
        <v>8</v>
      </c>
      <c r="AB167" s="339"/>
      <c r="AC167" s="339"/>
      <c r="AD167" s="6"/>
    </row>
    <row r="168" spans="1:35" s="1" customFormat="1" ht="12.6" customHeight="1">
      <c r="A168" s="5"/>
      <c r="B168" s="8"/>
      <c r="C168" s="8"/>
      <c r="D168" s="8"/>
      <c r="E168" s="8"/>
      <c r="F168" s="341" t="s">
        <v>66</v>
      </c>
      <c r="G168" s="341"/>
      <c r="H168" s="341"/>
      <c r="I168" s="342" t="s">
        <v>67</v>
      </c>
      <c r="J168" s="343"/>
      <c r="K168" s="343"/>
      <c r="L168" s="343"/>
      <c r="M168" s="344"/>
      <c r="N168" s="340" t="s">
        <v>25</v>
      </c>
      <c r="O168" s="340"/>
      <c r="P168" s="461">
        <v>1.8</v>
      </c>
      <c r="Q168" s="461"/>
      <c r="R168" s="461"/>
      <c r="S168" s="71"/>
      <c r="T168" s="348">
        <v>1</v>
      </c>
      <c r="U168" s="348"/>
      <c r="V168" s="348"/>
      <c r="W168" s="348"/>
      <c r="X168" s="340">
        <f>P168*T168*0.094</f>
        <v>0.16920000000000002</v>
      </c>
      <c r="Y168" s="340"/>
      <c r="Z168" s="340"/>
      <c r="AC168" s="37"/>
      <c r="AD168" s="6"/>
    </row>
    <row r="169" spans="1:35" s="1" customFormat="1" ht="12.6" customHeight="1">
      <c r="A169" s="5"/>
      <c r="B169" s="8"/>
      <c r="C169" s="8"/>
      <c r="D169" s="8"/>
      <c r="E169" s="8"/>
      <c r="F169" s="390" t="s">
        <v>76</v>
      </c>
      <c r="G169" s="391"/>
      <c r="H169" s="392"/>
      <c r="I169" s="342" t="s">
        <v>69</v>
      </c>
      <c r="J169" s="343"/>
      <c r="K169" s="343"/>
      <c r="L169" s="343"/>
      <c r="M169" s="344"/>
      <c r="N169" s="358" t="s">
        <v>25</v>
      </c>
      <c r="O169" s="360"/>
      <c r="P169" s="345"/>
      <c r="Q169" s="346"/>
      <c r="R169" s="347"/>
      <c r="S169" s="82"/>
      <c r="T169" s="355">
        <v>2</v>
      </c>
      <c r="U169" s="356"/>
      <c r="V169" s="356"/>
      <c r="W169" s="357"/>
      <c r="X169" s="462">
        <f>((0.424*0.3*0.014*T169)+(0.2*0.145*0.014*T170))*7.85</f>
        <v>4.0706959999999993E-2</v>
      </c>
      <c r="Y169" s="463"/>
      <c r="Z169" s="464"/>
      <c r="AC169" s="37"/>
      <c r="AD169" s="6"/>
      <c r="AG169" s="352">
        <f>X169*AA167</f>
        <v>0.32565567999999995</v>
      </c>
      <c r="AH169" s="352"/>
      <c r="AI169" s="352"/>
    </row>
    <row r="170" spans="1:35" s="1" customFormat="1" ht="12.6" customHeight="1">
      <c r="A170" s="5"/>
      <c r="B170" s="8"/>
      <c r="C170" s="8"/>
      <c r="D170" s="8"/>
      <c r="E170" s="8"/>
      <c r="F170" s="460"/>
      <c r="G170" s="376"/>
      <c r="H170" s="377"/>
      <c r="I170" s="342" t="s">
        <v>160</v>
      </c>
      <c r="J170" s="343"/>
      <c r="K170" s="343"/>
      <c r="L170" s="343"/>
      <c r="M170" s="344"/>
      <c r="N170" s="358" t="s">
        <v>25</v>
      </c>
      <c r="O170" s="360"/>
      <c r="P170" s="345"/>
      <c r="Q170" s="346"/>
      <c r="R170" s="347"/>
      <c r="S170" s="82"/>
      <c r="T170" s="355">
        <v>4</v>
      </c>
      <c r="U170" s="356"/>
      <c r="V170" s="356"/>
      <c r="W170" s="357"/>
      <c r="X170" s="351"/>
      <c r="Y170" s="352"/>
      <c r="Z170" s="334"/>
      <c r="AC170" s="37"/>
      <c r="AD170" s="6"/>
    </row>
    <row r="171" spans="1:35" s="1" customFormat="1" ht="12.6" customHeight="1">
      <c r="A171" s="5"/>
      <c r="B171" s="8"/>
      <c r="C171" s="8"/>
      <c r="D171" s="8"/>
      <c r="E171" s="8"/>
      <c r="F171" s="341" t="s">
        <v>52</v>
      </c>
      <c r="G171" s="341"/>
      <c r="H171" s="341"/>
      <c r="I171" s="342" t="s">
        <v>53</v>
      </c>
      <c r="J171" s="343"/>
      <c r="K171" s="343"/>
      <c r="L171" s="343"/>
      <c r="M171" s="344"/>
      <c r="N171" s="340" t="s">
        <v>25</v>
      </c>
      <c r="O171" s="340"/>
      <c r="P171" s="358"/>
      <c r="Q171" s="359"/>
      <c r="R171" s="360"/>
      <c r="S171" s="77"/>
      <c r="T171" s="348">
        <v>16</v>
      </c>
      <c r="U171" s="348"/>
      <c r="V171" s="348"/>
      <c r="W171" s="348"/>
      <c r="X171" s="465"/>
      <c r="Y171" s="466"/>
      <c r="Z171" s="467"/>
      <c r="AC171" s="37"/>
      <c r="AD171" s="6"/>
    </row>
    <row r="172" spans="1:35" s="1" customFormat="1" ht="12.6" customHeight="1">
      <c r="A172" s="5"/>
      <c r="B172" s="8"/>
      <c r="C172" s="8"/>
      <c r="D172" s="8"/>
      <c r="E172" s="8"/>
      <c r="F172" s="345" t="s">
        <v>71</v>
      </c>
      <c r="G172" s="346"/>
      <c r="H172" s="347"/>
      <c r="I172" s="342" t="s">
        <v>72</v>
      </c>
      <c r="J172" s="343"/>
      <c r="K172" s="343"/>
      <c r="L172" s="343"/>
      <c r="M172" s="344"/>
      <c r="N172" s="358" t="s">
        <v>14</v>
      </c>
      <c r="O172" s="360"/>
      <c r="P172" s="358">
        <f>ROUND(((0.424+0.3)*2*T169+ (0.2+0.145)*T170),3)</f>
        <v>4.2759999999999998</v>
      </c>
      <c r="Q172" s="359"/>
      <c r="R172" s="360"/>
      <c r="S172" s="76"/>
      <c r="T172" s="355"/>
      <c r="U172" s="356"/>
      <c r="V172" s="356"/>
      <c r="W172" s="357"/>
      <c r="X172" s="358"/>
      <c r="Y172" s="359"/>
      <c r="Z172" s="360"/>
      <c r="AC172" s="37"/>
      <c r="AD172" s="6"/>
    </row>
    <row r="173" spans="1:35" s="1" customFormat="1" ht="12.6" customHeight="1">
      <c r="A173" s="5"/>
      <c r="B173" s="8"/>
      <c r="C173" s="8"/>
      <c r="D173" s="8"/>
      <c r="E173" s="8"/>
      <c r="F173" s="361" t="s">
        <v>48</v>
      </c>
      <c r="G173" s="362"/>
      <c r="H173" s="363"/>
      <c r="I173" s="342" t="s">
        <v>62</v>
      </c>
      <c r="J173" s="343"/>
      <c r="K173" s="343"/>
      <c r="L173" s="343"/>
      <c r="M173" s="344"/>
      <c r="N173" s="340" t="s">
        <v>25</v>
      </c>
      <c r="O173" s="340"/>
      <c r="P173" s="358"/>
      <c r="Q173" s="359"/>
      <c r="R173" s="360"/>
      <c r="S173" s="77"/>
      <c r="T173" s="348">
        <v>16</v>
      </c>
      <c r="U173" s="348"/>
      <c r="V173" s="348"/>
      <c r="W173" s="348"/>
      <c r="X173" s="340"/>
      <c r="Y173" s="340"/>
      <c r="Z173" s="340"/>
      <c r="AC173" s="37"/>
      <c r="AD173" s="6"/>
    </row>
    <row r="174" spans="1:35" s="1" customFormat="1" ht="12.6" customHeight="1">
      <c r="A174" s="5"/>
      <c r="B174" s="8"/>
      <c r="C174" s="8"/>
      <c r="D174" s="8"/>
      <c r="E174" s="8"/>
      <c r="F174" s="364"/>
      <c r="G174" s="365"/>
      <c r="H174" s="366"/>
      <c r="I174" s="342" t="s">
        <v>73</v>
      </c>
      <c r="J174" s="343"/>
      <c r="K174" s="343"/>
      <c r="L174" s="343"/>
      <c r="M174" s="344"/>
      <c r="N174" s="340" t="s">
        <v>25</v>
      </c>
      <c r="O174" s="340"/>
      <c r="P174" s="358"/>
      <c r="Q174" s="359"/>
      <c r="R174" s="360"/>
      <c r="S174" s="76"/>
      <c r="T174" s="355">
        <v>16</v>
      </c>
      <c r="U174" s="356"/>
      <c r="V174" s="356"/>
      <c r="W174" s="357"/>
      <c r="X174" s="340"/>
      <c r="Y174" s="340"/>
      <c r="Z174" s="340"/>
      <c r="AC174" s="37"/>
      <c r="AD174" s="6"/>
    </row>
    <row r="175" spans="1:35" s="1" customFormat="1" ht="12.6" customHeight="1">
      <c r="A175" s="5"/>
      <c r="B175" s="8"/>
      <c r="C175" s="8"/>
      <c r="D175" s="8"/>
      <c r="E175" s="8"/>
      <c r="F175" s="345" t="s">
        <v>74</v>
      </c>
      <c r="G175" s="346"/>
      <c r="H175" s="347"/>
      <c r="I175" s="342" t="s">
        <v>75</v>
      </c>
      <c r="J175" s="343"/>
      <c r="K175" s="343"/>
      <c r="L175" s="343"/>
      <c r="M175" s="344"/>
      <c r="N175" s="358" t="s">
        <v>25</v>
      </c>
      <c r="O175" s="360"/>
      <c r="P175" s="358">
        <f>ROUND((0.424+0.3)*2*T169+(0.2+0.145)*2*T170,3)</f>
        <v>5.6559999999999997</v>
      </c>
      <c r="Q175" s="359"/>
      <c r="R175" s="360"/>
      <c r="S175" s="76"/>
      <c r="T175" s="355"/>
      <c r="U175" s="356"/>
      <c r="V175" s="356"/>
      <c r="W175" s="357"/>
      <c r="X175" s="358"/>
      <c r="Y175" s="359"/>
      <c r="Z175" s="360"/>
      <c r="AC175" s="37"/>
      <c r="AD175" s="6"/>
    </row>
    <row r="176" spans="1:35" s="1" customFormat="1" ht="12.95" customHeight="1">
      <c r="A176" s="26"/>
      <c r="B176" s="21"/>
      <c r="C176" s="21"/>
      <c r="D176" s="21"/>
      <c r="E176" s="21"/>
      <c r="F176" s="10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30"/>
      <c r="X176" s="30"/>
      <c r="Y176" s="21"/>
      <c r="Z176" s="27"/>
      <c r="AA176" s="21"/>
      <c r="AB176" s="21"/>
      <c r="AC176" s="21"/>
      <c r="AD176" s="27"/>
    </row>
    <row r="177" spans="1:30" s="1" customFormat="1" ht="12.95" hidden="1" customHeight="1">
      <c r="A177" s="5"/>
      <c r="F177" s="8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0"/>
      <c r="X177" s="10"/>
      <c r="Z177" s="6"/>
      <c r="AD177" s="6"/>
    </row>
    <row r="178" spans="1:30" s="1" customFormat="1" ht="12.95" hidden="1" customHeight="1">
      <c r="A178" s="5"/>
      <c r="F178" s="8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0"/>
      <c r="X178" s="10"/>
      <c r="Z178" s="6"/>
      <c r="AD178" s="6"/>
    </row>
    <row r="179" spans="1:30" s="1" customFormat="1" ht="12.95" hidden="1" customHeight="1">
      <c r="A179" s="383" t="s">
        <v>151</v>
      </c>
      <c r="B179" s="385"/>
      <c r="C179" s="385"/>
      <c r="D179" s="385"/>
      <c r="E179" s="385"/>
      <c r="F179" s="84"/>
      <c r="G179" s="1" t="s">
        <v>122</v>
      </c>
      <c r="H179" s="384">
        <v>0</v>
      </c>
      <c r="I179" s="384"/>
      <c r="J179" s="384"/>
      <c r="K179" s="7" t="s">
        <v>119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0"/>
      <c r="X179" s="10"/>
      <c r="Z179" s="6"/>
      <c r="AD179" s="6"/>
    </row>
    <row r="180" spans="1:30" s="1" customFormat="1" ht="12.95" hidden="1" customHeight="1">
      <c r="A180" s="383"/>
      <c r="B180" s="385"/>
      <c r="C180" s="385"/>
      <c r="D180" s="385"/>
      <c r="E180" s="385"/>
      <c r="F180" s="8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0"/>
      <c r="X180" s="10"/>
      <c r="Z180" s="6"/>
      <c r="AD180" s="6" t="s">
        <v>119</v>
      </c>
    </row>
    <row r="181" spans="1:30" s="1" customFormat="1" ht="12.95" hidden="1" customHeight="1">
      <c r="A181" s="351" t="s">
        <v>131</v>
      </c>
      <c r="B181" s="352"/>
      <c r="C181" s="352"/>
      <c r="D181" s="352"/>
      <c r="E181" s="352"/>
      <c r="F181" s="84"/>
      <c r="G181" s="7"/>
      <c r="H181" s="378">
        <f>H179</f>
        <v>0</v>
      </c>
      <c r="I181" s="379"/>
      <c r="J181" s="379"/>
      <c r="K181" s="1" t="s">
        <v>117</v>
      </c>
      <c r="L181" s="16">
        <v>8</v>
      </c>
      <c r="M181" s="380" t="s">
        <v>132</v>
      </c>
      <c r="N181" s="380"/>
      <c r="O181" s="7"/>
      <c r="P181" s="7"/>
      <c r="Q181" s="7"/>
      <c r="R181" s="7"/>
      <c r="S181" s="7"/>
      <c r="T181" s="7"/>
      <c r="U181" s="7"/>
      <c r="V181" s="7"/>
      <c r="W181" s="1" t="s">
        <v>113</v>
      </c>
      <c r="X181" s="352">
        <f>H181*L181</f>
        <v>0</v>
      </c>
      <c r="Y181" s="352"/>
      <c r="Z181" s="334"/>
      <c r="AB181" s="352">
        <f>X181</f>
        <v>0</v>
      </c>
      <c r="AC181" s="352"/>
      <c r="AD181" s="334"/>
    </row>
    <row r="182" spans="1:30" s="1" customFormat="1" ht="12.95" hidden="1" customHeight="1">
      <c r="A182" s="5"/>
      <c r="F182" s="8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10"/>
      <c r="X182" s="10"/>
      <c r="Z182" s="6"/>
      <c r="AD182" s="6"/>
    </row>
    <row r="183" spans="1:30" s="1" customFormat="1" ht="12.95" hidden="1" customHeight="1">
      <c r="A183" s="5"/>
      <c r="F183" s="84"/>
      <c r="G183" s="7"/>
      <c r="H183" s="7"/>
      <c r="I183" s="378">
        <f>H181</f>
        <v>0</v>
      </c>
      <c r="J183" s="379"/>
      <c r="K183" s="1" t="s">
        <v>117</v>
      </c>
      <c r="L183" s="16">
        <f>L181</f>
        <v>8</v>
      </c>
      <c r="M183" s="380" t="s">
        <v>132</v>
      </c>
      <c r="N183" s="380"/>
      <c r="O183" s="16" t="s">
        <v>117</v>
      </c>
      <c r="P183" s="381">
        <v>14.9</v>
      </c>
      <c r="Q183" s="381"/>
      <c r="R183" s="379" t="s">
        <v>133</v>
      </c>
      <c r="S183" s="379"/>
      <c r="T183" s="7"/>
      <c r="U183" s="7"/>
      <c r="V183" s="7"/>
      <c r="W183" s="1" t="s">
        <v>113</v>
      </c>
      <c r="X183" s="352">
        <f>ROUND(I183*L183*P183/1000,3)</f>
        <v>0</v>
      </c>
      <c r="Y183" s="352"/>
      <c r="Z183" s="334"/>
      <c r="AC183" s="352" t="s">
        <v>134</v>
      </c>
      <c r="AD183" s="334"/>
    </row>
    <row r="184" spans="1:30" s="1" customFormat="1" ht="12.95" hidden="1" customHeight="1">
      <c r="A184" s="5"/>
      <c r="F184" s="8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10"/>
      <c r="X184" s="10"/>
      <c r="Z184" s="6"/>
      <c r="AB184" s="352">
        <f>X183</f>
        <v>0</v>
      </c>
      <c r="AC184" s="352"/>
      <c r="AD184" s="334"/>
    </row>
    <row r="185" spans="1:30" s="1" customFormat="1" ht="12.95" hidden="1" customHeight="1">
      <c r="A185" s="5"/>
      <c r="F185" s="8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10"/>
      <c r="X185" s="10"/>
      <c r="Z185" s="6"/>
      <c r="AD185" s="6"/>
    </row>
    <row r="186" spans="1:30" s="1" customFormat="1" ht="12.95" hidden="1" customHeight="1">
      <c r="A186" s="5"/>
      <c r="F186" s="8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0"/>
      <c r="X186" s="10"/>
      <c r="Z186" s="6"/>
      <c r="AD186" s="6"/>
    </row>
    <row r="187" spans="1:30" s="1" customFormat="1" ht="12.75" hidden="1" customHeight="1">
      <c r="A187" s="5"/>
      <c r="F187" s="8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10"/>
      <c r="X187" s="10"/>
      <c r="Z187" s="6"/>
      <c r="AD187" s="6"/>
    </row>
    <row r="188" spans="1:30" s="1" customFormat="1" ht="12.95" hidden="1" customHeight="1">
      <c r="A188" s="5"/>
      <c r="F188" s="8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10"/>
      <c r="X188" s="10"/>
      <c r="Z188" s="6"/>
      <c r="AD188" s="6"/>
    </row>
    <row r="189" spans="1:30" s="1" customFormat="1" ht="12.95" hidden="1" customHeight="1">
      <c r="A189" s="26"/>
      <c r="B189" s="21"/>
      <c r="C189" s="21"/>
      <c r="D189" s="21"/>
      <c r="E189" s="21"/>
      <c r="F189" s="10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30"/>
      <c r="X189" s="30"/>
      <c r="Y189" s="21"/>
      <c r="Z189" s="27"/>
      <c r="AA189" s="21"/>
      <c r="AB189" s="21"/>
      <c r="AC189" s="21"/>
      <c r="AD189" s="27"/>
    </row>
    <row r="190" spans="1:30" ht="12.95" customHeight="1">
      <c r="A190" s="66"/>
      <c r="E190" s="65"/>
      <c r="F190" s="66"/>
      <c r="W190" s="65"/>
      <c r="X190" s="65"/>
      <c r="Y190" s="65"/>
      <c r="Z190" s="70"/>
      <c r="AD190" s="39"/>
    </row>
    <row r="191" spans="1:30" s="1" customFormat="1" ht="12.6" customHeight="1">
      <c r="A191" s="476" t="s">
        <v>152</v>
      </c>
      <c r="B191" s="477"/>
      <c r="C191" s="477"/>
      <c r="D191" s="477"/>
      <c r="E191" s="477"/>
      <c r="F191" s="5"/>
      <c r="W191" s="1" t="s">
        <v>12</v>
      </c>
      <c r="X191" s="478">
        <v>416</v>
      </c>
      <c r="Y191" s="478"/>
      <c r="Z191" s="479"/>
      <c r="AD191" s="6"/>
    </row>
    <row r="192" spans="1:30" s="1" customFormat="1" ht="12.6" customHeight="1">
      <c r="A192" s="476"/>
      <c r="B192" s="477"/>
      <c r="C192" s="477"/>
      <c r="D192" s="477"/>
      <c r="E192" s="477"/>
      <c r="F192" s="84"/>
      <c r="G192" s="35"/>
      <c r="H192" s="50"/>
      <c r="I192" s="50"/>
      <c r="J192" s="38"/>
      <c r="K192" s="452" t="s">
        <v>39</v>
      </c>
      <c r="L192" s="452"/>
      <c r="M192" s="452"/>
      <c r="N192" s="452"/>
      <c r="O192" s="452"/>
      <c r="P192" s="452"/>
      <c r="Q192" s="452"/>
      <c r="R192" s="452"/>
      <c r="S192" s="452"/>
      <c r="T192" s="452"/>
      <c r="V192" s="40"/>
      <c r="W192" s="386" t="s">
        <v>40</v>
      </c>
      <c r="X192" s="386"/>
      <c r="Y192" s="386"/>
      <c r="Z192" s="387"/>
      <c r="AC192" s="37"/>
      <c r="AD192" s="6" t="s">
        <v>25</v>
      </c>
    </row>
    <row r="193" spans="1:35" s="1" customFormat="1" ht="12.6" customHeight="1">
      <c r="A193" s="480" t="s">
        <v>77</v>
      </c>
      <c r="B193" s="481"/>
      <c r="C193" s="481"/>
      <c r="D193" s="481"/>
      <c r="E193" s="481"/>
      <c r="F193" s="341" t="s">
        <v>41</v>
      </c>
      <c r="G193" s="341"/>
      <c r="H193" s="341"/>
      <c r="I193" s="342" t="s">
        <v>42</v>
      </c>
      <c r="J193" s="343"/>
      <c r="K193" s="343"/>
      <c r="L193" s="343"/>
      <c r="M193" s="344"/>
      <c r="N193" s="340" t="s">
        <v>43</v>
      </c>
      <c r="O193" s="340"/>
      <c r="P193" s="458" t="s">
        <v>44</v>
      </c>
      <c r="Q193" s="458"/>
      <c r="R193" s="458"/>
      <c r="S193" s="72"/>
      <c r="T193" s="358" t="s">
        <v>78</v>
      </c>
      <c r="U193" s="359"/>
      <c r="V193" s="360"/>
      <c r="W193" s="358" t="s">
        <v>267</v>
      </c>
      <c r="X193" s="359"/>
      <c r="Y193" s="359"/>
      <c r="Z193" s="360"/>
      <c r="AA193" s="339">
        <f>X191</f>
        <v>416</v>
      </c>
      <c r="AB193" s="339"/>
      <c r="AC193" s="339"/>
      <c r="AD193" s="6"/>
    </row>
    <row r="194" spans="1:35" s="1" customFormat="1" ht="12.6" customHeight="1">
      <c r="A194" s="5"/>
      <c r="B194" s="8"/>
      <c r="C194" s="8"/>
      <c r="D194" s="8"/>
      <c r="E194" s="8"/>
      <c r="F194" s="390" t="s">
        <v>79</v>
      </c>
      <c r="G194" s="391"/>
      <c r="H194" s="392"/>
      <c r="I194" s="448" t="s">
        <v>80</v>
      </c>
      <c r="J194" s="449"/>
      <c r="K194" s="449"/>
      <c r="L194" s="449"/>
      <c r="M194" s="450"/>
      <c r="N194" s="340" t="s">
        <v>25</v>
      </c>
      <c r="O194" s="340"/>
      <c r="P194" s="341"/>
      <c r="Q194" s="341"/>
      <c r="R194" s="341"/>
      <c r="S194" s="81"/>
      <c r="T194" s="355">
        <v>1</v>
      </c>
      <c r="U194" s="356"/>
      <c r="V194" s="357"/>
      <c r="W194" s="358">
        <f>0.27*0.145*0.014*T194*7.85</f>
        <v>4.3025849999999994E-3</v>
      </c>
      <c r="X194" s="359"/>
      <c r="Y194" s="359"/>
      <c r="Z194" s="360"/>
      <c r="AD194" s="6"/>
      <c r="AG194" s="352">
        <f>W194*AA193</f>
        <v>1.7898753599999997</v>
      </c>
      <c r="AH194" s="352"/>
      <c r="AI194" s="352"/>
    </row>
    <row r="195" spans="1:35" s="1" customFormat="1" ht="12.6" customHeight="1">
      <c r="A195" s="5"/>
      <c r="B195" s="8"/>
      <c r="C195" s="8"/>
      <c r="D195" s="8"/>
      <c r="E195" s="8"/>
      <c r="F195" s="447" t="s">
        <v>81</v>
      </c>
      <c r="G195" s="447"/>
      <c r="H195" s="447"/>
      <c r="I195" s="342" t="s">
        <v>72</v>
      </c>
      <c r="J195" s="343"/>
      <c r="K195" s="343"/>
      <c r="L195" s="343"/>
      <c r="M195" s="344"/>
      <c r="N195" s="340" t="s">
        <v>14</v>
      </c>
      <c r="O195" s="340"/>
      <c r="P195" s="458">
        <f>(0.27*2+0.145*2)*T194</f>
        <v>0.83000000000000007</v>
      </c>
      <c r="Q195" s="458"/>
      <c r="R195" s="458"/>
      <c r="S195" s="72"/>
      <c r="T195" s="355"/>
      <c r="U195" s="356"/>
      <c r="V195" s="357"/>
      <c r="W195" s="355"/>
      <c r="X195" s="356"/>
      <c r="Y195" s="356"/>
      <c r="Z195" s="357"/>
      <c r="AD195" s="6"/>
    </row>
    <row r="196" spans="1:35" s="1" customFormat="1" ht="12.6" customHeight="1">
      <c r="A196" s="5"/>
      <c r="B196" s="8"/>
      <c r="C196" s="8"/>
      <c r="D196" s="8"/>
      <c r="E196" s="8"/>
      <c r="F196" s="447" t="s">
        <v>50</v>
      </c>
      <c r="G196" s="447"/>
      <c r="H196" s="447"/>
      <c r="I196" s="342" t="s">
        <v>51</v>
      </c>
      <c r="J196" s="343"/>
      <c r="K196" s="343"/>
      <c r="L196" s="343"/>
      <c r="M196" s="344"/>
      <c r="N196" s="340" t="s">
        <v>14</v>
      </c>
      <c r="O196" s="340"/>
      <c r="P196" s="458">
        <f>0.27+0.145*2</f>
        <v>0.56000000000000005</v>
      </c>
      <c r="Q196" s="458"/>
      <c r="R196" s="458"/>
      <c r="S196" s="72"/>
      <c r="T196" s="358"/>
      <c r="U196" s="359"/>
      <c r="V196" s="360"/>
      <c r="W196" s="358"/>
      <c r="X196" s="359"/>
      <c r="Y196" s="359"/>
      <c r="Z196" s="360"/>
      <c r="AD196" s="6"/>
    </row>
    <row r="197" spans="1:35" ht="12.95" customHeight="1">
      <c r="A197" s="75"/>
      <c r="B197" s="32"/>
      <c r="C197" s="32"/>
      <c r="D197" s="32"/>
      <c r="E197" s="32"/>
      <c r="F197" s="75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49"/>
      <c r="AA197" s="32"/>
      <c r="AB197" s="32"/>
      <c r="AC197" s="32"/>
      <c r="AD197" s="49"/>
    </row>
    <row r="198" spans="1:35" ht="12.95" customHeight="1">
      <c r="A198" s="66"/>
      <c r="F198" s="66"/>
      <c r="Z198" s="39"/>
      <c r="AD198" s="39"/>
    </row>
    <row r="199" spans="1:35" ht="12.95" customHeight="1">
      <c r="A199" s="66"/>
      <c r="F199" s="66"/>
      <c r="Z199" s="39"/>
      <c r="AD199" s="39"/>
    </row>
    <row r="200" spans="1:35" ht="12.95" customHeight="1">
      <c r="A200" s="330" t="s">
        <v>291</v>
      </c>
      <c r="B200" s="349"/>
      <c r="C200" s="349"/>
      <c r="D200" s="349"/>
      <c r="E200" s="332"/>
      <c r="F200" s="7"/>
      <c r="G200" s="350" t="s">
        <v>54</v>
      </c>
      <c r="H200" s="350"/>
      <c r="I200" s="350"/>
      <c r="J200" s="350"/>
      <c r="K200" s="350"/>
      <c r="L200" s="350"/>
      <c r="M200" s="350"/>
      <c r="N200" s="7"/>
      <c r="O200" s="7"/>
      <c r="P200" s="10"/>
      <c r="Q200" s="37"/>
      <c r="R200" s="37"/>
      <c r="S200" s="37"/>
      <c r="T200" s="7"/>
      <c r="U200" s="1"/>
      <c r="V200" s="7"/>
      <c r="Z200" s="39"/>
      <c r="AA200" s="10"/>
      <c r="AB200" s="10"/>
      <c r="AC200" s="1"/>
      <c r="AD200" s="6"/>
    </row>
    <row r="201" spans="1:35" ht="12.95" customHeight="1">
      <c r="A201" s="351" t="s">
        <v>55</v>
      </c>
      <c r="B201" s="352"/>
      <c r="C201" s="352"/>
      <c r="D201" s="352"/>
      <c r="E201" s="334"/>
      <c r="F201" s="7"/>
      <c r="G201" s="7"/>
      <c r="H201" s="7"/>
      <c r="I201" s="7" t="s">
        <v>56</v>
      </c>
      <c r="J201" s="353">
        <v>0.3</v>
      </c>
      <c r="K201" s="353"/>
      <c r="L201" s="7" t="s">
        <v>14</v>
      </c>
      <c r="M201" s="7"/>
      <c r="N201" s="7"/>
      <c r="O201" s="7"/>
      <c r="P201" s="10"/>
      <c r="Q201" s="37"/>
      <c r="R201" s="37"/>
      <c r="S201" s="37"/>
      <c r="T201" s="7"/>
      <c r="U201" s="1"/>
      <c r="V201" s="7"/>
      <c r="Z201" s="39"/>
      <c r="AA201" s="10"/>
      <c r="AB201" s="1"/>
      <c r="AC201" s="1"/>
      <c r="AD201" s="87" t="s">
        <v>25</v>
      </c>
    </row>
    <row r="202" spans="1:35" s="1" customFormat="1" ht="12.95" customHeight="1">
      <c r="A202" s="369" t="s">
        <v>57</v>
      </c>
      <c r="B202" s="352"/>
      <c r="C202" s="352"/>
      <c r="D202" s="352"/>
      <c r="E202" s="33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10"/>
      <c r="Q202" s="37"/>
      <c r="R202" s="37"/>
      <c r="S202" s="37"/>
      <c r="T202" s="7"/>
      <c r="V202" s="7"/>
      <c r="W202" s="38"/>
      <c r="X202" s="38"/>
      <c r="Y202" s="38"/>
      <c r="Z202" s="39"/>
      <c r="AA202" s="482">
        <f>P203</f>
        <v>32</v>
      </c>
      <c r="AB202" s="482"/>
      <c r="AC202" s="482"/>
      <c r="AD202" s="6"/>
    </row>
    <row r="203" spans="1:35" s="1" customFormat="1" ht="12.95" customHeight="1">
      <c r="A203" s="351"/>
      <c r="B203" s="352"/>
      <c r="C203" s="352"/>
      <c r="D203" s="352"/>
      <c r="E203" s="334"/>
      <c r="F203" s="7"/>
      <c r="G203" s="7"/>
      <c r="H203" s="372">
        <f>J201</f>
        <v>0.3</v>
      </c>
      <c r="I203" s="372"/>
      <c r="J203" s="372"/>
      <c r="K203" s="50" t="s">
        <v>8</v>
      </c>
      <c r="L203" s="373">
        <v>5.45E-2</v>
      </c>
      <c r="M203" s="373"/>
      <c r="N203" s="373"/>
      <c r="O203" s="50" t="s">
        <v>8</v>
      </c>
      <c r="P203" s="445">
        <f>4*4*2</f>
        <v>32</v>
      </c>
      <c r="Q203" s="445"/>
      <c r="R203" s="50" t="s">
        <v>25</v>
      </c>
      <c r="S203" s="50"/>
      <c r="T203" s="50"/>
      <c r="U203" s="50"/>
      <c r="V203" s="50"/>
      <c r="W203" s="38" t="s">
        <v>35</v>
      </c>
      <c r="X203" s="376">
        <f>ROUND(H203*L203*P203,3)</f>
        <v>0.52300000000000002</v>
      </c>
      <c r="Y203" s="376"/>
      <c r="Z203" s="377"/>
      <c r="AD203" s="59" t="s">
        <v>58</v>
      </c>
    </row>
    <row r="204" spans="1:35" s="1" customFormat="1" ht="12.95" customHeight="1">
      <c r="A204" s="5"/>
      <c r="E204" s="6"/>
      <c r="F204" s="7"/>
      <c r="G204" s="7"/>
      <c r="H204" s="52"/>
      <c r="I204" s="52"/>
      <c r="J204" s="52"/>
      <c r="K204" s="50"/>
      <c r="L204" s="69"/>
      <c r="M204" s="69"/>
      <c r="N204" s="69"/>
      <c r="O204" s="50"/>
      <c r="P204" s="68"/>
      <c r="Q204" s="50"/>
      <c r="R204" s="43"/>
      <c r="S204" s="43"/>
      <c r="T204" s="50"/>
      <c r="U204" s="50"/>
      <c r="V204" s="50"/>
      <c r="W204" s="38"/>
      <c r="X204" s="38"/>
      <c r="Y204" s="38"/>
      <c r="Z204" s="39"/>
      <c r="AA204" s="375">
        <f>X203</f>
        <v>0.52300000000000002</v>
      </c>
      <c r="AB204" s="375"/>
      <c r="AC204" s="375"/>
      <c r="AD204" s="6"/>
    </row>
    <row r="205" spans="1:35" s="1" customFormat="1" ht="12.95" customHeight="1">
      <c r="A205" s="5"/>
      <c r="B205" s="8"/>
      <c r="C205" s="8"/>
      <c r="D205" s="8"/>
      <c r="E205" s="9"/>
      <c r="F205" s="7"/>
      <c r="G205" s="35"/>
      <c r="H205" s="50"/>
      <c r="I205" s="50"/>
      <c r="J205" s="38"/>
      <c r="K205" s="367" t="s">
        <v>39</v>
      </c>
      <c r="L205" s="367"/>
      <c r="M205" s="367"/>
      <c r="N205" s="367"/>
      <c r="O205" s="367"/>
      <c r="P205" s="367"/>
      <c r="Q205" s="367"/>
      <c r="R205" s="367"/>
      <c r="S205" s="80"/>
      <c r="T205" s="7"/>
      <c r="V205" s="40"/>
      <c r="X205" s="38"/>
      <c r="Y205" s="38" t="s">
        <v>40</v>
      </c>
      <c r="Z205" s="39"/>
      <c r="AC205" s="37"/>
      <c r="AD205" s="6"/>
    </row>
    <row r="206" spans="1:35" s="1" customFormat="1" ht="12.95" customHeight="1">
      <c r="A206" s="5"/>
      <c r="B206" s="8"/>
      <c r="C206" s="8"/>
      <c r="D206" s="8"/>
      <c r="E206" s="9"/>
      <c r="F206" s="341" t="s">
        <v>41</v>
      </c>
      <c r="G206" s="341"/>
      <c r="H206" s="341"/>
      <c r="I206" s="342" t="s">
        <v>42</v>
      </c>
      <c r="J206" s="343"/>
      <c r="K206" s="343"/>
      <c r="L206" s="343"/>
      <c r="M206" s="344"/>
      <c r="N206" s="340" t="s">
        <v>43</v>
      </c>
      <c r="O206" s="340"/>
      <c r="P206" s="458" t="s">
        <v>44</v>
      </c>
      <c r="Q206" s="458"/>
      <c r="R206" s="458"/>
      <c r="S206" s="73"/>
      <c r="T206" s="340" t="s">
        <v>45</v>
      </c>
      <c r="U206" s="340"/>
      <c r="V206" s="340"/>
      <c r="W206" s="340"/>
      <c r="X206" s="340" t="s">
        <v>20</v>
      </c>
      <c r="Y206" s="340"/>
      <c r="Z206" s="340"/>
      <c r="AD206" s="6"/>
    </row>
    <row r="207" spans="1:35" s="1" customFormat="1" ht="12.95" customHeight="1">
      <c r="A207" s="5"/>
      <c r="B207" s="8"/>
      <c r="C207" s="8"/>
      <c r="D207" s="8"/>
      <c r="E207" s="9"/>
      <c r="F207" s="341" t="s">
        <v>59</v>
      </c>
      <c r="G207" s="341"/>
      <c r="H207" s="341"/>
      <c r="I207" s="342" t="s">
        <v>60</v>
      </c>
      <c r="J207" s="343"/>
      <c r="K207" s="343"/>
      <c r="L207" s="343"/>
      <c r="M207" s="344"/>
      <c r="N207" s="340" t="s">
        <v>25</v>
      </c>
      <c r="O207" s="340"/>
      <c r="P207" s="341" t="s">
        <v>164</v>
      </c>
      <c r="Q207" s="341"/>
      <c r="R207" s="341"/>
      <c r="S207" s="71"/>
      <c r="T207" s="348">
        <v>1</v>
      </c>
      <c r="U207" s="348"/>
      <c r="V207" s="348"/>
      <c r="W207" s="348"/>
      <c r="X207" s="340"/>
      <c r="Y207" s="340"/>
      <c r="Z207" s="340"/>
      <c r="AD207" s="6"/>
    </row>
    <row r="208" spans="1:35" s="1" customFormat="1" ht="12.95" customHeight="1">
      <c r="A208" s="5"/>
      <c r="B208" s="8"/>
      <c r="C208" s="8"/>
      <c r="D208" s="8"/>
      <c r="E208" s="9"/>
      <c r="F208" s="341" t="s">
        <v>52</v>
      </c>
      <c r="G208" s="341"/>
      <c r="H208" s="341"/>
      <c r="I208" s="342" t="s">
        <v>53</v>
      </c>
      <c r="J208" s="343"/>
      <c r="K208" s="343"/>
      <c r="L208" s="343"/>
      <c r="M208" s="344"/>
      <c r="N208" s="340" t="s">
        <v>25</v>
      </c>
      <c r="O208" s="340"/>
      <c r="P208" s="358"/>
      <c r="Q208" s="359"/>
      <c r="R208" s="360"/>
      <c r="S208" s="77"/>
      <c r="T208" s="348">
        <v>6</v>
      </c>
      <c r="U208" s="348"/>
      <c r="V208" s="348"/>
      <c r="W208" s="348"/>
      <c r="X208" s="340"/>
      <c r="Y208" s="340"/>
      <c r="Z208" s="340"/>
      <c r="AC208" s="37"/>
      <c r="AD208" s="6"/>
    </row>
    <row r="209" spans="1:30" s="1" customFormat="1" ht="12.95" customHeight="1">
      <c r="A209" s="5"/>
      <c r="B209" s="8"/>
      <c r="C209" s="8"/>
      <c r="D209" s="8"/>
      <c r="E209" s="9"/>
      <c r="F209" s="361" t="s">
        <v>48</v>
      </c>
      <c r="G209" s="362"/>
      <c r="H209" s="363"/>
      <c r="I209" s="342" t="s">
        <v>61</v>
      </c>
      <c r="J209" s="343"/>
      <c r="K209" s="343"/>
      <c r="L209" s="343"/>
      <c r="M209" s="344"/>
      <c r="N209" s="340" t="s">
        <v>25</v>
      </c>
      <c r="O209" s="340"/>
      <c r="P209" s="358"/>
      <c r="Q209" s="359"/>
      <c r="R209" s="360"/>
      <c r="S209" s="77"/>
      <c r="T209" s="348">
        <v>6</v>
      </c>
      <c r="U209" s="348"/>
      <c r="V209" s="348"/>
      <c r="W209" s="348"/>
      <c r="X209" s="340"/>
      <c r="Y209" s="340"/>
      <c r="Z209" s="340"/>
      <c r="AC209" s="37"/>
      <c r="AD209" s="6"/>
    </row>
    <row r="210" spans="1:30" s="1" customFormat="1" ht="12.95" customHeight="1">
      <c r="A210" s="5"/>
      <c r="B210" s="8"/>
      <c r="C210" s="8"/>
      <c r="D210" s="8"/>
      <c r="E210" s="9"/>
      <c r="F210" s="364"/>
      <c r="G210" s="365"/>
      <c r="H210" s="366"/>
      <c r="I210" s="342" t="s">
        <v>62</v>
      </c>
      <c r="J210" s="343"/>
      <c r="K210" s="343"/>
      <c r="L210" s="343"/>
      <c r="M210" s="344"/>
      <c r="N210" s="340" t="s">
        <v>25</v>
      </c>
      <c r="O210" s="340"/>
      <c r="P210" s="358"/>
      <c r="Q210" s="359"/>
      <c r="R210" s="360"/>
      <c r="S210" s="76"/>
      <c r="T210" s="355">
        <v>6</v>
      </c>
      <c r="U210" s="356"/>
      <c r="V210" s="356"/>
      <c r="W210" s="357"/>
      <c r="X210" s="340"/>
      <c r="Y210" s="340"/>
      <c r="Z210" s="340"/>
      <c r="AC210" s="37"/>
      <c r="AD210" s="6"/>
    </row>
    <row r="211" spans="1:30" s="1" customFormat="1" ht="12.95" customHeight="1">
      <c r="A211" s="26"/>
      <c r="B211" s="21"/>
      <c r="C211" s="21"/>
      <c r="D211" s="21"/>
      <c r="E211" s="27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30"/>
      <c r="X211" s="30"/>
      <c r="Y211" s="21"/>
      <c r="Z211" s="27"/>
      <c r="AA211" s="21"/>
      <c r="AB211" s="21"/>
      <c r="AC211" s="21"/>
      <c r="AD211" s="27"/>
    </row>
    <row r="212" spans="1:30" ht="12.95" customHeight="1">
      <c r="A212" s="2"/>
      <c r="B212" s="3"/>
      <c r="C212" s="3"/>
      <c r="D212" s="3"/>
      <c r="E212" s="3"/>
      <c r="F212" s="179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1"/>
      <c r="X212" s="181"/>
      <c r="Y212" s="3"/>
      <c r="Z212" s="4"/>
      <c r="AA212" s="2"/>
      <c r="AB212" s="3"/>
      <c r="AC212" s="3"/>
      <c r="AD212" s="4"/>
    </row>
    <row r="213" spans="1:30" ht="12.95" customHeight="1">
      <c r="A213" s="383" t="s">
        <v>292</v>
      </c>
      <c r="B213" s="349"/>
      <c r="C213" s="349"/>
      <c r="D213" s="349"/>
      <c r="E213" s="332"/>
      <c r="F213" s="84"/>
      <c r="G213" s="1" t="s">
        <v>122</v>
      </c>
      <c r="H213" s="384">
        <v>2.7</v>
      </c>
      <c r="I213" s="384"/>
      <c r="J213" s="384"/>
      <c r="K213" s="7" t="s">
        <v>119</v>
      </c>
      <c r="L213" s="7"/>
      <c r="M213" s="7"/>
      <c r="N213" s="7"/>
      <c r="O213" s="7"/>
      <c r="P213" s="7"/>
      <c r="Q213" s="7" t="s">
        <v>130</v>
      </c>
      <c r="R213" s="7"/>
      <c r="S213" s="7"/>
      <c r="T213" s="1"/>
      <c r="U213" s="1"/>
      <c r="V213" s="1"/>
      <c r="W213" s="10"/>
      <c r="X213" s="10"/>
      <c r="Y213" s="1"/>
      <c r="Z213" s="6"/>
      <c r="AA213" s="5"/>
      <c r="AB213" s="1"/>
      <c r="AC213" s="1"/>
      <c r="AD213" s="6"/>
    </row>
    <row r="214" spans="1:30" ht="12.95" customHeight="1">
      <c r="A214" s="330"/>
      <c r="B214" s="349"/>
      <c r="C214" s="349"/>
      <c r="D214" s="349"/>
      <c r="E214" s="332"/>
      <c r="F214" s="8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10"/>
      <c r="X214" s="10"/>
      <c r="Y214" s="1"/>
      <c r="Z214" s="6"/>
      <c r="AA214" s="5"/>
      <c r="AB214" s="1"/>
      <c r="AC214" s="1"/>
      <c r="AD214" s="6" t="s">
        <v>119</v>
      </c>
    </row>
    <row r="215" spans="1:30" ht="12.95" customHeight="1">
      <c r="A215" s="369" t="s">
        <v>281</v>
      </c>
      <c r="B215" s="352"/>
      <c r="C215" s="352"/>
      <c r="D215" s="352"/>
      <c r="E215" s="334"/>
      <c r="F215" s="84"/>
      <c r="G215" s="7"/>
      <c r="H215" s="378">
        <f>H213</f>
        <v>2.7</v>
      </c>
      <c r="I215" s="379"/>
      <c r="J215" s="379"/>
      <c r="K215" s="1" t="s">
        <v>117</v>
      </c>
      <c r="L215" s="182">
        <v>38</v>
      </c>
      <c r="M215" s="380" t="s">
        <v>132</v>
      </c>
      <c r="N215" s="380"/>
      <c r="O215" s="7"/>
      <c r="P215" s="7"/>
      <c r="Q215" s="7"/>
      <c r="R215" s="7"/>
      <c r="S215" s="7"/>
      <c r="T215" s="7"/>
      <c r="U215" s="7"/>
      <c r="V215" s="7"/>
      <c r="W215" s="1" t="s">
        <v>113</v>
      </c>
      <c r="X215" s="352">
        <f>H215*L215</f>
        <v>102.60000000000001</v>
      </c>
      <c r="Y215" s="352"/>
      <c r="Z215" s="334"/>
      <c r="AA215" s="335">
        <f>ROUNDUP(X215,0)</f>
        <v>103</v>
      </c>
      <c r="AB215" s="375"/>
      <c r="AC215" s="375"/>
      <c r="AD215" s="6"/>
    </row>
    <row r="216" spans="1:30" ht="12.95" customHeight="1">
      <c r="A216" s="5"/>
      <c r="B216" s="1"/>
      <c r="C216" s="1"/>
      <c r="D216" s="1"/>
      <c r="E216" s="1"/>
      <c r="F216" s="8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5"/>
      <c r="AB216" s="1"/>
      <c r="AC216" s="352" t="s">
        <v>134</v>
      </c>
      <c r="AD216" s="334"/>
    </row>
    <row r="217" spans="1:30" ht="12.95" customHeight="1">
      <c r="A217" s="5"/>
      <c r="B217" s="1"/>
      <c r="C217" s="1"/>
      <c r="D217" s="1"/>
      <c r="E217" s="1"/>
      <c r="F217" s="84"/>
      <c r="G217" s="7"/>
      <c r="H217" s="7"/>
      <c r="I217" s="378">
        <f>H215</f>
        <v>2.7</v>
      </c>
      <c r="J217" s="379"/>
      <c r="K217" s="1" t="s">
        <v>117</v>
      </c>
      <c r="L217" s="16">
        <f>L215</f>
        <v>38</v>
      </c>
      <c r="M217" s="380" t="s">
        <v>132</v>
      </c>
      <c r="N217" s="380"/>
      <c r="O217" s="16" t="s">
        <v>117</v>
      </c>
      <c r="P217" s="381">
        <v>17.899999999999999</v>
      </c>
      <c r="Q217" s="381"/>
      <c r="R217" s="379" t="s">
        <v>133</v>
      </c>
      <c r="S217" s="379"/>
      <c r="T217" s="7"/>
      <c r="U217" s="7"/>
      <c r="V217" s="7"/>
      <c r="W217" s="1" t="s">
        <v>113</v>
      </c>
      <c r="X217" s="352">
        <f>ROUND(I217*L217*P217/1000,3)</f>
        <v>1.837</v>
      </c>
      <c r="Y217" s="352"/>
      <c r="Z217" s="334"/>
      <c r="AA217" s="335">
        <f>X217</f>
        <v>1.837</v>
      </c>
      <c r="AB217" s="375"/>
      <c r="AC217" s="375"/>
      <c r="AD217" s="6"/>
    </row>
    <row r="218" spans="1:30" ht="12.95" customHeight="1">
      <c r="A218" s="26"/>
      <c r="B218" s="21"/>
      <c r="C218" s="21"/>
      <c r="D218" s="21"/>
      <c r="E218" s="21"/>
      <c r="F218" s="10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30"/>
      <c r="X218" s="30"/>
      <c r="Y218" s="21"/>
      <c r="Z218" s="27"/>
      <c r="AA218" s="26"/>
      <c r="AB218" s="21"/>
      <c r="AC218" s="21"/>
      <c r="AD218" s="27"/>
    </row>
    <row r="219" spans="1:30" ht="12.95" customHeight="1">
      <c r="A219" s="66"/>
      <c r="F219" s="66"/>
      <c r="Z219" s="39"/>
      <c r="AD219" s="39"/>
    </row>
    <row r="220" spans="1:30" ht="12.95" customHeight="1">
      <c r="A220" s="330" t="s">
        <v>293</v>
      </c>
      <c r="B220" s="349"/>
      <c r="C220" s="349"/>
      <c r="D220" s="349"/>
      <c r="E220" s="332"/>
      <c r="F220" s="7"/>
      <c r="G220" s="350" t="s">
        <v>277</v>
      </c>
      <c r="H220" s="350"/>
      <c r="I220" s="350"/>
      <c r="J220" s="350"/>
      <c r="K220" s="350"/>
      <c r="L220" s="350"/>
      <c r="M220" s="350"/>
      <c r="N220" s="7"/>
      <c r="O220" s="7"/>
      <c r="P220" s="10"/>
      <c r="Q220" s="37"/>
      <c r="R220" s="37"/>
      <c r="S220" s="37"/>
      <c r="T220" s="7"/>
      <c r="U220" s="1"/>
      <c r="V220" s="7"/>
      <c r="Z220" s="39"/>
      <c r="AA220" s="1"/>
      <c r="AB220" s="1"/>
      <c r="AC220" s="1"/>
      <c r="AD220" s="6"/>
    </row>
    <row r="221" spans="1:30" ht="12.95" customHeight="1">
      <c r="A221" s="351" t="s">
        <v>55</v>
      </c>
      <c r="B221" s="352"/>
      <c r="C221" s="352"/>
      <c r="D221" s="352"/>
      <c r="E221" s="334"/>
      <c r="F221" s="7"/>
      <c r="G221" s="7"/>
      <c r="H221" s="7"/>
      <c r="I221" s="7" t="s">
        <v>56</v>
      </c>
      <c r="J221" s="353">
        <v>32.9</v>
      </c>
      <c r="K221" s="353"/>
      <c r="L221" s="7" t="s">
        <v>278</v>
      </c>
      <c r="M221" s="7"/>
      <c r="N221" s="50" t="s">
        <v>8</v>
      </c>
      <c r="O221" s="337">
        <f>P223</f>
        <v>4</v>
      </c>
      <c r="P221" s="337"/>
      <c r="Q221" s="50" t="s">
        <v>25</v>
      </c>
      <c r="R221" s="37"/>
      <c r="S221" s="37"/>
      <c r="T221" s="7"/>
      <c r="U221" s="1"/>
      <c r="V221" s="7"/>
      <c r="X221" s="185"/>
      <c r="Y221" s="185"/>
      <c r="Z221" s="186"/>
      <c r="AA221" s="368">
        <f>O221</f>
        <v>4</v>
      </c>
      <c r="AB221" s="339"/>
      <c r="AC221" s="339"/>
      <c r="AD221" s="87" t="s">
        <v>25</v>
      </c>
    </row>
    <row r="222" spans="1:30" ht="12.95" customHeight="1">
      <c r="A222" s="369" t="s">
        <v>276</v>
      </c>
      <c r="B222" s="370"/>
      <c r="C222" s="370"/>
      <c r="D222" s="370"/>
      <c r="E222" s="371"/>
      <c r="F222" s="7"/>
      <c r="G222" s="7"/>
      <c r="H222" s="7"/>
      <c r="I222" s="7"/>
      <c r="J222" s="183"/>
      <c r="K222" s="183"/>
      <c r="L222" s="7"/>
      <c r="M222" s="7"/>
      <c r="N222" s="50"/>
      <c r="O222" s="184"/>
      <c r="P222" s="184"/>
      <c r="Q222" s="50"/>
      <c r="R222" s="37"/>
      <c r="S222" s="37"/>
      <c r="T222" s="7"/>
      <c r="U222" s="1"/>
      <c r="V222" s="7"/>
      <c r="X222" s="185"/>
      <c r="Y222" s="185"/>
      <c r="Z222" s="186"/>
      <c r="AA222" s="187"/>
      <c r="AB222" s="188"/>
      <c r="AC222" s="188"/>
      <c r="AD222" s="87"/>
    </row>
    <row r="223" spans="1:30" ht="12.95" customHeight="1">
      <c r="A223" s="369"/>
      <c r="B223" s="370"/>
      <c r="C223" s="370"/>
      <c r="D223" s="370"/>
      <c r="E223" s="371"/>
      <c r="F223" s="7"/>
      <c r="G223" s="7"/>
      <c r="H223" s="372">
        <f>J221</f>
        <v>32.9</v>
      </c>
      <c r="I223" s="372"/>
      <c r="J223" s="372"/>
      <c r="K223" s="50" t="s">
        <v>8</v>
      </c>
      <c r="L223" s="373">
        <v>5.45E-2</v>
      </c>
      <c r="M223" s="373"/>
      <c r="N223" s="373"/>
      <c r="O223" s="50" t="s">
        <v>8</v>
      </c>
      <c r="P223" s="374">
        <v>4</v>
      </c>
      <c r="Q223" s="374"/>
      <c r="R223" s="50" t="s">
        <v>25</v>
      </c>
      <c r="S223" s="50"/>
      <c r="T223" s="50"/>
      <c r="U223" s="50"/>
      <c r="V223" s="50"/>
      <c r="W223" s="38" t="s">
        <v>35</v>
      </c>
      <c r="X223" s="376">
        <f>ROUND(H223*L223*P223,3)</f>
        <v>7.1719999999999997</v>
      </c>
      <c r="Y223" s="376"/>
      <c r="Z223" s="377"/>
      <c r="AA223" s="375">
        <f>X223+X224</f>
        <v>7.1719999999999997</v>
      </c>
      <c r="AB223" s="375"/>
      <c r="AC223" s="375"/>
      <c r="AD223" s="59" t="s">
        <v>58</v>
      </c>
    </row>
    <row r="224" spans="1:30" ht="12.95" customHeight="1">
      <c r="A224" s="5"/>
      <c r="B224" s="1"/>
      <c r="C224" s="1"/>
      <c r="D224" s="1"/>
      <c r="E224" s="6"/>
      <c r="F224" s="7"/>
      <c r="G224" s="7"/>
      <c r="H224" s="372"/>
      <c r="I224" s="372"/>
      <c r="J224" s="372"/>
      <c r="K224" s="50"/>
      <c r="L224" s="373"/>
      <c r="M224" s="373"/>
      <c r="N224" s="373"/>
      <c r="O224" s="50"/>
      <c r="P224" s="374"/>
      <c r="Q224" s="374"/>
      <c r="R224" s="50"/>
      <c r="S224" s="50"/>
      <c r="T224" s="50"/>
      <c r="U224" s="50"/>
      <c r="V224" s="50"/>
      <c r="X224" s="376"/>
      <c r="Y224" s="376"/>
      <c r="Z224" s="377"/>
      <c r="AA224" s="1"/>
      <c r="AB224" s="1"/>
      <c r="AC224" s="1"/>
      <c r="AD224" s="59"/>
    </row>
    <row r="225" spans="1:30" ht="12.95" customHeight="1">
      <c r="A225" s="5"/>
      <c r="B225" s="8"/>
      <c r="C225" s="8"/>
      <c r="D225" s="8"/>
      <c r="E225" s="9"/>
      <c r="F225" s="7"/>
      <c r="G225" s="35"/>
      <c r="H225" s="50"/>
      <c r="I225" s="50"/>
      <c r="K225" s="367" t="s">
        <v>39</v>
      </c>
      <c r="L225" s="367"/>
      <c r="M225" s="367"/>
      <c r="N225" s="367"/>
      <c r="O225" s="367"/>
      <c r="P225" s="367"/>
      <c r="Q225" s="367"/>
      <c r="R225" s="367"/>
      <c r="S225" s="80"/>
      <c r="T225" s="7"/>
      <c r="U225" s="1"/>
      <c r="V225" s="40"/>
      <c r="W225" s="1"/>
      <c r="Y225" s="38" t="s">
        <v>40</v>
      </c>
      <c r="Z225" s="39"/>
      <c r="AA225" s="1"/>
      <c r="AB225" s="1"/>
      <c r="AC225" s="37"/>
      <c r="AD225" s="6"/>
    </row>
    <row r="226" spans="1:30" ht="12.95" customHeight="1">
      <c r="A226" s="5"/>
      <c r="B226" s="8"/>
      <c r="C226" s="8"/>
      <c r="D226" s="8"/>
      <c r="E226" s="9"/>
      <c r="F226" s="341" t="s">
        <v>41</v>
      </c>
      <c r="G226" s="341"/>
      <c r="H226" s="341"/>
      <c r="I226" s="342" t="s">
        <v>42</v>
      </c>
      <c r="J226" s="343"/>
      <c r="K226" s="343"/>
      <c r="L226" s="343"/>
      <c r="M226" s="344"/>
      <c r="N226" s="340" t="s">
        <v>43</v>
      </c>
      <c r="O226" s="340"/>
      <c r="P226" s="342" t="s">
        <v>44</v>
      </c>
      <c r="Q226" s="343"/>
      <c r="R226" s="343"/>
      <c r="S226" s="344"/>
      <c r="T226" s="340" t="s">
        <v>45</v>
      </c>
      <c r="U226" s="340"/>
      <c r="V226" s="340"/>
      <c r="W226" s="340"/>
      <c r="X226" s="340" t="s">
        <v>20</v>
      </c>
      <c r="Y226" s="340"/>
      <c r="Z226" s="340"/>
      <c r="AA226" s="1"/>
      <c r="AB226" s="1"/>
      <c r="AC226" s="1"/>
      <c r="AD226" s="6"/>
    </row>
    <row r="227" spans="1:30" ht="12.95" customHeight="1">
      <c r="A227" s="5"/>
      <c r="B227" s="8"/>
      <c r="C227" s="8"/>
      <c r="D227" s="8"/>
      <c r="E227" s="9"/>
      <c r="F227" s="341" t="s">
        <v>59</v>
      </c>
      <c r="G227" s="341"/>
      <c r="H227" s="341"/>
      <c r="I227" s="342" t="s">
        <v>279</v>
      </c>
      <c r="J227" s="343"/>
      <c r="K227" s="343"/>
      <c r="L227" s="343"/>
      <c r="M227" s="344"/>
      <c r="N227" s="340" t="s">
        <v>25</v>
      </c>
      <c r="O227" s="340"/>
      <c r="P227" s="345" t="s">
        <v>280</v>
      </c>
      <c r="Q227" s="346"/>
      <c r="R227" s="346"/>
      <c r="S227" s="347"/>
      <c r="T227" s="348">
        <v>1</v>
      </c>
      <c r="U227" s="348"/>
      <c r="V227" s="348"/>
      <c r="W227" s="348"/>
      <c r="X227" s="340"/>
      <c r="Y227" s="340"/>
      <c r="Z227" s="340"/>
      <c r="AA227" s="1"/>
      <c r="AB227" s="1"/>
      <c r="AC227" s="1"/>
      <c r="AD227" s="6"/>
    </row>
    <row r="228" spans="1:30" ht="12.95" customHeight="1">
      <c r="A228" s="5"/>
      <c r="B228" s="8"/>
      <c r="C228" s="8"/>
      <c r="D228" s="8"/>
      <c r="E228" s="9"/>
      <c r="F228" s="341" t="s">
        <v>52</v>
      </c>
      <c r="G228" s="341"/>
      <c r="H228" s="341"/>
      <c r="I228" s="342" t="s">
        <v>53</v>
      </c>
      <c r="J228" s="343"/>
      <c r="K228" s="343"/>
      <c r="L228" s="343"/>
      <c r="M228" s="344"/>
      <c r="N228" s="340" t="s">
        <v>25</v>
      </c>
      <c r="O228" s="340"/>
      <c r="P228" s="358"/>
      <c r="Q228" s="359"/>
      <c r="R228" s="359"/>
      <c r="S228" s="360"/>
      <c r="T228" s="348">
        <v>6</v>
      </c>
      <c r="U228" s="348"/>
      <c r="V228" s="348"/>
      <c r="W228" s="348"/>
      <c r="X228" s="340"/>
      <c r="Y228" s="340"/>
      <c r="Z228" s="340"/>
      <c r="AA228" s="1"/>
      <c r="AB228" s="1"/>
      <c r="AC228" s="37"/>
      <c r="AD228" s="6"/>
    </row>
    <row r="229" spans="1:30" ht="12.95" customHeight="1">
      <c r="A229" s="5"/>
      <c r="B229" s="8"/>
      <c r="C229" s="8"/>
      <c r="D229" s="8"/>
      <c r="E229" s="9"/>
      <c r="F229" s="361" t="s">
        <v>48</v>
      </c>
      <c r="G229" s="362"/>
      <c r="H229" s="363"/>
      <c r="I229" s="342" t="s">
        <v>282</v>
      </c>
      <c r="J229" s="343"/>
      <c r="K229" s="343"/>
      <c r="L229" s="343"/>
      <c r="M229" s="344"/>
      <c r="N229" s="340" t="s">
        <v>25</v>
      </c>
      <c r="O229" s="340"/>
      <c r="P229" s="358"/>
      <c r="Q229" s="359"/>
      <c r="R229" s="359"/>
      <c r="S229" s="360"/>
      <c r="T229" s="348">
        <v>6</v>
      </c>
      <c r="U229" s="348"/>
      <c r="V229" s="348"/>
      <c r="W229" s="348"/>
      <c r="X229" s="340"/>
      <c r="Y229" s="340"/>
      <c r="Z229" s="340"/>
      <c r="AA229" s="1"/>
      <c r="AB229" s="1"/>
      <c r="AC229" s="37"/>
      <c r="AD229" s="6"/>
    </row>
    <row r="230" spans="1:30" ht="12.95" customHeight="1">
      <c r="A230" s="5"/>
      <c r="B230" s="8"/>
      <c r="C230" s="8"/>
      <c r="D230" s="8"/>
      <c r="E230" s="9"/>
      <c r="F230" s="364"/>
      <c r="G230" s="365"/>
      <c r="H230" s="366"/>
      <c r="I230" s="342" t="s">
        <v>73</v>
      </c>
      <c r="J230" s="343"/>
      <c r="K230" s="343"/>
      <c r="L230" s="343"/>
      <c r="M230" s="344"/>
      <c r="N230" s="340" t="s">
        <v>25</v>
      </c>
      <c r="O230" s="340"/>
      <c r="P230" s="358"/>
      <c r="Q230" s="359"/>
      <c r="R230" s="359"/>
      <c r="S230" s="360"/>
      <c r="T230" s="355">
        <v>6</v>
      </c>
      <c r="U230" s="356"/>
      <c r="V230" s="356"/>
      <c r="W230" s="357"/>
      <c r="X230" s="340"/>
      <c r="Y230" s="340"/>
      <c r="Z230" s="340"/>
      <c r="AA230" s="1"/>
      <c r="AB230" s="1"/>
      <c r="AC230" s="37"/>
      <c r="AD230" s="6"/>
    </row>
    <row r="231" spans="1:30" ht="12.95" customHeight="1">
      <c r="A231" s="26"/>
      <c r="B231" s="21"/>
      <c r="C231" s="21"/>
      <c r="D231" s="21"/>
      <c r="E231" s="27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30"/>
      <c r="X231" s="30"/>
      <c r="Y231" s="21"/>
      <c r="Z231" s="27"/>
      <c r="AA231" s="21"/>
      <c r="AB231" s="21"/>
      <c r="AC231" s="21"/>
      <c r="AD231" s="27"/>
    </row>
    <row r="232" spans="1:30" ht="12.95" customHeight="1">
      <c r="A232" s="269"/>
      <c r="B232" s="270"/>
      <c r="C232" s="270"/>
      <c r="D232" s="270"/>
      <c r="E232" s="271"/>
      <c r="F232" s="269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1"/>
      <c r="AA232" s="269"/>
      <c r="AB232" s="270"/>
      <c r="AC232" s="270"/>
      <c r="AD232" s="271"/>
    </row>
    <row r="233" spans="1:30" ht="12.95" customHeight="1">
      <c r="A233" s="330" t="s">
        <v>332</v>
      </c>
      <c r="B233" s="331"/>
      <c r="C233" s="331"/>
      <c r="D233" s="331"/>
      <c r="E233" s="332"/>
      <c r="F233" s="273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80"/>
      <c r="X233" s="280"/>
      <c r="Y233" s="279"/>
      <c r="Z233" s="265"/>
      <c r="AA233" s="264"/>
      <c r="AB233" s="279"/>
      <c r="AC233" s="279"/>
      <c r="AD233" s="87" t="s">
        <v>25</v>
      </c>
    </row>
    <row r="234" spans="1:30" ht="12.95" customHeight="1">
      <c r="A234" s="275"/>
      <c r="B234" s="277"/>
      <c r="C234" s="277"/>
      <c r="D234" s="277"/>
      <c r="E234" s="276"/>
      <c r="F234" s="273"/>
      <c r="G234" s="281" t="s">
        <v>333</v>
      </c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9" t="s">
        <v>113</v>
      </c>
      <c r="X234" s="333">
        <v>4</v>
      </c>
      <c r="Y234" s="333"/>
      <c r="Z234" s="334"/>
      <c r="AA234" s="335">
        <f>ROUNDUP(X234,0)</f>
        <v>4</v>
      </c>
      <c r="AB234" s="336"/>
      <c r="AC234" s="336"/>
      <c r="AD234" s="265"/>
    </row>
    <row r="235" spans="1:30" ht="12.95" customHeight="1">
      <c r="A235" s="273"/>
      <c r="B235" s="278"/>
      <c r="C235" s="278"/>
      <c r="D235" s="278"/>
      <c r="E235" s="266"/>
      <c r="F235" s="273"/>
      <c r="G235" s="281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80"/>
      <c r="X235" s="280"/>
      <c r="Y235" s="279"/>
      <c r="Z235" s="265"/>
      <c r="AA235" s="264"/>
      <c r="AB235" s="279"/>
      <c r="AC235" s="279"/>
      <c r="AD235" s="87" t="s">
        <v>25</v>
      </c>
    </row>
    <row r="236" spans="1:30" ht="12.95" customHeight="1">
      <c r="A236" s="273"/>
      <c r="B236" s="278"/>
      <c r="C236" s="278"/>
      <c r="D236" s="278"/>
      <c r="E236" s="266"/>
      <c r="F236" s="273"/>
      <c r="G236" s="281" t="s">
        <v>334</v>
      </c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9" t="s">
        <v>113</v>
      </c>
      <c r="X236" s="333">
        <v>4</v>
      </c>
      <c r="Y236" s="333"/>
      <c r="Z236" s="334"/>
      <c r="AA236" s="335">
        <f>ROUNDUP(X236,0)</f>
        <v>4</v>
      </c>
      <c r="AB236" s="336"/>
      <c r="AC236" s="336"/>
      <c r="AD236" s="87"/>
    </row>
    <row r="237" spans="1:30" ht="12.95" customHeight="1">
      <c r="A237" s="273"/>
      <c r="B237" s="278"/>
      <c r="C237" s="278"/>
      <c r="D237" s="278"/>
      <c r="E237" s="266"/>
      <c r="F237" s="273"/>
      <c r="G237" s="281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80"/>
      <c r="X237" s="280"/>
      <c r="Y237" s="279"/>
      <c r="Z237" s="265"/>
      <c r="AA237" s="264"/>
      <c r="AB237" s="279"/>
      <c r="AC237" s="279"/>
      <c r="AD237" s="87" t="s">
        <v>25</v>
      </c>
    </row>
    <row r="238" spans="1:30" ht="12.95" customHeight="1">
      <c r="A238" s="273"/>
      <c r="B238" s="278"/>
      <c r="C238" s="278"/>
      <c r="D238" s="278"/>
      <c r="E238" s="266"/>
      <c r="F238" s="273"/>
      <c r="G238" s="281" t="s">
        <v>335</v>
      </c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9" t="s">
        <v>113</v>
      </c>
      <c r="X238" s="333">
        <v>14</v>
      </c>
      <c r="Y238" s="333"/>
      <c r="Z238" s="334"/>
      <c r="AA238" s="335">
        <f>ROUNDUP(X238,0)</f>
        <v>14</v>
      </c>
      <c r="AB238" s="336"/>
      <c r="AC238" s="336"/>
      <c r="AD238" s="265"/>
    </row>
    <row r="239" spans="1:30" ht="12.95" customHeight="1">
      <c r="A239" s="272"/>
      <c r="B239" s="267"/>
      <c r="C239" s="267"/>
      <c r="D239" s="267"/>
      <c r="E239" s="268"/>
      <c r="F239" s="272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8"/>
      <c r="AA239" s="272"/>
      <c r="AB239" s="267"/>
      <c r="AC239" s="267"/>
      <c r="AD239" s="268"/>
    </row>
  </sheetData>
  <mergeCells count="602">
    <mergeCell ref="G99:J99"/>
    <mergeCell ref="K99:O99"/>
    <mergeCell ref="P99:Q99"/>
    <mergeCell ref="R99:U99"/>
    <mergeCell ref="V99:Y99"/>
    <mergeCell ref="T156:W156"/>
    <mergeCell ref="X156:Z156"/>
    <mergeCell ref="F154:H154"/>
    <mergeCell ref="I154:M154"/>
    <mergeCell ref="N154:O154"/>
    <mergeCell ref="X141:Z141"/>
    <mergeCell ref="X133:Z133"/>
    <mergeCell ref="X134:Z136"/>
    <mergeCell ref="T136:W136"/>
    <mergeCell ref="X139:Z139"/>
    <mergeCell ref="K147:R147"/>
    <mergeCell ref="P154:R154"/>
    <mergeCell ref="T154:W154"/>
    <mergeCell ref="X154:Z154"/>
    <mergeCell ref="F153:H153"/>
    <mergeCell ref="I153:M153"/>
    <mergeCell ref="N153:O153"/>
    <mergeCell ref="P153:R153"/>
    <mergeCell ref="T153:W153"/>
    <mergeCell ref="H11:J11"/>
    <mergeCell ref="L11:M11"/>
    <mergeCell ref="O11:P11"/>
    <mergeCell ref="K120:R120"/>
    <mergeCell ref="X119:Z119"/>
    <mergeCell ref="F148:H148"/>
    <mergeCell ref="I148:M148"/>
    <mergeCell ref="N148:O148"/>
    <mergeCell ref="P148:R148"/>
    <mergeCell ref="T148:W148"/>
    <mergeCell ref="G96:J96"/>
    <mergeCell ref="G97:J98"/>
    <mergeCell ref="K95:O95"/>
    <mergeCell ref="P95:Q95"/>
    <mergeCell ref="X148:Z148"/>
    <mergeCell ref="V94:Y94"/>
    <mergeCell ref="V95:Y95"/>
    <mergeCell ref="V96:Y96"/>
    <mergeCell ref="V97:Y97"/>
    <mergeCell ref="R95:U95"/>
    <mergeCell ref="T122:W122"/>
    <mergeCell ref="R98:U98"/>
    <mergeCell ref="X138:Z138"/>
    <mergeCell ref="T141:W141"/>
    <mergeCell ref="F208:H208"/>
    <mergeCell ref="I208:M208"/>
    <mergeCell ref="N208:O208"/>
    <mergeCell ref="P208:R208"/>
    <mergeCell ref="T208:W208"/>
    <mergeCell ref="X208:Z208"/>
    <mergeCell ref="F195:H195"/>
    <mergeCell ref="I195:M195"/>
    <mergeCell ref="N195:O195"/>
    <mergeCell ref="P195:R195"/>
    <mergeCell ref="T195:V195"/>
    <mergeCell ref="W195:Z195"/>
    <mergeCell ref="F196:H196"/>
    <mergeCell ref="I196:M196"/>
    <mergeCell ref="N196:O196"/>
    <mergeCell ref="P196:R196"/>
    <mergeCell ref="T196:V196"/>
    <mergeCell ref="W196:Z196"/>
    <mergeCell ref="F207:H207"/>
    <mergeCell ref="I207:M207"/>
    <mergeCell ref="N207:O207"/>
    <mergeCell ref="P207:R207"/>
    <mergeCell ref="T207:W207"/>
    <mergeCell ref="X207:Z207"/>
    <mergeCell ref="F209:H210"/>
    <mergeCell ref="I209:M209"/>
    <mergeCell ref="N209:O209"/>
    <mergeCell ref="P209:R209"/>
    <mergeCell ref="T209:W209"/>
    <mergeCell ref="X209:Z209"/>
    <mergeCell ref="I210:M210"/>
    <mergeCell ref="N210:O210"/>
    <mergeCell ref="P210:R210"/>
    <mergeCell ref="T210:W210"/>
    <mergeCell ref="X210:Z210"/>
    <mergeCell ref="AA204:AC204"/>
    <mergeCell ref="K205:R205"/>
    <mergeCell ref="F206:H206"/>
    <mergeCell ref="I206:M206"/>
    <mergeCell ref="N206:O206"/>
    <mergeCell ref="P206:R206"/>
    <mergeCell ref="T206:W206"/>
    <mergeCell ref="X206:Z206"/>
    <mergeCell ref="AA202:AC202"/>
    <mergeCell ref="A200:E200"/>
    <mergeCell ref="G200:M200"/>
    <mergeCell ref="A201:E201"/>
    <mergeCell ref="J201:K201"/>
    <mergeCell ref="A202:E203"/>
    <mergeCell ref="H203:J203"/>
    <mergeCell ref="L203:N203"/>
    <mergeCell ref="P203:Q203"/>
    <mergeCell ref="X203:Z203"/>
    <mergeCell ref="A193:E193"/>
    <mergeCell ref="F193:H193"/>
    <mergeCell ref="I193:M193"/>
    <mergeCell ref="N193:O193"/>
    <mergeCell ref="P193:R193"/>
    <mergeCell ref="AA193:AC193"/>
    <mergeCell ref="F194:H194"/>
    <mergeCell ref="I194:M194"/>
    <mergeCell ref="N194:O194"/>
    <mergeCell ref="P194:R194"/>
    <mergeCell ref="T194:V194"/>
    <mergeCell ref="W194:Z194"/>
    <mergeCell ref="T193:V193"/>
    <mergeCell ref="W193:Z193"/>
    <mergeCell ref="AB181:AD181"/>
    <mergeCell ref="I183:J183"/>
    <mergeCell ref="M183:N183"/>
    <mergeCell ref="P183:Q183"/>
    <mergeCell ref="R183:S183"/>
    <mergeCell ref="X183:Z183"/>
    <mergeCell ref="AC183:AD183"/>
    <mergeCell ref="AB184:AD184"/>
    <mergeCell ref="A191:E192"/>
    <mergeCell ref="X191:Z191"/>
    <mergeCell ref="K192:T192"/>
    <mergeCell ref="W192:Z192"/>
    <mergeCell ref="F175:H175"/>
    <mergeCell ref="I175:M175"/>
    <mergeCell ref="N175:O175"/>
    <mergeCell ref="P175:R175"/>
    <mergeCell ref="T175:W175"/>
    <mergeCell ref="X175:Z175"/>
    <mergeCell ref="A179:E180"/>
    <mergeCell ref="H179:J179"/>
    <mergeCell ref="A181:E181"/>
    <mergeCell ref="H181:J181"/>
    <mergeCell ref="M181:N181"/>
    <mergeCell ref="X181:Z181"/>
    <mergeCell ref="F172:H172"/>
    <mergeCell ref="I172:M172"/>
    <mergeCell ref="N172:O172"/>
    <mergeCell ref="P172:R172"/>
    <mergeCell ref="T172:W172"/>
    <mergeCell ref="X172:Z172"/>
    <mergeCell ref="F173:H174"/>
    <mergeCell ref="I173:M173"/>
    <mergeCell ref="N173:O173"/>
    <mergeCell ref="P173:R173"/>
    <mergeCell ref="T173:W173"/>
    <mergeCell ref="X173:Z173"/>
    <mergeCell ref="I174:M174"/>
    <mergeCell ref="N174:O174"/>
    <mergeCell ref="P174:R174"/>
    <mergeCell ref="T174:W174"/>
    <mergeCell ref="X174:Z174"/>
    <mergeCell ref="F168:H168"/>
    <mergeCell ref="I168:M168"/>
    <mergeCell ref="N168:O168"/>
    <mergeCell ref="P168:R168"/>
    <mergeCell ref="T168:W168"/>
    <mergeCell ref="X168:Z168"/>
    <mergeCell ref="F169:H170"/>
    <mergeCell ref="I169:M169"/>
    <mergeCell ref="N169:O169"/>
    <mergeCell ref="P169:R169"/>
    <mergeCell ref="T169:W169"/>
    <mergeCell ref="X169:Z171"/>
    <mergeCell ref="I170:M170"/>
    <mergeCell ref="N170:O170"/>
    <mergeCell ref="P170:R170"/>
    <mergeCell ref="T170:W170"/>
    <mergeCell ref="F171:H171"/>
    <mergeCell ref="I171:M171"/>
    <mergeCell ref="N171:O171"/>
    <mergeCell ref="P171:R171"/>
    <mergeCell ref="T171:W171"/>
    <mergeCell ref="A162:E162"/>
    <mergeCell ref="AB162:AC162"/>
    <mergeCell ref="A165:E166"/>
    <mergeCell ref="G165:M165"/>
    <mergeCell ref="N165:O165"/>
    <mergeCell ref="K166:R166"/>
    <mergeCell ref="A167:E167"/>
    <mergeCell ref="F167:H167"/>
    <mergeCell ref="I167:M167"/>
    <mergeCell ref="N167:O167"/>
    <mergeCell ref="P167:R167"/>
    <mergeCell ref="T167:W167"/>
    <mergeCell ref="X167:Z167"/>
    <mergeCell ref="AA167:AC167"/>
    <mergeCell ref="A160:E161"/>
    <mergeCell ref="J161:K161"/>
    <mergeCell ref="L161:M161"/>
    <mergeCell ref="AC161:AD161"/>
    <mergeCell ref="I149:M149"/>
    <mergeCell ref="N149:O149"/>
    <mergeCell ref="P149:R149"/>
    <mergeCell ref="T149:W149"/>
    <mergeCell ref="I150:M150"/>
    <mergeCell ref="I157:M157"/>
    <mergeCell ref="N157:O157"/>
    <mergeCell ref="P157:R157"/>
    <mergeCell ref="T157:W157"/>
    <mergeCell ref="F157:H157"/>
    <mergeCell ref="X157:Z157"/>
    <mergeCell ref="F155:H156"/>
    <mergeCell ref="I155:M155"/>
    <mergeCell ref="N155:O155"/>
    <mergeCell ref="P155:R155"/>
    <mergeCell ref="T155:W155"/>
    <mergeCell ref="X155:Z155"/>
    <mergeCell ref="I156:M156"/>
    <mergeCell ref="N156:O156"/>
    <mergeCell ref="T152:W152"/>
    <mergeCell ref="P156:R156"/>
    <mergeCell ref="B144:E144"/>
    <mergeCell ref="B145:E145"/>
    <mergeCell ref="L145:M145"/>
    <mergeCell ref="AC145:AD145"/>
    <mergeCell ref="B146:E146"/>
    <mergeCell ref="AA146:AC146"/>
    <mergeCell ref="F141:H141"/>
    <mergeCell ref="I141:M141"/>
    <mergeCell ref="N141:O141"/>
    <mergeCell ref="P141:R141"/>
    <mergeCell ref="X153:Z153"/>
    <mergeCell ref="X149:Z152"/>
    <mergeCell ref="N150:O150"/>
    <mergeCell ref="P150:R150"/>
    <mergeCell ref="T150:W150"/>
    <mergeCell ref="N151:O151"/>
    <mergeCell ref="P151:R151"/>
    <mergeCell ref="T151:W151"/>
    <mergeCell ref="F149:H152"/>
    <mergeCell ref="I152:M152"/>
    <mergeCell ref="N152:O152"/>
    <mergeCell ref="I151:M151"/>
    <mergeCell ref="P152:R152"/>
    <mergeCell ref="F137:H137"/>
    <mergeCell ref="I137:M137"/>
    <mergeCell ref="N137:O137"/>
    <mergeCell ref="P137:R137"/>
    <mergeCell ref="T137:W137"/>
    <mergeCell ref="F139:H140"/>
    <mergeCell ref="I139:M139"/>
    <mergeCell ref="N139:O139"/>
    <mergeCell ref="P139:R139"/>
    <mergeCell ref="T139:W139"/>
    <mergeCell ref="I140:M140"/>
    <mergeCell ref="N140:O140"/>
    <mergeCell ref="F134:H136"/>
    <mergeCell ref="P140:R140"/>
    <mergeCell ref="T140:W140"/>
    <mergeCell ref="F138:H138"/>
    <mergeCell ref="I138:M138"/>
    <mergeCell ref="N138:O138"/>
    <mergeCell ref="P138:R138"/>
    <mergeCell ref="T138:W138"/>
    <mergeCell ref="F133:H133"/>
    <mergeCell ref="I133:M133"/>
    <mergeCell ref="N133:O133"/>
    <mergeCell ref="P133:R133"/>
    <mergeCell ref="T133:W133"/>
    <mergeCell ref="I134:M134"/>
    <mergeCell ref="N134:O134"/>
    <mergeCell ref="P134:R134"/>
    <mergeCell ref="T134:W134"/>
    <mergeCell ref="I135:M135"/>
    <mergeCell ref="N135:O135"/>
    <mergeCell ref="P135:R135"/>
    <mergeCell ref="T135:W135"/>
    <mergeCell ref="I136:M136"/>
    <mergeCell ref="N136:O136"/>
    <mergeCell ref="P136:R136"/>
    <mergeCell ref="G129:M129"/>
    <mergeCell ref="N130:O130"/>
    <mergeCell ref="A131:E131"/>
    <mergeCell ref="K131:R131"/>
    <mergeCell ref="AA131:AC131"/>
    <mergeCell ref="A129:E129"/>
    <mergeCell ref="A130:E130"/>
    <mergeCell ref="F132:H132"/>
    <mergeCell ref="I132:M132"/>
    <mergeCell ref="N132:O132"/>
    <mergeCell ref="P132:R132"/>
    <mergeCell ref="T132:W132"/>
    <mergeCell ref="X132:Z132"/>
    <mergeCell ref="M118:O118"/>
    <mergeCell ref="AC118:AD118"/>
    <mergeCell ref="H119:J119"/>
    <mergeCell ref="L119:N119"/>
    <mergeCell ref="F125:H125"/>
    <mergeCell ref="I125:M125"/>
    <mergeCell ref="N125:O125"/>
    <mergeCell ref="T125:W125"/>
    <mergeCell ref="X125:Z125"/>
    <mergeCell ref="P123:S123"/>
    <mergeCell ref="P125:S125"/>
    <mergeCell ref="F122:H123"/>
    <mergeCell ref="I122:M123"/>
    <mergeCell ref="N122:O122"/>
    <mergeCell ref="X122:Z122"/>
    <mergeCell ref="N123:O123"/>
    <mergeCell ref="T123:W123"/>
    <mergeCell ref="I124:M124"/>
    <mergeCell ref="F124:H124"/>
    <mergeCell ref="N124:O124"/>
    <mergeCell ref="P124:S124"/>
    <mergeCell ref="X124:Z124"/>
    <mergeCell ref="X123:Z123"/>
    <mergeCell ref="X121:Z121"/>
    <mergeCell ref="A90:E91"/>
    <mergeCell ref="N91:O91"/>
    <mergeCell ref="AC90:AD90"/>
    <mergeCell ref="AA91:AC91"/>
    <mergeCell ref="P94:Q94"/>
    <mergeCell ref="R94:U94"/>
    <mergeCell ref="V93:Y93"/>
    <mergeCell ref="G93:J93"/>
    <mergeCell ref="G94:J94"/>
    <mergeCell ref="K92:R92"/>
    <mergeCell ref="K93:O93"/>
    <mergeCell ref="P93:Q93"/>
    <mergeCell ref="R93:U93"/>
    <mergeCell ref="K94:O94"/>
    <mergeCell ref="Q77:T77"/>
    <mergeCell ref="I78:J78"/>
    <mergeCell ref="I87:J87"/>
    <mergeCell ref="L87:M87"/>
    <mergeCell ref="P87:R87"/>
    <mergeCell ref="X87:Z87"/>
    <mergeCell ref="AA87:AC87"/>
    <mergeCell ref="G86:I86"/>
    <mergeCell ref="AA119:AC119"/>
    <mergeCell ref="K98:O98"/>
    <mergeCell ref="P98:Q98"/>
    <mergeCell ref="K96:O96"/>
    <mergeCell ref="P96:Q96"/>
    <mergeCell ref="R96:U96"/>
    <mergeCell ref="K97:O97"/>
    <mergeCell ref="P97:Q97"/>
    <mergeCell ref="R97:U97"/>
    <mergeCell ref="G95:J95"/>
    <mergeCell ref="G112:K112"/>
    <mergeCell ref="H114:J114"/>
    <mergeCell ref="L114:M114"/>
    <mergeCell ref="X114:Z114"/>
    <mergeCell ref="H116:J116"/>
    <mergeCell ref="L116:M116"/>
    <mergeCell ref="P54:Q54"/>
    <mergeCell ref="X54:Z54"/>
    <mergeCell ref="A63:E63"/>
    <mergeCell ref="G63:K63"/>
    <mergeCell ref="J65:L65"/>
    <mergeCell ref="N65:P65"/>
    <mergeCell ref="X65:Z65"/>
    <mergeCell ref="Q86:T86"/>
    <mergeCell ref="AA65:AC65"/>
    <mergeCell ref="A81:E82"/>
    <mergeCell ref="G81:M81"/>
    <mergeCell ref="B83:E83"/>
    <mergeCell ref="G83:H83"/>
    <mergeCell ref="I83:J83"/>
    <mergeCell ref="A69:E70"/>
    <mergeCell ref="G69:M69"/>
    <mergeCell ref="B71:E71"/>
    <mergeCell ref="G71:H71"/>
    <mergeCell ref="I71:J71"/>
    <mergeCell ref="G72:H72"/>
    <mergeCell ref="I72:J72"/>
    <mergeCell ref="X76:Z76"/>
    <mergeCell ref="AA76:AC76"/>
    <mergeCell ref="G77:I77"/>
    <mergeCell ref="A45:E45"/>
    <mergeCell ref="G45:K45"/>
    <mergeCell ref="AA58:AC58"/>
    <mergeCell ref="A46:E46"/>
    <mergeCell ref="H47:J47"/>
    <mergeCell ref="H48:J48"/>
    <mergeCell ref="L48:M48"/>
    <mergeCell ref="X48:Z48"/>
    <mergeCell ref="AA48:AC48"/>
    <mergeCell ref="H50:J50"/>
    <mergeCell ref="H51:J51"/>
    <mergeCell ref="L51:M51"/>
    <mergeCell ref="X51:Z51"/>
    <mergeCell ref="AA51:AC51"/>
    <mergeCell ref="A57:E57"/>
    <mergeCell ref="G57:I57"/>
    <mergeCell ref="K57:L57"/>
    <mergeCell ref="X57:Z57"/>
    <mergeCell ref="A58:E58"/>
    <mergeCell ref="P48:Q48"/>
    <mergeCell ref="P51:Q51"/>
    <mergeCell ref="H53:J53"/>
    <mergeCell ref="H54:J54"/>
    <mergeCell ref="L54:M54"/>
    <mergeCell ref="H40:L40"/>
    <mergeCell ref="M40:O40"/>
    <mergeCell ref="P40:S40"/>
    <mergeCell ref="U40:X40"/>
    <mergeCell ref="H41:L41"/>
    <mergeCell ref="M41:O41"/>
    <mergeCell ref="P41:S41"/>
    <mergeCell ref="U41:X41"/>
    <mergeCell ref="H42:L42"/>
    <mergeCell ref="M42:O42"/>
    <mergeCell ref="P42:R42"/>
    <mergeCell ref="U42:X42"/>
    <mergeCell ref="AB32:AC32"/>
    <mergeCell ref="A35:E36"/>
    <mergeCell ref="H35:J35"/>
    <mergeCell ref="H37:L37"/>
    <mergeCell ref="O37:P37"/>
    <mergeCell ref="AC37:AD37"/>
    <mergeCell ref="H38:X38"/>
    <mergeCell ref="AA38:AC38"/>
    <mergeCell ref="H39:L39"/>
    <mergeCell ref="M39:O39"/>
    <mergeCell ref="P39:T39"/>
    <mergeCell ref="U39:X39"/>
    <mergeCell ref="Q25:T25"/>
    <mergeCell ref="AC25:AD25"/>
    <mergeCell ref="G26:H26"/>
    <mergeCell ref="J26:L26"/>
    <mergeCell ref="Q26:T26"/>
    <mergeCell ref="X26:Z26"/>
    <mergeCell ref="AA26:AC26"/>
    <mergeCell ref="A30:E30"/>
    <mergeCell ref="A31:E31"/>
    <mergeCell ref="A20:E20"/>
    <mergeCell ref="G20:L20"/>
    <mergeCell ref="AA20:AC20"/>
    <mergeCell ref="G21:L21"/>
    <mergeCell ref="M21:O21"/>
    <mergeCell ref="G22:J22"/>
    <mergeCell ref="G23:L23"/>
    <mergeCell ref="G24:L24"/>
    <mergeCell ref="M24:O24"/>
    <mergeCell ref="H16:J16"/>
    <mergeCell ref="L16:M16"/>
    <mergeCell ref="P16:Q16"/>
    <mergeCell ref="R16:T16"/>
    <mergeCell ref="X16:Z16"/>
    <mergeCell ref="AA16:AC16"/>
    <mergeCell ref="A19:E19"/>
    <mergeCell ref="K19:N19"/>
    <mergeCell ref="AC19:AD19"/>
    <mergeCell ref="AA54:AC54"/>
    <mergeCell ref="R65:T65"/>
    <mergeCell ref="A1:C1"/>
    <mergeCell ref="AA1:AD1"/>
    <mergeCell ref="A2:E2"/>
    <mergeCell ref="F2:Z2"/>
    <mergeCell ref="AA2:AD2"/>
    <mergeCell ref="M3:Q4"/>
    <mergeCell ref="A5:E6"/>
    <mergeCell ref="F6:J6"/>
    <mergeCell ref="K6:M6"/>
    <mergeCell ref="G8:L8"/>
    <mergeCell ref="H10:J10"/>
    <mergeCell ref="L10:M10"/>
    <mergeCell ref="O10:P10"/>
    <mergeCell ref="K12:L12"/>
    <mergeCell ref="R12:T12"/>
    <mergeCell ref="X12:Y12"/>
    <mergeCell ref="AA13:AC13"/>
    <mergeCell ref="L30:M30"/>
    <mergeCell ref="H30:J30"/>
    <mergeCell ref="G14:L14"/>
    <mergeCell ref="Y15:Z15"/>
    <mergeCell ref="AC15:AD15"/>
    <mergeCell ref="G106:J107"/>
    <mergeCell ref="A102:E103"/>
    <mergeCell ref="AC102:AD102"/>
    <mergeCell ref="N103:O103"/>
    <mergeCell ref="AA103:AC103"/>
    <mergeCell ref="K104:R104"/>
    <mergeCell ref="G105:J105"/>
    <mergeCell ref="K105:O105"/>
    <mergeCell ref="P105:Q105"/>
    <mergeCell ref="R105:U105"/>
    <mergeCell ref="V105:Y105"/>
    <mergeCell ref="A213:E214"/>
    <mergeCell ref="H213:J213"/>
    <mergeCell ref="A215:E215"/>
    <mergeCell ref="H215:J215"/>
    <mergeCell ref="M215:N215"/>
    <mergeCell ref="X215:Z215"/>
    <mergeCell ref="AA215:AC215"/>
    <mergeCell ref="G109:J109"/>
    <mergeCell ref="K109:O109"/>
    <mergeCell ref="P109:Q109"/>
    <mergeCell ref="R109:U109"/>
    <mergeCell ref="V109:Y109"/>
    <mergeCell ref="F121:H121"/>
    <mergeCell ref="I121:M121"/>
    <mergeCell ref="N121:O121"/>
    <mergeCell ref="T121:W121"/>
    <mergeCell ref="P121:S121"/>
    <mergeCell ref="A113:E114"/>
    <mergeCell ref="P122:S122"/>
    <mergeCell ref="A115:E115"/>
    <mergeCell ref="X116:Z116"/>
    <mergeCell ref="AC116:AD116"/>
    <mergeCell ref="X117:Z117"/>
    <mergeCell ref="AA117:AC117"/>
    <mergeCell ref="AC216:AD216"/>
    <mergeCell ref="I217:J217"/>
    <mergeCell ref="M217:N217"/>
    <mergeCell ref="P217:Q217"/>
    <mergeCell ref="R217:S217"/>
    <mergeCell ref="X217:Z217"/>
    <mergeCell ref="AA217:AC217"/>
    <mergeCell ref="L78:M78"/>
    <mergeCell ref="P78:R78"/>
    <mergeCell ref="X78:Z78"/>
    <mergeCell ref="AA78:AC78"/>
    <mergeCell ref="K106:O106"/>
    <mergeCell ref="P106:Q106"/>
    <mergeCell ref="R106:U106"/>
    <mergeCell ref="V106:Y106"/>
    <mergeCell ref="G108:J108"/>
    <mergeCell ref="K108:O108"/>
    <mergeCell ref="P108:Q108"/>
    <mergeCell ref="R108:U108"/>
    <mergeCell ref="V108:Y108"/>
    <mergeCell ref="K107:O107"/>
    <mergeCell ref="P107:Q107"/>
    <mergeCell ref="R107:U107"/>
    <mergeCell ref="V107:Y107"/>
    <mergeCell ref="AA221:AC221"/>
    <mergeCell ref="A222:E223"/>
    <mergeCell ref="H223:J223"/>
    <mergeCell ref="L223:N223"/>
    <mergeCell ref="P223:Q223"/>
    <mergeCell ref="AA223:AC223"/>
    <mergeCell ref="X223:Z223"/>
    <mergeCell ref="X224:Z224"/>
    <mergeCell ref="H224:J224"/>
    <mergeCell ref="L224:N224"/>
    <mergeCell ref="P224:Q224"/>
    <mergeCell ref="AG169:AI169"/>
    <mergeCell ref="AG194:AI194"/>
    <mergeCell ref="F228:H228"/>
    <mergeCell ref="I228:M228"/>
    <mergeCell ref="N228:O228"/>
    <mergeCell ref="P228:S228"/>
    <mergeCell ref="T228:W228"/>
    <mergeCell ref="X228:Z228"/>
    <mergeCell ref="F229:H230"/>
    <mergeCell ref="I229:M229"/>
    <mergeCell ref="N229:O229"/>
    <mergeCell ref="P229:S229"/>
    <mergeCell ref="T229:W229"/>
    <mergeCell ref="X229:Z229"/>
    <mergeCell ref="I230:M230"/>
    <mergeCell ref="N230:O230"/>
    <mergeCell ref="P230:S230"/>
    <mergeCell ref="T230:W230"/>
    <mergeCell ref="X230:Z230"/>
    <mergeCell ref="K225:R225"/>
    <mergeCell ref="F226:H226"/>
    <mergeCell ref="I226:M226"/>
    <mergeCell ref="N226:O226"/>
    <mergeCell ref="P226:S226"/>
    <mergeCell ref="AG94:AI94"/>
    <mergeCell ref="AG106:AI106"/>
    <mergeCell ref="AG107:AI107"/>
    <mergeCell ref="AG134:AI134"/>
    <mergeCell ref="AG149:AI149"/>
    <mergeCell ref="AI113:AK113"/>
    <mergeCell ref="AI116:AK116"/>
    <mergeCell ref="X140:Z140"/>
    <mergeCell ref="V98:Y98"/>
    <mergeCell ref="X137:Z137"/>
    <mergeCell ref="T124:W124"/>
    <mergeCell ref="A233:E233"/>
    <mergeCell ref="X234:Z234"/>
    <mergeCell ref="AA234:AC234"/>
    <mergeCell ref="X236:Z236"/>
    <mergeCell ref="AA236:AC236"/>
    <mergeCell ref="X238:Z238"/>
    <mergeCell ref="AA238:AC238"/>
    <mergeCell ref="X74:Z74"/>
    <mergeCell ref="AA74:AC74"/>
    <mergeCell ref="X85:Z85"/>
    <mergeCell ref="AA85:AC85"/>
    <mergeCell ref="T226:W226"/>
    <mergeCell ref="X226:Z226"/>
    <mergeCell ref="F227:H227"/>
    <mergeCell ref="I227:M227"/>
    <mergeCell ref="N227:O227"/>
    <mergeCell ref="P227:S227"/>
    <mergeCell ref="T227:W227"/>
    <mergeCell ref="X227:Z227"/>
    <mergeCell ref="A220:E220"/>
    <mergeCell ref="G220:M220"/>
    <mergeCell ref="A221:E221"/>
    <mergeCell ref="J221:K221"/>
    <mergeCell ref="O221:P221"/>
  </mergeCells>
  <phoneticPr fontId="70" type="noConversion"/>
  <printOptions horizontalCentered="1"/>
  <pageMargins left="0.47244094488188981" right="0.47244094488188981" top="0.59055118110236227" bottom="0.59055118110236227" header="0.51181102362204722" footer="0.51181102362204722"/>
  <pageSetup paperSize="9" scale="97" orientation="portrait" horizontalDpi="300" verticalDpi="300" r:id="rId1"/>
  <headerFooter alignWithMargins="0">
    <oddHeader xml:space="preserve">&amp;L
</oddHeader>
  </headerFooter>
  <rowBreaks count="3" manualBreakCount="3">
    <brk id="55" max="29" man="1"/>
    <brk id="158" max="29" man="1"/>
    <brk id="218" max="2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7E01-50BA-4227-9042-040F69A3E9BD}">
  <dimension ref="A1:AK239"/>
  <sheetViews>
    <sheetView showZeros="0" view="pageBreakPreview" topLeftCell="A59" zoomScale="115" zoomScaleNormal="100" zoomScaleSheetLayoutView="115" workbookViewId="0">
      <selection activeCell="L78" sqref="L78:M78"/>
    </sheetView>
  </sheetViews>
  <sheetFormatPr defaultColWidth="3" defaultRowHeight="12.95" customHeight="1"/>
  <cols>
    <col min="1" max="30" width="3.42578125" style="220" customWidth="1"/>
    <col min="31" max="36" width="3" style="220" customWidth="1"/>
    <col min="37" max="37" width="2.7109375" style="220" customWidth="1"/>
    <col min="38" max="16384" width="3" style="220"/>
  </cols>
  <sheetData>
    <row r="1" spans="1:30" ht="12.95" customHeight="1">
      <c r="A1" s="394" t="s">
        <v>315</v>
      </c>
      <c r="B1" s="394"/>
      <c r="C1" s="394"/>
      <c r="AA1" s="386" t="s">
        <v>258</v>
      </c>
      <c r="AB1" s="386"/>
      <c r="AC1" s="386"/>
      <c r="AD1" s="386"/>
    </row>
    <row r="2" spans="1:30" s="200" customFormat="1" ht="20.100000000000001" customHeight="1">
      <c r="A2" s="358" t="s">
        <v>6</v>
      </c>
      <c r="B2" s="359"/>
      <c r="C2" s="359"/>
      <c r="D2" s="359"/>
      <c r="E2" s="359"/>
      <c r="F2" s="358" t="s">
        <v>7</v>
      </c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60"/>
      <c r="AA2" s="359"/>
      <c r="AB2" s="359"/>
      <c r="AC2" s="359"/>
      <c r="AD2" s="360"/>
    </row>
    <row r="3" spans="1:30" s="200" customFormat="1" ht="12.95" customHeight="1">
      <c r="A3" s="252"/>
      <c r="B3" s="253"/>
      <c r="C3" s="253"/>
      <c r="D3" s="253"/>
      <c r="E3" s="253"/>
      <c r="F3" s="84"/>
      <c r="G3" s="7"/>
      <c r="H3" s="7"/>
      <c r="I3" s="7"/>
      <c r="J3" s="7"/>
      <c r="K3" s="7"/>
      <c r="L3" s="7"/>
      <c r="M3" s="395" t="s">
        <v>317</v>
      </c>
      <c r="N3" s="395"/>
      <c r="O3" s="395"/>
      <c r="P3" s="395"/>
      <c r="Q3" s="395"/>
      <c r="R3" s="7"/>
      <c r="S3" s="7"/>
      <c r="T3" s="7"/>
      <c r="U3" s="7"/>
      <c r="V3" s="7"/>
      <c r="W3" s="10"/>
      <c r="X3" s="10"/>
      <c r="Z3" s="216"/>
      <c r="AA3" s="253"/>
      <c r="AB3" s="253"/>
      <c r="AC3" s="253"/>
      <c r="AD3" s="254"/>
    </row>
    <row r="4" spans="1:30" s="200" customFormat="1" ht="12.95" customHeight="1">
      <c r="A4" s="215"/>
      <c r="F4" s="84"/>
      <c r="G4" s="7"/>
      <c r="H4" s="7"/>
      <c r="I4" s="7"/>
      <c r="J4" s="7"/>
      <c r="K4" s="7"/>
      <c r="L4" s="7"/>
      <c r="M4" s="396"/>
      <c r="N4" s="396"/>
      <c r="O4" s="396"/>
      <c r="P4" s="396"/>
      <c r="Q4" s="396"/>
      <c r="R4" s="7"/>
      <c r="S4" s="7"/>
      <c r="T4" s="7"/>
      <c r="U4" s="7"/>
      <c r="V4" s="7"/>
      <c r="W4" s="10"/>
      <c r="X4" s="10"/>
      <c r="Z4" s="216"/>
      <c r="AD4" s="216"/>
    </row>
    <row r="5" spans="1:30" s="200" customFormat="1" ht="12.95" customHeight="1">
      <c r="A5" s="383" t="s">
        <v>101</v>
      </c>
      <c r="B5" s="349"/>
      <c r="C5" s="349"/>
      <c r="D5" s="349"/>
      <c r="E5" s="349"/>
      <c r="F5" s="215"/>
      <c r="O5" s="7"/>
      <c r="P5" s="7"/>
      <c r="Q5" s="7"/>
      <c r="R5" s="7"/>
      <c r="S5" s="7"/>
      <c r="T5" s="7"/>
      <c r="U5" s="7"/>
      <c r="V5" s="7"/>
      <c r="W5" s="10"/>
      <c r="X5" s="10"/>
      <c r="Z5" s="216"/>
      <c r="AD5" s="216"/>
    </row>
    <row r="6" spans="1:30" s="200" customFormat="1" ht="12.95" customHeight="1">
      <c r="A6" s="330"/>
      <c r="B6" s="349"/>
      <c r="C6" s="349"/>
      <c r="D6" s="349"/>
      <c r="E6" s="349"/>
      <c r="F6" s="397" t="s">
        <v>100</v>
      </c>
      <c r="G6" s="398"/>
      <c r="H6" s="398"/>
      <c r="I6" s="398"/>
      <c r="J6" s="398"/>
      <c r="K6" s="399">
        <v>12.7</v>
      </c>
      <c r="L6" s="399"/>
      <c r="M6" s="399"/>
      <c r="N6" s="7" t="s">
        <v>14</v>
      </c>
      <c r="P6" s="7"/>
      <c r="Q6" s="7"/>
      <c r="R6" s="7"/>
      <c r="S6" s="7"/>
      <c r="T6" s="7"/>
      <c r="U6" s="7"/>
      <c r="V6" s="7"/>
      <c r="W6" s="10"/>
      <c r="X6" s="10"/>
      <c r="Z6" s="216"/>
      <c r="AD6" s="216"/>
    </row>
    <row r="7" spans="1:30" s="200" customFormat="1" ht="12.95" customHeight="1">
      <c r="A7" s="215"/>
      <c r="F7" s="84"/>
      <c r="G7" s="12"/>
      <c r="H7" s="12"/>
      <c r="I7" s="12"/>
      <c r="J7" s="12"/>
      <c r="K7" s="12"/>
      <c r="L7" s="13"/>
      <c r="M7" s="13"/>
      <c r="N7" s="13"/>
      <c r="O7" s="7"/>
      <c r="P7" s="7"/>
      <c r="Q7" s="7"/>
      <c r="R7" s="7"/>
      <c r="S7" s="7"/>
      <c r="T7" s="7"/>
      <c r="U7" s="7"/>
      <c r="V7" s="7"/>
      <c r="W7" s="10"/>
      <c r="X7" s="10"/>
      <c r="Z7" s="216"/>
      <c r="AD7" s="216"/>
    </row>
    <row r="8" spans="1:30" s="200" customFormat="1" ht="12.95" customHeight="1">
      <c r="A8" s="215"/>
      <c r="F8" s="84"/>
      <c r="G8" s="400" t="s">
        <v>102</v>
      </c>
      <c r="H8" s="400"/>
      <c r="I8" s="400"/>
      <c r="J8" s="400"/>
      <c r="K8" s="400"/>
      <c r="L8" s="400"/>
      <c r="M8" s="13"/>
      <c r="N8" s="13"/>
      <c r="O8" s="7"/>
      <c r="P8" s="7"/>
      <c r="Q8" s="7"/>
      <c r="R8" s="7"/>
      <c r="S8" s="7"/>
      <c r="T8" s="7"/>
      <c r="U8" s="7"/>
      <c r="V8" s="7"/>
      <c r="W8" s="10"/>
      <c r="X8" s="10"/>
      <c r="Z8" s="216"/>
      <c r="AD8" s="216"/>
    </row>
    <row r="9" spans="1:30" s="200" customFormat="1" ht="12.95" customHeight="1">
      <c r="A9" s="215"/>
      <c r="F9" s="84"/>
      <c r="G9" s="12"/>
      <c r="H9" s="237"/>
      <c r="I9" s="237"/>
      <c r="J9" s="233"/>
      <c r="K9" s="233"/>
      <c r="L9" s="233"/>
      <c r="M9" s="13"/>
      <c r="N9" s="234"/>
      <c r="O9" s="234"/>
      <c r="P9" s="7"/>
      <c r="Q9" s="223"/>
      <c r="R9" s="223"/>
      <c r="S9" s="223"/>
      <c r="T9" s="7"/>
      <c r="U9" s="7"/>
      <c r="V9" s="7"/>
      <c r="Z9" s="216"/>
      <c r="AD9" s="216"/>
    </row>
    <row r="10" spans="1:30" s="200" customFormat="1" ht="12.95" customHeight="1">
      <c r="A10" s="215"/>
      <c r="F10" s="84"/>
      <c r="G10" s="12"/>
      <c r="H10" s="401">
        <v>8.65</v>
      </c>
      <c r="I10" s="401"/>
      <c r="J10" s="401"/>
      <c r="K10" s="13" t="s">
        <v>103</v>
      </c>
      <c r="L10" s="402">
        <v>0.4</v>
      </c>
      <c r="M10" s="402"/>
      <c r="N10" s="7" t="s">
        <v>12</v>
      </c>
      <c r="O10" s="379" t="str">
        <f>FIXED(H10/L10,0)</f>
        <v>22</v>
      </c>
      <c r="P10" s="379"/>
      <c r="Q10" s="7" t="s">
        <v>9</v>
      </c>
      <c r="R10" s="223"/>
      <c r="S10" s="223"/>
      <c r="T10" s="7"/>
      <c r="V10" s="7"/>
      <c r="Z10" s="216"/>
      <c r="AD10" s="216"/>
    </row>
    <row r="11" spans="1:30" s="200" customFormat="1" ht="12.95" customHeight="1">
      <c r="A11" s="215"/>
      <c r="F11" s="84"/>
      <c r="G11" s="12"/>
      <c r="H11" s="401">
        <v>41.5</v>
      </c>
      <c r="I11" s="401"/>
      <c r="J11" s="401"/>
      <c r="K11" s="13" t="s">
        <v>103</v>
      </c>
      <c r="L11" s="402">
        <v>0.4</v>
      </c>
      <c r="M11" s="402"/>
      <c r="N11" s="7" t="s">
        <v>12</v>
      </c>
      <c r="O11" s="379" t="str">
        <f>FIXED(H11/L11,0)</f>
        <v>104</v>
      </c>
      <c r="P11" s="379"/>
      <c r="Q11" s="7" t="s">
        <v>9</v>
      </c>
      <c r="R11" s="223"/>
      <c r="S11" s="223"/>
      <c r="T11" s="223"/>
      <c r="U11" s="223"/>
      <c r="V11" s="7"/>
      <c r="X11" s="199"/>
      <c r="Y11" s="199"/>
      <c r="Z11" s="239"/>
      <c r="AD11" s="216"/>
    </row>
    <row r="12" spans="1:30" s="200" customFormat="1" ht="12.95" customHeight="1">
      <c r="A12" s="215"/>
      <c r="F12" s="84"/>
      <c r="G12" s="12"/>
      <c r="H12" s="12"/>
      <c r="I12" s="12"/>
      <c r="J12" s="12"/>
      <c r="K12" s="305">
        <f>O10+O11</f>
        <v>126</v>
      </c>
      <c r="L12" s="305"/>
      <c r="M12" s="234" t="s">
        <v>9</v>
      </c>
      <c r="N12" s="234" t="s">
        <v>8</v>
      </c>
      <c r="O12" s="7">
        <v>2</v>
      </c>
      <c r="P12" s="7" t="s">
        <v>33</v>
      </c>
      <c r="Q12" s="223" t="s">
        <v>12</v>
      </c>
      <c r="R12" s="379">
        <f>K12*O12</f>
        <v>252</v>
      </c>
      <c r="S12" s="379"/>
      <c r="T12" s="379"/>
      <c r="U12" s="214" t="s">
        <v>9</v>
      </c>
      <c r="V12" s="20"/>
      <c r="W12" s="256" t="s">
        <v>12</v>
      </c>
      <c r="X12" s="403">
        <f>R12</f>
        <v>252</v>
      </c>
      <c r="Y12" s="403"/>
      <c r="Z12" s="22" t="s">
        <v>9</v>
      </c>
      <c r="AD12" s="216" t="s">
        <v>9</v>
      </c>
    </row>
    <row r="13" spans="1:30" s="200" customFormat="1" ht="12.95" customHeight="1">
      <c r="A13" s="215"/>
      <c r="F13" s="84"/>
      <c r="G13" s="12"/>
      <c r="H13" s="237"/>
      <c r="I13" s="237"/>
      <c r="Z13" s="216"/>
      <c r="AA13" s="339">
        <f>X12</f>
        <v>252</v>
      </c>
      <c r="AB13" s="339"/>
      <c r="AC13" s="339"/>
      <c r="AD13" s="216"/>
    </row>
    <row r="14" spans="1:30" s="200" customFormat="1" ht="12.95" customHeight="1">
      <c r="A14" s="215"/>
      <c r="F14" s="84"/>
      <c r="G14" s="400" t="s">
        <v>104</v>
      </c>
      <c r="H14" s="400"/>
      <c r="I14" s="400"/>
      <c r="J14" s="400"/>
      <c r="K14" s="400"/>
      <c r="L14" s="400"/>
      <c r="M14" s="13"/>
      <c r="N14" s="13"/>
      <c r="O14" s="7"/>
      <c r="P14" s="7"/>
      <c r="Q14" s="7"/>
      <c r="R14" s="7"/>
      <c r="S14" s="7"/>
      <c r="T14" s="7"/>
      <c r="U14" s="223"/>
      <c r="V14" s="7"/>
      <c r="Z14" s="216"/>
      <c r="AD14" s="216"/>
    </row>
    <row r="15" spans="1:30" s="200" customFormat="1" ht="12.95" customHeight="1">
      <c r="A15" s="215"/>
      <c r="F15" s="84"/>
      <c r="G15" s="12"/>
      <c r="H15" s="12"/>
      <c r="I15" s="12"/>
      <c r="J15" s="12"/>
      <c r="K15" s="12"/>
      <c r="L15" s="12"/>
      <c r="M15" s="13"/>
      <c r="N15" s="13"/>
      <c r="O15" s="7"/>
      <c r="P15" s="7"/>
      <c r="Q15" s="7"/>
      <c r="R15" s="223"/>
      <c r="S15" s="223"/>
      <c r="T15" s="223"/>
      <c r="U15" s="223"/>
      <c r="V15" s="223"/>
      <c r="X15" s="235"/>
      <c r="Y15" s="404" t="s">
        <v>10</v>
      </c>
      <c r="Z15" s="405"/>
      <c r="AA15" s="235"/>
      <c r="AB15" s="235"/>
      <c r="AC15" s="339" t="s">
        <v>10</v>
      </c>
      <c r="AD15" s="406"/>
    </row>
    <row r="16" spans="1:30" s="200" customFormat="1" ht="12.95" customHeight="1">
      <c r="A16" s="215"/>
      <c r="F16" s="84"/>
      <c r="G16" s="12"/>
      <c r="H16" s="407">
        <f>K6</f>
        <v>12.7</v>
      </c>
      <c r="I16" s="408"/>
      <c r="J16" s="408"/>
      <c r="K16" s="237" t="s">
        <v>8</v>
      </c>
      <c r="L16" s="409">
        <f>AA13</f>
        <v>252</v>
      </c>
      <c r="M16" s="408"/>
      <c r="N16" s="236" t="s">
        <v>9</v>
      </c>
      <c r="O16" s="12" t="s">
        <v>8</v>
      </c>
      <c r="P16" s="384">
        <v>0.06</v>
      </c>
      <c r="Q16" s="384"/>
      <c r="R16" s="379" t="s">
        <v>11</v>
      </c>
      <c r="S16" s="379"/>
      <c r="T16" s="379"/>
      <c r="U16" s="223"/>
      <c r="V16" s="223"/>
      <c r="W16" s="200" t="s">
        <v>12</v>
      </c>
      <c r="X16" s="375">
        <f>ROUND(H16*L16*P16,3)</f>
        <v>192.024</v>
      </c>
      <c r="Y16" s="375"/>
      <c r="Z16" s="410"/>
      <c r="AA16" s="375">
        <f>X16</f>
        <v>192.024</v>
      </c>
      <c r="AB16" s="375"/>
      <c r="AC16" s="375"/>
      <c r="AD16" s="216"/>
    </row>
    <row r="17" spans="1:30" s="200" customFormat="1" ht="12.95" customHeight="1">
      <c r="A17" s="255"/>
      <c r="B17" s="256"/>
      <c r="C17" s="256"/>
      <c r="D17" s="256"/>
      <c r="E17" s="256"/>
      <c r="F17" s="101"/>
      <c r="G17" s="28"/>
      <c r="H17" s="20"/>
      <c r="I17" s="20"/>
      <c r="J17" s="256"/>
      <c r="K17" s="29"/>
      <c r="L17" s="20"/>
      <c r="M17" s="20"/>
      <c r="N17" s="20"/>
      <c r="O17" s="29"/>
      <c r="P17" s="30"/>
      <c r="Q17" s="29"/>
      <c r="R17" s="29"/>
      <c r="S17" s="29"/>
      <c r="T17" s="20"/>
      <c r="U17" s="256"/>
      <c r="V17" s="31"/>
      <c r="W17" s="227"/>
      <c r="X17" s="227"/>
      <c r="Y17" s="227"/>
      <c r="Z17" s="228"/>
      <c r="AA17" s="30"/>
      <c r="AB17" s="30"/>
      <c r="AC17" s="29"/>
      <c r="AD17" s="257"/>
    </row>
    <row r="18" spans="1:30" s="200" customFormat="1" ht="12.75" customHeight="1">
      <c r="A18" s="215"/>
      <c r="F18" s="8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"/>
      <c r="X18" s="10"/>
      <c r="Z18" s="216"/>
      <c r="AD18" s="216"/>
    </row>
    <row r="19" spans="1:30" s="200" customFormat="1" ht="12.75" customHeight="1">
      <c r="A19" s="383" t="s">
        <v>147</v>
      </c>
      <c r="B19" s="385"/>
      <c r="C19" s="385"/>
      <c r="D19" s="385"/>
      <c r="E19" s="385"/>
      <c r="F19" s="103" t="s">
        <v>109</v>
      </c>
      <c r="G19" s="7" t="s">
        <v>153</v>
      </c>
      <c r="H19" s="7"/>
      <c r="I19" s="7"/>
      <c r="J19" s="41">
        <v>4</v>
      </c>
      <c r="K19" s="411" t="s">
        <v>31</v>
      </c>
      <c r="L19" s="411"/>
      <c r="M19" s="411"/>
      <c r="N19" s="411"/>
      <c r="P19" s="7"/>
      <c r="Q19" s="7"/>
      <c r="R19" s="7"/>
      <c r="W19" s="10"/>
      <c r="X19" s="10"/>
      <c r="Z19" s="216"/>
      <c r="AC19" s="376" t="s">
        <v>107</v>
      </c>
      <c r="AD19" s="377"/>
    </row>
    <row r="20" spans="1:30" s="200" customFormat="1" ht="12.75" customHeight="1">
      <c r="A20" s="369" t="s">
        <v>114</v>
      </c>
      <c r="B20" s="370"/>
      <c r="C20" s="370"/>
      <c r="D20" s="370"/>
      <c r="E20" s="370"/>
      <c r="F20" s="84"/>
      <c r="G20" s="412" t="s">
        <v>28</v>
      </c>
      <c r="H20" s="412"/>
      <c r="I20" s="412"/>
      <c r="J20" s="412"/>
      <c r="K20" s="412"/>
      <c r="L20" s="412"/>
      <c r="M20" s="223" t="s">
        <v>15</v>
      </c>
      <c r="N20" s="37">
        <v>2</v>
      </c>
      <c r="O20" s="220" t="s">
        <v>9</v>
      </c>
      <c r="P20" s="220" t="s">
        <v>30</v>
      </c>
      <c r="Q20" s="220"/>
      <c r="X20" s="10"/>
      <c r="Z20" s="216"/>
      <c r="AA20" s="339">
        <v>1</v>
      </c>
      <c r="AB20" s="339"/>
      <c r="AC20" s="339"/>
      <c r="AD20" s="216"/>
    </row>
    <row r="21" spans="1:30" s="200" customFormat="1" ht="12.75" customHeight="1">
      <c r="A21" s="215"/>
      <c r="F21" s="84"/>
      <c r="G21" s="380" t="s">
        <v>105</v>
      </c>
      <c r="H21" s="380"/>
      <c r="I21" s="380"/>
      <c r="J21" s="380"/>
      <c r="K21" s="380"/>
      <c r="L21" s="380"/>
      <c r="M21" s="384">
        <v>10</v>
      </c>
      <c r="N21" s="384"/>
      <c r="O21" s="384"/>
      <c r="P21" s="238" t="s">
        <v>106</v>
      </c>
      <c r="Q21" s="7"/>
      <c r="R21" s="7"/>
      <c r="S21" s="7"/>
      <c r="T21" s="7"/>
      <c r="U21" s="7"/>
      <c r="V21" s="7"/>
      <c r="W21" s="10"/>
      <c r="X21" s="10"/>
      <c r="Z21" s="216"/>
      <c r="AD21" s="216"/>
    </row>
    <row r="22" spans="1:30" ht="12.95" customHeight="1">
      <c r="A22" s="251"/>
      <c r="F22" s="102" t="s">
        <v>111</v>
      </c>
      <c r="G22" s="411" t="s">
        <v>154</v>
      </c>
      <c r="H22" s="411"/>
      <c r="I22" s="411"/>
      <c r="J22" s="411"/>
      <c r="Z22" s="221"/>
      <c r="AA22" s="10"/>
      <c r="AB22" s="10"/>
      <c r="AC22" s="37"/>
      <c r="AD22" s="221"/>
    </row>
    <row r="23" spans="1:30" ht="12.95" customHeight="1">
      <c r="A23" s="251"/>
      <c r="F23" s="84"/>
      <c r="G23" s="412" t="s">
        <v>28</v>
      </c>
      <c r="H23" s="412"/>
      <c r="I23" s="412"/>
      <c r="J23" s="412"/>
      <c r="K23" s="412"/>
      <c r="L23" s="412"/>
      <c r="M23" s="223" t="s">
        <v>29</v>
      </c>
      <c r="N23" s="37">
        <v>4</v>
      </c>
      <c r="O23" s="220" t="s">
        <v>9</v>
      </c>
      <c r="P23" s="220" t="s">
        <v>30</v>
      </c>
      <c r="R23" s="41"/>
      <c r="S23" s="41"/>
      <c r="T23" s="238"/>
      <c r="U23" s="238"/>
      <c r="V23" s="238"/>
      <c r="W23" s="238"/>
      <c r="Z23" s="221"/>
      <c r="AA23" s="10"/>
      <c r="AB23" s="10"/>
      <c r="AC23" s="37"/>
      <c r="AD23" s="221"/>
    </row>
    <row r="24" spans="1:30" ht="12.95" customHeight="1">
      <c r="A24" s="215"/>
      <c r="B24" s="200"/>
      <c r="C24" s="200"/>
      <c r="D24" s="200"/>
      <c r="E24" s="216"/>
      <c r="F24" s="7"/>
      <c r="G24" s="380" t="s">
        <v>155</v>
      </c>
      <c r="H24" s="380"/>
      <c r="I24" s="380"/>
      <c r="J24" s="380"/>
      <c r="K24" s="380"/>
      <c r="L24" s="380"/>
      <c r="M24" s="384">
        <v>5</v>
      </c>
      <c r="N24" s="384"/>
      <c r="O24" s="384"/>
      <c r="P24" s="238" t="s">
        <v>106</v>
      </c>
      <c r="T24" s="7"/>
      <c r="U24" s="200"/>
      <c r="V24" s="40"/>
      <c r="Z24" s="221"/>
      <c r="AA24" s="10"/>
      <c r="AB24" s="10"/>
      <c r="AC24" s="37"/>
      <c r="AD24" s="221"/>
    </row>
    <row r="25" spans="1:30" ht="12.95" customHeight="1">
      <c r="A25" s="215"/>
      <c r="B25" s="200"/>
      <c r="C25" s="200"/>
      <c r="D25" s="200"/>
      <c r="E25" s="216"/>
      <c r="G25" s="224"/>
      <c r="H25" s="224"/>
      <c r="I25" s="224"/>
      <c r="J25" s="224"/>
      <c r="K25" s="224"/>
      <c r="L25" s="224"/>
      <c r="M25" s="223"/>
      <c r="O25" s="45"/>
      <c r="P25" s="45"/>
      <c r="Q25" s="379" t="s">
        <v>11</v>
      </c>
      <c r="R25" s="379"/>
      <c r="S25" s="379"/>
      <c r="T25" s="379"/>
      <c r="Z25" s="221"/>
      <c r="AA25" s="10"/>
      <c r="AB25" s="10"/>
      <c r="AC25" s="379" t="s">
        <v>10</v>
      </c>
      <c r="AD25" s="413"/>
    </row>
    <row r="26" spans="1:30" ht="12.95" customHeight="1">
      <c r="A26" s="215"/>
      <c r="B26" s="200"/>
      <c r="C26" s="200"/>
      <c r="D26" s="200"/>
      <c r="E26" s="216"/>
      <c r="F26" s="7" t="s">
        <v>156</v>
      </c>
      <c r="G26" s="379" t="s">
        <v>32</v>
      </c>
      <c r="H26" s="379"/>
      <c r="I26" s="200" t="s">
        <v>15</v>
      </c>
      <c r="J26" s="378">
        <f>M21*N20+M24*N23</f>
        <v>40</v>
      </c>
      <c r="K26" s="378"/>
      <c r="L26" s="378"/>
      <c r="M26" s="223" t="s">
        <v>8</v>
      </c>
      <c r="N26" s="235">
        <f>AA20</f>
        <v>1</v>
      </c>
      <c r="O26" s="200" t="s">
        <v>9</v>
      </c>
      <c r="P26" s="220" t="s">
        <v>8</v>
      </c>
      <c r="Q26" s="414">
        <v>7.2400000000000006E-2</v>
      </c>
      <c r="R26" s="414"/>
      <c r="S26" s="414"/>
      <c r="T26" s="414"/>
      <c r="W26" s="220" t="s">
        <v>12</v>
      </c>
      <c r="X26" s="376">
        <f>ROUND(J26*N26*Q26,3)</f>
        <v>2.8959999999999999</v>
      </c>
      <c r="Y26" s="376"/>
      <c r="Z26" s="377"/>
      <c r="AA26" s="375">
        <f>X26</f>
        <v>2.8959999999999999</v>
      </c>
      <c r="AB26" s="375"/>
      <c r="AC26" s="375"/>
      <c r="AD26" s="221"/>
    </row>
    <row r="27" spans="1:30" ht="12.95" customHeight="1">
      <c r="A27" s="215"/>
      <c r="B27" s="200"/>
      <c r="C27" s="200"/>
      <c r="D27" s="200"/>
      <c r="E27" s="216"/>
      <c r="F27" s="7"/>
      <c r="G27" s="224"/>
      <c r="H27" s="224"/>
      <c r="I27" s="224"/>
      <c r="J27" s="224"/>
      <c r="K27" s="224"/>
      <c r="L27" s="224"/>
      <c r="M27" s="226"/>
      <c r="N27" s="226"/>
      <c r="O27" s="226"/>
      <c r="P27" s="238"/>
      <c r="T27" s="7"/>
      <c r="U27" s="200"/>
      <c r="V27" s="40"/>
      <c r="Z27" s="221"/>
      <c r="AA27" s="10"/>
      <c r="AB27" s="10"/>
      <c r="AC27" s="37"/>
      <c r="AD27" s="221"/>
    </row>
    <row r="28" spans="1:30" s="200" customFormat="1" ht="12.95" customHeight="1">
      <c r="A28" s="255"/>
      <c r="B28" s="256"/>
      <c r="C28" s="256"/>
      <c r="D28" s="256"/>
      <c r="E28" s="257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30"/>
      <c r="X28" s="30"/>
      <c r="Y28" s="256"/>
      <c r="Z28" s="257"/>
      <c r="AA28" s="256"/>
      <c r="AB28" s="256"/>
      <c r="AC28" s="256"/>
      <c r="AD28" s="257"/>
    </row>
    <row r="29" spans="1:30" ht="12.95" customHeight="1">
      <c r="A29" s="215"/>
      <c r="B29" s="200"/>
      <c r="C29" s="200"/>
      <c r="D29" s="200"/>
      <c r="E29" s="200"/>
      <c r="F29" s="84"/>
      <c r="G29" s="35"/>
      <c r="H29" s="7"/>
      <c r="I29" s="7"/>
      <c r="J29" s="200"/>
      <c r="K29" s="37"/>
      <c r="L29" s="7"/>
      <c r="M29" s="7"/>
      <c r="N29" s="7"/>
      <c r="O29" s="37"/>
      <c r="P29" s="10"/>
      <c r="Q29" s="37"/>
      <c r="R29" s="37"/>
      <c r="S29" s="37"/>
      <c r="T29" s="7"/>
      <c r="U29" s="200"/>
      <c r="V29" s="40"/>
      <c r="Z29" s="221"/>
      <c r="AA29" s="10"/>
      <c r="AB29" s="10"/>
      <c r="AC29" s="37"/>
      <c r="AD29" s="221"/>
    </row>
    <row r="30" spans="1:30" ht="12.95" customHeight="1">
      <c r="A30" s="415" t="s">
        <v>265</v>
      </c>
      <c r="B30" s="416"/>
      <c r="C30" s="416"/>
      <c r="D30" s="416"/>
      <c r="E30" s="417"/>
      <c r="F30" s="84"/>
      <c r="H30" s="376">
        <f>(H10+H11)*2</f>
        <v>100.3</v>
      </c>
      <c r="I30" s="376"/>
      <c r="J30" s="376"/>
      <c r="K30" s="178" t="s">
        <v>269</v>
      </c>
      <c r="L30" s="352">
        <v>10</v>
      </c>
      <c r="M30" s="352"/>
      <c r="N30" s="7" t="s">
        <v>270</v>
      </c>
      <c r="O30" s="7"/>
      <c r="P30" s="200"/>
      <c r="Q30" s="223"/>
      <c r="R30" s="223"/>
      <c r="S30" s="223"/>
      <c r="T30" s="7"/>
      <c r="U30" s="200"/>
      <c r="Z30" s="221"/>
      <c r="AA30" s="200"/>
      <c r="AB30" s="200"/>
      <c r="AC30" s="223"/>
      <c r="AD30" s="221"/>
    </row>
    <row r="31" spans="1:30" ht="12.95" customHeight="1">
      <c r="A31" s="351" t="s">
        <v>266</v>
      </c>
      <c r="B31" s="352"/>
      <c r="C31" s="352"/>
      <c r="D31" s="352"/>
      <c r="E31" s="334"/>
      <c r="F31" s="84"/>
      <c r="G31" s="35"/>
      <c r="H31" s="7"/>
      <c r="I31" s="222"/>
      <c r="J31" s="223"/>
      <c r="K31" s="223"/>
      <c r="L31" s="7"/>
      <c r="M31" s="223"/>
      <c r="N31" s="223"/>
      <c r="O31" s="222"/>
      <c r="Q31" s="41"/>
      <c r="Z31" s="221"/>
      <c r="AA31" s="200"/>
      <c r="AB31" s="200"/>
      <c r="AC31" s="223"/>
      <c r="AD31" s="239"/>
    </row>
    <row r="32" spans="1:30" ht="12.95" customHeight="1">
      <c r="A32" s="215"/>
      <c r="B32" s="200"/>
      <c r="C32" s="200"/>
      <c r="D32" s="200"/>
      <c r="E32" s="200"/>
      <c r="F32" s="84"/>
      <c r="G32" s="35"/>
      <c r="H32" s="7"/>
      <c r="I32" s="7"/>
      <c r="J32" s="200"/>
      <c r="K32" s="223"/>
      <c r="L32" s="7"/>
      <c r="M32" s="7"/>
      <c r="Z32" s="221"/>
      <c r="AA32" s="219"/>
      <c r="AB32" s="339">
        <f>ROUNDUP(H30/L30,0)</f>
        <v>11</v>
      </c>
      <c r="AC32" s="339"/>
      <c r="AD32" s="221" t="s">
        <v>115</v>
      </c>
    </row>
    <row r="33" spans="1:30" s="200" customFormat="1" ht="12.95" customHeight="1">
      <c r="A33" s="255"/>
      <c r="B33" s="256"/>
      <c r="C33" s="256"/>
      <c r="D33" s="256"/>
      <c r="E33" s="256"/>
      <c r="F33" s="255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7"/>
      <c r="AA33" s="256"/>
      <c r="AB33" s="256"/>
      <c r="AC33" s="256"/>
      <c r="AD33" s="257"/>
    </row>
    <row r="34" spans="1:30" s="200" customFormat="1" ht="12.95" customHeight="1">
      <c r="A34" s="215"/>
      <c r="F34" s="8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"/>
      <c r="X34" s="10"/>
      <c r="Z34" s="216"/>
      <c r="AD34" s="216"/>
    </row>
    <row r="35" spans="1:30" s="200" customFormat="1" ht="12.95" customHeight="1">
      <c r="A35" s="418" t="s">
        <v>148</v>
      </c>
      <c r="B35" s="419"/>
      <c r="C35" s="419"/>
      <c r="D35" s="419"/>
      <c r="E35" s="419"/>
      <c r="F35" s="84"/>
      <c r="G35" s="224" t="s">
        <v>13</v>
      </c>
      <c r="H35" s="378">
        <f>K6</f>
        <v>12.7</v>
      </c>
      <c r="I35" s="378"/>
      <c r="J35" s="378"/>
      <c r="K35" s="200" t="s">
        <v>14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0"/>
      <c r="X35" s="10"/>
      <c r="Z35" s="216"/>
      <c r="AD35" s="216"/>
    </row>
    <row r="36" spans="1:30" s="200" customFormat="1" ht="12.95" customHeight="1">
      <c r="A36" s="420"/>
      <c r="B36" s="419"/>
      <c r="C36" s="419"/>
      <c r="D36" s="419"/>
      <c r="E36" s="419"/>
      <c r="F36" s="8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0"/>
      <c r="X36" s="10"/>
      <c r="Z36" s="216"/>
      <c r="AD36" s="216"/>
    </row>
    <row r="37" spans="1:30" ht="12.95" customHeight="1">
      <c r="A37" s="215"/>
      <c r="B37" s="200"/>
      <c r="C37" s="200"/>
      <c r="D37" s="200"/>
      <c r="E37" s="200"/>
      <c r="F37" s="84"/>
      <c r="G37" s="35"/>
      <c r="H37" s="421" t="s">
        <v>120</v>
      </c>
      <c r="I37" s="421"/>
      <c r="J37" s="421"/>
      <c r="K37" s="421"/>
      <c r="L37" s="421"/>
      <c r="M37" s="7" t="s">
        <v>15</v>
      </c>
      <c r="N37" s="36">
        <v>4</v>
      </c>
      <c r="O37" s="380" t="s">
        <v>107</v>
      </c>
      <c r="P37" s="380"/>
      <c r="Q37" s="37"/>
      <c r="Z37" s="221"/>
      <c r="AA37" s="10"/>
      <c r="AB37" s="10"/>
      <c r="AC37" s="376" t="s">
        <v>107</v>
      </c>
      <c r="AD37" s="377"/>
    </row>
    <row r="38" spans="1:30" ht="12.95" customHeight="1">
      <c r="A38" s="215"/>
      <c r="B38" s="200"/>
      <c r="C38" s="200"/>
      <c r="D38" s="200"/>
      <c r="E38" s="200"/>
      <c r="F38" s="84"/>
      <c r="G38" s="35"/>
      <c r="H38" s="350" t="s">
        <v>16</v>
      </c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2"/>
      <c r="X38" s="422"/>
      <c r="Z38" s="221"/>
      <c r="AA38" s="339">
        <f>N37</f>
        <v>4</v>
      </c>
      <c r="AB38" s="339"/>
      <c r="AC38" s="339"/>
      <c r="AD38" s="221"/>
    </row>
    <row r="39" spans="1:30" ht="12.95" customHeight="1">
      <c r="A39" s="215"/>
      <c r="B39" s="200"/>
      <c r="C39" s="200"/>
      <c r="D39" s="200"/>
      <c r="E39" s="200"/>
      <c r="F39" s="84"/>
      <c r="G39" s="35"/>
      <c r="H39" s="423" t="s">
        <v>17</v>
      </c>
      <c r="I39" s="423"/>
      <c r="J39" s="423"/>
      <c r="K39" s="423"/>
      <c r="L39" s="423"/>
      <c r="M39" s="423" t="s">
        <v>18</v>
      </c>
      <c r="N39" s="423"/>
      <c r="O39" s="423"/>
      <c r="P39" s="424" t="s">
        <v>19</v>
      </c>
      <c r="Q39" s="425"/>
      <c r="R39" s="425"/>
      <c r="S39" s="425"/>
      <c r="T39" s="426"/>
      <c r="U39" s="341" t="s">
        <v>20</v>
      </c>
      <c r="V39" s="341"/>
      <c r="W39" s="341"/>
      <c r="X39" s="341"/>
      <c r="Z39" s="221"/>
      <c r="AA39" s="10"/>
      <c r="AB39" s="10"/>
      <c r="AC39" s="37"/>
      <c r="AD39" s="221"/>
    </row>
    <row r="40" spans="1:30" ht="12.95" customHeight="1">
      <c r="A40" s="215"/>
      <c r="B40" s="200"/>
      <c r="C40" s="200"/>
      <c r="D40" s="200"/>
      <c r="E40" s="200"/>
      <c r="F40" s="84"/>
      <c r="G40" s="35"/>
      <c r="H40" s="423" t="s">
        <v>21</v>
      </c>
      <c r="I40" s="423"/>
      <c r="J40" s="423"/>
      <c r="K40" s="423"/>
      <c r="L40" s="423"/>
      <c r="M40" s="341" t="s">
        <v>22</v>
      </c>
      <c r="N40" s="341"/>
      <c r="O40" s="341"/>
      <c r="P40" s="427">
        <f>H35</f>
        <v>12.7</v>
      </c>
      <c r="Q40" s="428"/>
      <c r="R40" s="428"/>
      <c r="S40" s="428"/>
      <c r="T40" s="88" t="s">
        <v>14</v>
      </c>
      <c r="U40" s="341"/>
      <c r="V40" s="341"/>
      <c r="W40" s="341"/>
      <c r="X40" s="341"/>
      <c r="Z40" s="221"/>
      <c r="AA40" s="10"/>
      <c r="AB40" s="10"/>
      <c r="AC40" s="37"/>
      <c r="AD40" s="221"/>
    </row>
    <row r="41" spans="1:30" ht="12.95" customHeight="1">
      <c r="A41" s="215"/>
      <c r="B41" s="200"/>
      <c r="C41" s="200"/>
      <c r="D41" s="200"/>
      <c r="E41" s="200"/>
      <c r="F41" s="84"/>
      <c r="G41" s="35"/>
      <c r="H41" s="345" t="s">
        <v>23</v>
      </c>
      <c r="I41" s="346"/>
      <c r="J41" s="346"/>
      <c r="K41" s="346"/>
      <c r="L41" s="347"/>
      <c r="M41" s="345" t="s">
        <v>24</v>
      </c>
      <c r="N41" s="346"/>
      <c r="O41" s="347"/>
      <c r="P41" s="429" t="str">
        <f>FIXED(H35/1,0)</f>
        <v>13</v>
      </c>
      <c r="Q41" s="430"/>
      <c r="R41" s="430"/>
      <c r="S41" s="430"/>
      <c r="T41" s="88" t="s">
        <v>25</v>
      </c>
      <c r="U41" s="345"/>
      <c r="V41" s="346"/>
      <c r="W41" s="346"/>
      <c r="X41" s="347"/>
      <c r="Z41" s="221"/>
      <c r="AA41" s="10"/>
      <c r="AB41" s="10"/>
      <c r="AC41" s="37"/>
      <c r="AD41" s="221"/>
    </row>
    <row r="42" spans="1:30" ht="12.95" customHeight="1">
      <c r="A42" s="215"/>
      <c r="B42" s="200"/>
      <c r="C42" s="200"/>
      <c r="D42" s="200"/>
      <c r="E42" s="200"/>
      <c r="F42" s="84"/>
      <c r="G42" s="35"/>
      <c r="H42" s="423" t="s">
        <v>26</v>
      </c>
      <c r="I42" s="423"/>
      <c r="J42" s="423"/>
      <c r="K42" s="423"/>
      <c r="L42" s="423"/>
      <c r="M42" s="341" t="s">
        <v>27</v>
      </c>
      <c r="N42" s="341"/>
      <c r="O42" s="341"/>
      <c r="P42" s="431">
        <f>P40+(0.15*2+0.09*2)*P41</f>
        <v>18.939999999999998</v>
      </c>
      <c r="Q42" s="431"/>
      <c r="R42" s="432"/>
      <c r="S42" s="93"/>
      <c r="T42" s="88" t="s">
        <v>14</v>
      </c>
      <c r="U42" s="341"/>
      <c r="V42" s="341"/>
      <c r="W42" s="341"/>
      <c r="X42" s="341"/>
      <c r="Z42" s="221"/>
      <c r="AA42" s="10"/>
      <c r="AB42" s="10"/>
      <c r="AC42" s="37"/>
      <c r="AD42" s="221"/>
    </row>
    <row r="43" spans="1:30" s="200" customFormat="1" ht="12.95" customHeight="1">
      <c r="A43" s="255"/>
      <c r="B43" s="256"/>
      <c r="C43" s="256"/>
      <c r="D43" s="256"/>
      <c r="E43" s="256"/>
      <c r="F43" s="10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30"/>
      <c r="X43" s="30"/>
      <c r="Y43" s="256"/>
      <c r="Z43" s="257"/>
      <c r="AA43" s="256"/>
      <c r="AB43" s="256"/>
      <c r="AC43" s="256"/>
      <c r="AD43" s="257"/>
    </row>
    <row r="44" spans="1:30" s="200" customFormat="1" ht="12.95" customHeight="1">
      <c r="A44" s="215"/>
      <c r="F44" s="8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0"/>
      <c r="X44" s="10"/>
      <c r="Z44" s="216"/>
      <c r="AD44" s="216"/>
    </row>
    <row r="45" spans="1:30" s="200" customFormat="1" ht="12.95" customHeight="1">
      <c r="A45" s="330" t="s">
        <v>149</v>
      </c>
      <c r="B45" s="349"/>
      <c r="C45" s="349"/>
      <c r="D45" s="349"/>
      <c r="E45" s="349"/>
      <c r="F45" s="215"/>
      <c r="G45" s="433" t="s">
        <v>34</v>
      </c>
      <c r="H45" s="433"/>
      <c r="I45" s="433"/>
      <c r="J45" s="433"/>
      <c r="K45" s="433"/>
      <c r="L45" s="7"/>
      <c r="M45" s="7"/>
      <c r="N45" s="7"/>
      <c r="Z45" s="216"/>
      <c r="AD45" s="216"/>
    </row>
    <row r="46" spans="1:30" s="200" customFormat="1" ht="12.95" customHeight="1">
      <c r="A46" s="351" t="s">
        <v>127</v>
      </c>
      <c r="B46" s="352"/>
      <c r="C46" s="352"/>
      <c r="D46" s="352"/>
      <c r="E46" s="352"/>
      <c r="F46" s="215"/>
      <c r="Z46" s="216"/>
      <c r="AD46" s="216"/>
    </row>
    <row r="47" spans="1:30" s="200" customFormat="1" ht="12.95" customHeight="1">
      <c r="A47" s="215"/>
      <c r="F47" s="215"/>
      <c r="G47" s="200" t="s">
        <v>109</v>
      </c>
      <c r="H47" s="349" t="s">
        <v>110</v>
      </c>
      <c r="I47" s="349"/>
      <c r="J47" s="349"/>
      <c r="Q47" s="246"/>
      <c r="R47" s="51"/>
      <c r="S47" s="51"/>
      <c r="T47" s="246"/>
      <c r="U47" s="217"/>
      <c r="V47" s="217"/>
      <c r="W47" s="217"/>
      <c r="Z47" s="53"/>
      <c r="AD47" s="59" t="s">
        <v>14</v>
      </c>
    </row>
    <row r="48" spans="1:30" s="200" customFormat="1" ht="12.95" customHeight="1">
      <c r="A48" s="215"/>
      <c r="F48" s="215"/>
      <c r="H48" s="372">
        <v>12.2</v>
      </c>
      <c r="I48" s="372"/>
      <c r="J48" s="372"/>
      <c r="K48" s="246" t="s">
        <v>8</v>
      </c>
      <c r="L48" s="434">
        <f>AA13</f>
        <v>252</v>
      </c>
      <c r="M48" s="434"/>
      <c r="N48" s="200" t="s">
        <v>25</v>
      </c>
      <c r="O48" s="246" t="s">
        <v>8</v>
      </c>
      <c r="P48" s="439"/>
      <c r="Q48" s="439"/>
      <c r="R48" s="212"/>
      <c r="T48" s="217"/>
      <c r="U48" s="246"/>
      <c r="V48" s="51"/>
      <c r="W48" s="220" t="s">
        <v>35</v>
      </c>
      <c r="X48" s="435">
        <f>ROUND(H48*L48,3)</f>
        <v>3074.4</v>
      </c>
      <c r="Y48" s="435"/>
      <c r="Z48" s="436"/>
      <c r="AA48" s="375">
        <f>+X48</f>
        <v>3074.4</v>
      </c>
      <c r="AB48" s="375"/>
      <c r="AC48" s="375"/>
      <c r="AD48" s="216"/>
    </row>
    <row r="49" spans="1:30" s="200" customFormat="1" ht="12.95" customHeight="1">
      <c r="A49" s="215"/>
      <c r="F49" s="215"/>
      <c r="H49" s="217"/>
      <c r="I49" s="217"/>
      <c r="J49" s="217"/>
      <c r="K49" s="246"/>
      <c r="L49" s="240"/>
      <c r="M49" s="240"/>
      <c r="O49" s="235"/>
      <c r="T49" s="217"/>
      <c r="U49" s="246"/>
      <c r="V49" s="51"/>
      <c r="W49" s="220"/>
      <c r="X49" s="241"/>
      <c r="Y49" s="241"/>
      <c r="Z49" s="242"/>
      <c r="AA49" s="219"/>
      <c r="AB49" s="219"/>
      <c r="AC49" s="219"/>
      <c r="AD49" s="216"/>
    </row>
    <row r="50" spans="1:30" s="200" customFormat="1" ht="12.95" customHeight="1">
      <c r="A50" s="215"/>
      <c r="F50" s="215"/>
      <c r="G50" s="200" t="s">
        <v>111</v>
      </c>
      <c r="H50" s="349" t="s">
        <v>268</v>
      </c>
      <c r="I50" s="349"/>
      <c r="J50" s="349"/>
      <c r="Q50" s="246"/>
      <c r="R50" s="51"/>
      <c r="S50" s="51"/>
      <c r="T50" s="246"/>
      <c r="U50" s="217"/>
      <c r="V50" s="217"/>
      <c r="W50" s="217"/>
      <c r="Z50" s="53"/>
      <c r="AD50" s="59" t="s">
        <v>14</v>
      </c>
    </row>
    <row r="51" spans="1:30" s="200" customFormat="1" ht="12.95" customHeight="1">
      <c r="A51" s="215"/>
      <c r="F51" s="215"/>
      <c r="H51" s="437">
        <v>0</v>
      </c>
      <c r="I51" s="437"/>
      <c r="J51" s="437"/>
      <c r="K51" s="246" t="s">
        <v>8</v>
      </c>
      <c r="L51" s="434">
        <f>L48</f>
        <v>252</v>
      </c>
      <c r="M51" s="434"/>
      <c r="N51" s="200" t="s">
        <v>25</v>
      </c>
      <c r="O51" s="246" t="s">
        <v>8</v>
      </c>
      <c r="P51" s="439"/>
      <c r="Q51" s="439"/>
      <c r="R51" s="212"/>
      <c r="T51" s="217"/>
      <c r="U51" s="246"/>
      <c r="V51" s="51"/>
      <c r="W51" s="220" t="s">
        <v>35</v>
      </c>
      <c r="X51" s="435">
        <f>ROUND(H51*L51,3)</f>
        <v>0</v>
      </c>
      <c r="Y51" s="435"/>
      <c r="Z51" s="436"/>
      <c r="AA51" s="375">
        <f>+X51</f>
        <v>0</v>
      </c>
      <c r="AB51" s="375"/>
      <c r="AC51" s="375"/>
      <c r="AD51" s="216"/>
    </row>
    <row r="52" spans="1:30" s="200" customFormat="1" ht="12.95" customHeight="1">
      <c r="A52" s="215"/>
      <c r="F52" s="215"/>
      <c r="H52" s="245"/>
      <c r="I52" s="245"/>
      <c r="J52" s="245"/>
      <c r="K52" s="246"/>
      <c r="L52" s="240"/>
      <c r="M52" s="240"/>
      <c r="O52" s="246"/>
      <c r="P52" s="244"/>
      <c r="Q52" s="244"/>
      <c r="R52" s="212"/>
      <c r="T52" s="217"/>
      <c r="U52" s="246"/>
      <c r="V52" s="51"/>
      <c r="W52" s="220"/>
      <c r="X52" s="241"/>
      <c r="Y52" s="241"/>
      <c r="Z52" s="242"/>
      <c r="AA52" s="219"/>
      <c r="AB52" s="219"/>
      <c r="AC52" s="219"/>
      <c r="AD52" s="216"/>
    </row>
    <row r="53" spans="1:30" s="200" customFormat="1" ht="12.95" customHeight="1">
      <c r="A53" s="215"/>
      <c r="F53" s="215"/>
      <c r="G53" s="200" t="s">
        <v>156</v>
      </c>
      <c r="H53" s="349" t="s">
        <v>112</v>
      </c>
      <c r="I53" s="349"/>
      <c r="J53" s="349"/>
      <c r="Q53" s="246"/>
      <c r="R53" s="51"/>
      <c r="S53" s="51"/>
      <c r="T53" s="246"/>
      <c r="U53" s="217"/>
      <c r="V53" s="217"/>
      <c r="W53" s="217"/>
      <c r="Z53" s="53"/>
      <c r="AD53" s="59" t="s">
        <v>14</v>
      </c>
    </row>
    <row r="54" spans="1:30" s="200" customFormat="1" ht="12.95" customHeight="1">
      <c r="A54" s="215"/>
      <c r="F54" s="215"/>
      <c r="H54" s="440">
        <v>0</v>
      </c>
      <c r="I54" s="440"/>
      <c r="J54" s="440"/>
      <c r="K54" s="246" t="s">
        <v>8</v>
      </c>
      <c r="L54" s="434">
        <f>L51</f>
        <v>252</v>
      </c>
      <c r="M54" s="434"/>
      <c r="N54" s="200" t="s">
        <v>25</v>
      </c>
      <c r="O54" s="246" t="s">
        <v>8</v>
      </c>
      <c r="P54" s="439"/>
      <c r="Q54" s="439"/>
      <c r="R54" s="212"/>
      <c r="T54" s="217"/>
      <c r="U54" s="246"/>
      <c r="V54" s="51"/>
      <c r="W54" s="220" t="s">
        <v>35</v>
      </c>
      <c r="X54" s="435">
        <f>ROUND(H54*L54,3)</f>
        <v>0</v>
      </c>
      <c r="Y54" s="435"/>
      <c r="Z54" s="436"/>
      <c r="AA54" s="375">
        <f>+X54</f>
        <v>0</v>
      </c>
      <c r="AB54" s="375"/>
      <c r="AC54" s="375"/>
      <c r="AD54" s="216"/>
    </row>
    <row r="55" spans="1:30" s="200" customFormat="1" ht="12.95" customHeight="1">
      <c r="A55" s="255"/>
      <c r="B55" s="256"/>
      <c r="C55" s="256"/>
      <c r="D55" s="256"/>
      <c r="E55" s="256"/>
      <c r="F55" s="255"/>
      <c r="G55" s="256"/>
      <c r="H55" s="61"/>
      <c r="I55" s="61"/>
      <c r="J55" s="61"/>
      <c r="K55" s="207"/>
      <c r="L55" s="62"/>
      <c r="M55" s="62"/>
      <c r="N55" s="256"/>
      <c r="O55" s="48"/>
      <c r="P55" s="256"/>
      <c r="Q55" s="256"/>
      <c r="R55" s="256"/>
      <c r="S55" s="256"/>
      <c r="T55" s="61"/>
      <c r="U55" s="207"/>
      <c r="V55" s="58"/>
      <c r="W55" s="227"/>
      <c r="X55" s="63"/>
      <c r="Y55" s="63"/>
      <c r="Z55" s="94"/>
      <c r="AA55" s="64"/>
      <c r="AB55" s="64"/>
      <c r="AC55" s="64"/>
      <c r="AD55" s="257"/>
    </row>
    <row r="56" spans="1:30" s="200" customFormat="1" ht="12.95" customHeight="1">
      <c r="A56" s="215"/>
      <c r="F56" s="8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10"/>
      <c r="X56" s="10"/>
      <c r="Z56" s="216"/>
      <c r="AD56" s="216"/>
    </row>
    <row r="57" spans="1:30" s="200" customFormat="1" ht="12.95" customHeight="1">
      <c r="A57" s="330" t="s">
        <v>128</v>
      </c>
      <c r="B57" s="349"/>
      <c r="C57" s="349"/>
      <c r="D57" s="349"/>
      <c r="E57" s="349"/>
      <c r="F57" s="215"/>
      <c r="G57" s="438">
        <f>K6-0.5</f>
        <v>12.2</v>
      </c>
      <c r="H57" s="438"/>
      <c r="I57" s="438"/>
      <c r="J57" s="200" t="s">
        <v>117</v>
      </c>
      <c r="K57" s="404">
        <f>AA13</f>
        <v>252</v>
      </c>
      <c r="L57" s="404"/>
      <c r="M57" s="200" t="s">
        <v>118</v>
      </c>
      <c r="W57" s="200" t="s">
        <v>113</v>
      </c>
      <c r="X57" s="352">
        <f>G57*K57</f>
        <v>3074.3999999999996</v>
      </c>
      <c r="Y57" s="352"/>
      <c r="Z57" s="334"/>
      <c r="AD57" s="59" t="s">
        <v>14</v>
      </c>
    </row>
    <row r="58" spans="1:30" s="200" customFormat="1" ht="12.95" customHeight="1">
      <c r="A58" s="351" t="s">
        <v>116</v>
      </c>
      <c r="B58" s="352"/>
      <c r="C58" s="352"/>
      <c r="D58" s="352"/>
      <c r="E58" s="352"/>
      <c r="F58" s="215"/>
      <c r="Z58" s="216"/>
      <c r="AA58" s="375">
        <f>X57</f>
        <v>3074.3999999999996</v>
      </c>
      <c r="AB58" s="375"/>
      <c r="AC58" s="375"/>
      <c r="AD58" s="216"/>
    </row>
    <row r="59" spans="1:30" s="200" customFormat="1" ht="12.95" customHeight="1">
      <c r="A59" s="215"/>
      <c r="F59" s="215"/>
      <c r="Z59" s="216"/>
      <c r="AD59" s="216"/>
    </row>
    <row r="60" spans="1:30" s="200" customFormat="1" ht="12.95" customHeight="1">
      <c r="A60" s="215"/>
      <c r="F60" s="215"/>
      <c r="Z60" s="216"/>
      <c r="AD60" s="216"/>
    </row>
    <row r="61" spans="1:30" s="200" customFormat="1" ht="12.95" customHeight="1">
      <c r="A61" s="255"/>
      <c r="B61" s="256"/>
      <c r="C61" s="256"/>
      <c r="D61" s="256"/>
      <c r="E61" s="256"/>
      <c r="F61" s="10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30"/>
      <c r="X61" s="30"/>
      <c r="Y61" s="256"/>
      <c r="Z61" s="257"/>
      <c r="AA61" s="256"/>
      <c r="AB61" s="256"/>
      <c r="AC61" s="256"/>
      <c r="AD61" s="257"/>
    </row>
    <row r="62" spans="1:30" s="200" customFormat="1" ht="12.95" customHeight="1">
      <c r="A62" s="215"/>
      <c r="F62" s="8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"/>
      <c r="X62" s="10"/>
      <c r="Z62" s="216"/>
      <c r="AD62" s="216"/>
    </row>
    <row r="63" spans="1:30" s="200" customFormat="1" ht="12.95" customHeight="1">
      <c r="A63" s="330" t="s">
        <v>150</v>
      </c>
      <c r="B63" s="349"/>
      <c r="C63" s="349"/>
      <c r="D63" s="349"/>
      <c r="E63" s="349"/>
      <c r="F63" s="215"/>
      <c r="G63" s="433" t="s">
        <v>34</v>
      </c>
      <c r="H63" s="433"/>
      <c r="I63" s="433"/>
      <c r="J63" s="433"/>
      <c r="K63" s="433"/>
      <c r="L63" s="7"/>
      <c r="M63" s="7"/>
      <c r="N63" s="7"/>
      <c r="Z63" s="216"/>
      <c r="AD63" s="216"/>
    </row>
    <row r="64" spans="1:30" s="200" customFormat="1" ht="12.95" customHeight="1">
      <c r="A64" s="215"/>
      <c r="F64" s="215"/>
      <c r="Z64" s="216"/>
      <c r="AD64" s="59" t="s">
        <v>14</v>
      </c>
    </row>
    <row r="65" spans="1:30" s="200" customFormat="1" ht="12.95" customHeight="1">
      <c r="A65" s="215"/>
      <c r="F65" s="215"/>
      <c r="J65" s="352">
        <f>H48*L48</f>
        <v>3074.3999999999996</v>
      </c>
      <c r="K65" s="352"/>
      <c r="L65" s="352"/>
      <c r="M65" s="200" t="s">
        <v>2</v>
      </c>
      <c r="N65" s="352">
        <f>H51*L51</f>
        <v>0</v>
      </c>
      <c r="O65" s="352"/>
      <c r="P65" s="352"/>
      <c r="Q65" s="200" t="s">
        <v>2</v>
      </c>
      <c r="R65" s="352">
        <f>H54*L54</f>
        <v>0</v>
      </c>
      <c r="S65" s="352"/>
      <c r="T65" s="352"/>
      <c r="W65" s="200" t="s">
        <v>113</v>
      </c>
      <c r="X65" s="352">
        <f>J65+N65+R65</f>
        <v>3074.3999999999996</v>
      </c>
      <c r="Y65" s="352"/>
      <c r="Z65" s="334"/>
      <c r="AA65" s="375">
        <f>X65</f>
        <v>3074.3999999999996</v>
      </c>
      <c r="AB65" s="375"/>
      <c r="AC65" s="375"/>
      <c r="AD65" s="216"/>
    </row>
    <row r="66" spans="1:30" s="200" customFormat="1" ht="12.95" customHeight="1">
      <c r="A66" s="215"/>
      <c r="F66" s="215"/>
      <c r="Z66" s="216"/>
      <c r="AD66" s="216"/>
    </row>
    <row r="67" spans="1:30" s="200" customFormat="1" ht="12.95" customHeight="1">
      <c r="A67" s="255"/>
      <c r="B67" s="256"/>
      <c r="C67" s="256"/>
      <c r="D67" s="256"/>
      <c r="E67" s="256"/>
      <c r="F67" s="255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7"/>
      <c r="AA67" s="256"/>
      <c r="AB67" s="256"/>
      <c r="AC67" s="256"/>
      <c r="AD67" s="257"/>
    </row>
    <row r="68" spans="1:30" s="200" customFormat="1" ht="12.95" customHeight="1">
      <c r="A68" s="215"/>
      <c r="F68" s="8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0"/>
      <c r="X68" s="10"/>
      <c r="Z68" s="216"/>
      <c r="AD68" s="216"/>
    </row>
    <row r="69" spans="1:30" ht="12.95" customHeight="1">
      <c r="A69" s="383" t="s">
        <v>129</v>
      </c>
      <c r="B69" s="349"/>
      <c r="C69" s="349"/>
      <c r="D69" s="349"/>
      <c r="E69" s="349"/>
      <c r="F69" s="251"/>
      <c r="G69" s="441" t="s">
        <v>63</v>
      </c>
      <c r="H69" s="441"/>
      <c r="I69" s="441"/>
      <c r="J69" s="441"/>
      <c r="K69" s="441"/>
      <c r="L69" s="441"/>
      <c r="M69" s="441"/>
      <c r="Z69" s="221"/>
      <c r="AD69" s="221"/>
    </row>
    <row r="70" spans="1:30" ht="12.75" customHeight="1">
      <c r="A70" s="330"/>
      <c r="B70" s="349"/>
      <c r="C70" s="349"/>
      <c r="D70" s="349"/>
      <c r="E70" s="349"/>
      <c r="F70" s="251"/>
      <c r="Z70" s="221"/>
      <c r="AD70" s="221"/>
    </row>
    <row r="71" spans="1:30" s="200" customFormat="1" ht="12.95" customHeight="1">
      <c r="A71" s="215"/>
      <c r="B71" s="349" t="s">
        <v>274</v>
      </c>
      <c r="C71" s="349"/>
      <c r="D71" s="349"/>
      <c r="E71" s="349"/>
      <c r="F71" s="103"/>
      <c r="G71" s="352" t="s">
        <v>122</v>
      </c>
      <c r="H71" s="352"/>
      <c r="I71" s="438">
        <v>8.4</v>
      </c>
      <c r="J71" s="438"/>
      <c r="K71" s="90" t="s">
        <v>14</v>
      </c>
      <c r="L71" s="200" t="s">
        <v>121</v>
      </c>
      <c r="M71" s="249">
        <v>4</v>
      </c>
      <c r="N71" s="200" t="s">
        <v>118</v>
      </c>
      <c r="T71" s="7"/>
      <c r="V71" s="7"/>
      <c r="W71" s="220"/>
      <c r="X71" s="220"/>
      <c r="Y71" s="220"/>
      <c r="Z71" s="221"/>
      <c r="AA71" s="10"/>
      <c r="AB71" s="10"/>
      <c r="AC71" s="37"/>
      <c r="AD71" s="216"/>
    </row>
    <row r="72" spans="1:30" s="200" customFormat="1" ht="12.95" customHeight="1">
      <c r="A72" s="215"/>
      <c r="F72" s="84"/>
      <c r="G72" s="352" t="s">
        <v>122</v>
      </c>
      <c r="H72" s="352"/>
      <c r="I72" s="438">
        <v>40.65</v>
      </c>
      <c r="J72" s="438"/>
      <c r="K72" s="90" t="s">
        <v>14</v>
      </c>
      <c r="L72" s="200" t="s">
        <v>121</v>
      </c>
      <c r="M72" s="249">
        <v>4</v>
      </c>
      <c r="N72" s="200" t="s">
        <v>118</v>
      </c>
      <c r="O72" s="67"/>
      <c r="P72" s="212"/>
      <c r="Q72" s="37"/>
      <c r="R72" s="37"/>
      <c r="S72" s="37"/>
      <c r="T72" s="7"/>
      <c r="V72" s="7"/>
      <c r="W72" s="220"/>
      <c r="X72" s="220"/>
      <c r="Y72" s="220"/>
      <c r="Z72" s="221"/>
      <c r="AA72" s="10"/>
      <c r="AB72" s="10"/>
      <c r="AC72" s="37"/>
      <c r="AD72" s="216"/>
    </row>
    <row r="73" spans="1:30" s="200" customFormat="1" ht="12.95" customHeight="1">
      <c r="A73" s="215"/>
      <c r="F73" s="84"/>
      <c r="I73" s="243"/>
      <c r="J73" s="243"/>
      <c r="K73" s="90"/>
      <c r="M73" s="249"/>
      <c r="O73" s="67"/>
      <c r="P73" s="212"/>
      <c r="Q73" s="37"/>
      <c r="R73" s="37"/>
      <c r="S73" s="37"/>
      <c r="T73" s="7"/>
      <c r="V73" s="7"/>
      <c r="W73" s="220"/>
      <c r="X73" s="220"/>
      <c r="Y73" s="220"/>
      <c r="Z73" s="221"/>
      <c r="AA73" s="10"/>
      <c r="AB73" s="10"/>
      <c r="AC73" s="37"/>
      <c r="AD73" s="216" t="s">
        <v>118</v>
      </c>
    </row>
    <row r="74" spans="1:30" s="200" customFormat="1" ht="12.95" customHeight="1">
      <c r="A74" s="215"/>
      <c r="F74" s="84"/>
      <c r="G74" s="35"/>
      <c r="H74" s="7" t="s">
        <v>1</v>
      </c>
      <c r="I74" s="91" t="s">
        <v>124</v>
      </c>
      <c r="J74" s="225">
        <v>6</v>
      </c>
      <c r="K74" s="243" t="s">
        <v>123</v>
      </c>
      <c r="L74" s="249">
        <v>8</v>
      </c>
      <c r="M74" s="243" t="s">
        <v>119</v>
      </c>
      <c r="N74" s="99" t="s">
        <v>124</v>
      </c>
      <c r="O74" s="98">
        <f>M71</f>
        <v>4</v>
      </c>
      <c r="P74" s="212" t="s">
        <v>118</v>
      </c>
      <c r="Q74" s="37"/>
      <c r="R74" s="37"/>
      <c r="S74" s="37"/>
      <c r="T74" s="7"/>
      <c r="V74" s="7"/>
      <c r="W74" s="220" t="s">
        <v>113</v>
      </c>
      <c r="X74" s="337">
        <f>O74</f>
        <v>4</v>
      </c>
      <c r="Y74" s="337"/>
      <c r="Z74" s="338"/>
      <c r="AA74" s="339">
        <f>X74</f>
        <v>4</v>
      </c>
      <c r="AB74" s="339"/>
      <c r="AC74" s="339"/>
      <c r="AD74" s="216"/>
    </row>
    <row r="75" spans="1:30" s="200" customFormat="1" ht="12.95" customHeight="1">
      <c r="A75" s="215"/>
      <c r="F75" s="84"/>
      <c r="G75" s="35"/>
      <c r="H75" s="7"/>
      <c r="I75" s="91"/>
      <c r="J75" s="225"/>
      <c r="K75" s="243"/>
      <c r="L75" s="249"/>
      <c r="M75" s="243"/>
      <c r="N75" s="99"/>
      <c r="O75" s="98"/>
      <c r="P75" s="212"/>
      <c r="Q75" s="37"/>
      <c r="R75" s="37"/>
      <c r="S75" s="37"/>
      <c r="T75" s="7"/>
      <c r="V75" s="7"/>
      <c r="W75" s="220"/>
      <c r="X75" s="220"/>
      <c r="Y75" s="220"/>
      <c r="Z75" s="221"/>
      <c r="AA75" s="10"/>
      <c r="AB75" s="10"/>
      <c r="AC75" s="37"/>
      <c r="AD75" s="216" t="s">
        <v>118</v>
      </c>
    </row>
    <row r="76" spans="1:30" s="200" customFormat="1" ht="12.95" customHeight="1">
      <c r="A76" s="215"/>
      <c r="F76" s="84"/>
      <c r="G76" s="35"/>
      <c r="H76" s="7" t="s">
        <v>1</v>
      </c>
      <c r="I76" s="91" t="s">
        <v>124</v>
      </c>
      <c r="J76" s="225">
        <v>9</v>
      </c>
      <c r="K76" s="243" t="s">
        <v>123</v>
      </c>
      <c r="L76" s="249">
        <v>11</v>
      </c>
      <c r="M76" s="243" t="s">
        <v>119</v>
      </c>
      <c r="N76" s="99" t="s">
        <v>124</v>
      </c>
      <c r="O76" s="98">
        <f>M72*4</f>
        <v>16</v>
      </c>
      <c r="P76" s="212" t="s">
        <v>118</v>
      </c>
      <c r="Q76" s="37"/>
      <c r="R76" s="37"/>
      <c r="S76" s="37"/>
      <c r="T76" s="7"/>
      <c r="V76" s="7"/>
      <c r="W76" s="220" t="s">
        <v>113</v>
      </c>
      <c r="X76" s="337">
        <f>O76</f>
        <v>16</v>
      </c>
      <c r="Y76" s="337"/>
      <c r="Z76" s="338"/>
      <c r="AA76" s="339">
        <f>X76</f>
        <v>16</v>
      </c>
      <c r="AB76" s="339"/>
      <c r="AC76" s="339"/>
      <c r="AD76" s="216"/>
    </row>
    <row r="77" spans="1:30" s="200" customFormat="1" ht="12.95" customHeight="1">
      <c r="A77" s="215"/>
      <c r="F77" s="84"/>
      <c r="G77" s="379" t="s">
        <v>125</v>
      </c>
      <c r="H77" s="421"/>
      <c r="I77" s="421"/>
      <c r="J77" s="91"/>
      <c r="L77" s="235"/>
      <c r="N77" s="67"/>
      <c r="O77" s="258"/>
      <c r="P77" s="212"/>
      <c r="Q77" s="380" t="s">
        <v>11</v>
      </c>
      <c r="R77" s="380"/>
      <c r="S77" s="380"/>
      <c r="T77" s="380"/>
      <c r="V77" s="7"/>
      <c r="W77" s="220"/>
      <c r="X77" s="220"/>
      <c r="Y77" s="197"/>
      <c r="Z77" s="198"/>
      <c r="AA77" s="235"/>
      <c r="AB77" s="235"/>
      <c r="AC77" s="235"/>
      <c r="AD77" s="59" t="s">
        <v>10</v>
      </c>
    </row>
    <row r="78" spans="1:30" s="200" customFormat="1" ht="12.95" customHeight="1">
      <c r="A78" s="215"/>
      <c r="F78" s="84"/>
      <c r="G78" s="35"/>
      <c r="H78" s="229" t="s">
        <v>4</v>
      </c>
      <c r="I78" s="442">
        <f>I71*M71</f>
        <v>33.6</v>
      </c>
      <c r="J78" s="442"/>
      <c r="K78" s="200" t="s">
        <v>2</v>
      </c>
      <c r="L78" s="483">
        <f>I72*M72</f>
        <v>162.6</v>
      </c>
      <c r="M78" s="483"/>
      <c r="N78" s="89" t="s">
        <v>3</v>
      </c>
      <c r="O78" s="89" t="s">
        <v>117</v>
      </c>
      <c r="P78" s="373">
        <v>9.4E-2</v>
      </c>
      <c r="Q78" s="373"/>
      <c r="R78" s="373"/>
      <c r="S78" s="218"/>
      <c r="T78" s="7"/>
      <c r="V78" s="7"/>
      <c r="W78" s="220" t="s">
        <v>35</v>
      </c>
      <c r="X78" s="376">
        <f>ROUND((I78+L78)*P78,3)</f>
        <v>18.443000000000001</v>
      </c>
      <c r="Y78" s="376"/>
      <c r="Z78" s="377"/>
      <c r="AA78" s="375">
        <f>X78</f>
        <v>18.443000000000001</v>
      </c>
      <c r="AB78" s="375"/>
      <c r="AC78" s="375"/>
      <c r="AD78" s="216"/>
    </row>
    <row r="79" spans="1:30" s="200" customFormat="1" ht="12.95" customHeight="1">
      <c r="A79" s="255"/>
      <c r="B79" s="256"/>
      <c r="C79" s="256"/>
      <c r="D79" s="256"/>
      <c r="E79" s="256"/>
      <c r="F79" s="101"/>
      <c r="G79" s="28"/>
      <c r="H79" s="20"/>
      <c r="I79" s="95"/>
      <c r="J79" s="95"/>
      <c r="K79" s="256"/>
      <c r="L79" s="256"/>
      <c r="M79" s="256"/>
      <c r="N79" s="96"/>
      <c r="O79" s="96"/>
      <c r="P79" s="47"/>
      <c r="Q79" s="29"/>
      <c r="R79" s="29"/>
      <c r="S79" s="29"/>
      <c r="T79" s="20"/>
      <c r="U79" s="256"/>
      <c r="V79" s="20"/>
      <c r="W79" s="227"/>
      <c r="X79" s="227"/>
      <c r="Y79" s="227"/>
      <c r="Z79" s="228"/>
      <c r="AA79" s="30"/>
      <c r="AB79" s="30"/>
      <c r="AC79" s="29"/>
      <c r="AD79" s="257"/>
    </row>
    <row r="80" spans="1:30" s="200" customFormat="1" ht="12.95" customHeight="1">
      <c r="A80" s="215"/>
      <c r="F80" s="8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10"/>
      <c r="X80" s="10"/>
      <c r="Z80" s="216"/>
      <c r="AD80" s="216"/>
    </row>
    <row r="81" spans="1:35" ht="12.95" customHeight="1">
      <c r="A81" s="383" t="s">
        <v>303</v>
      </c>
      <c r="B81" s="349"/>
      <c r="C81" s="349"/>
      <c r="D81" s="349"/>
      <c r="E81" s="349"/>
      <c r="F81" s="251"/>
      <c r="G81" s="441" t="s">
        <v>63</v>
      </c>
      <c r="H81" s="441"/>
      <c r="I81" s="441"/>
      <c r="J81" s="441"/>
      <c r="K81" s="441"/>
      <c r="L81" s="441"/>
      <c r="M81" s="441"/>
      <c r="Z81" s="221"/>
      <c r="AD81" s="221"/>
    </row>
    <row r="82" spans="1:35" ht="12.75" customHeight="1">
      <c r="A82" s="330"/>
      <c r="B82" s="349"/>
      <c r="C82" s="349"/>
      <c r="D82" s="349"/>
      <c r="E82" s="349"/>
      <c r="F82" s="251"/>
      <c r="Z82" s="221"/>
      <c r="AD82" s="221"/>
    </row>
    <row r="83" spans="1:35" s="200" customFormat="1" ht="12.95" customHeight="1">
      <c r="A83" s="215"/>
      <c r="B83" s="349"/>
      <c r="C83" s="349"/>
      <c r="D83" s="349"/>
      <c r="E83" s="349"/>
      <c r="F83" s="103"/>
      <c r="G83" s="352" t="s">
        <v>122</v>
      </c>
      <c r="H83" s="352"/>
      <c r="I83" s="438">
        <v>7.4</v>
      </c>
      <c r="J83" s="438"/>
      <c r="K83" s="90" t="s">
        <v>14</v>
      </c>
      <c r="L83" s="200" t="s">
        <v>121</v>
      </c>
      <c r="M83" s="249">
        <v>34</v>
      </c>
      <c r="N83" s="200" t="s">
        <v>118</v>
      </c>
      <c r="T83" s="7"/>
      <c r="V83" s="7"/>
      <c r="W83" s="220"/>
      <c r="X83" s="220"/>
      <c r="Y83" s="220"/>
      <c r="Z83" s="221"/>
      <c r="AA83" s="10"/>
      <c r="AB83" s="10"/>
      <c r="AC83" s="37"/>
      <c r="AD83" s="216"/>
    </row>
    <row r="84" spans="1:35" s="200" customFormat="1" ht="12.95" customHeight="1">
      <c r="A84" s="215"/>
      <c r="F84" s="84"/>
      <c r="I84" s="243"/>
      <c r="J84" s="243"/>
      <c r="K84" s="90"/>
      <c r="M84" s="249"/>
      <c r="O84" s="67"/>
      <c r="P84" s="212"/>
      <c r="Q84" s="37"/>
      <c r="R84" s="37"/>
      <c r="S84" s="37"/>
      <c r="T84" s="7"/>
      <c r="V84" s="7"/>
      <c r="W84" s="220"/>
      <c r="X84" s="220"/>
      <c r="Y84" s="220"/>
      <c r="Z84" s="221"/>
      <c r="AA84" s="10"/>
      <c r="AB84" s="10"/>
      <c r="AC84" s="37"/>
      <c r="AD84" s="216" t="s">
        <v>118</v>
      </c>
    </row>
    <row r="85" spans="1:35" s="200" customFormat="1" ht="12.95" customHeight="1">
      <c r="A85" s="215"/>
      <c r="F85" s="84"/>
      <c r="G85" s="35"/>
      <c r="H85" s="7" t="s">
        <v>1</v>
      </c>
      <c r="I85" s="91" t="s">
        <v>124</v>
      </c>
      <c r="J85" s="225">
        <v>6</v>
      </c>
      <c r="K85" s="243" t="s">
        <v>123</v>
      </c>
      <c r="L85" s="249">
        <v>8</v>
      </c>
      <c r="M85" s="243" t="s">
        <v>119</v>
      </c>
      <c r="N85" s="99" t="s">
        <v>124</v>
      </c>
      <c r="O85" s="98">
        <f>M83</f>
        <v>34</v>
      </c>
      <c r="P85" s="212" t="s">
        <v>118</v>
      </c>
      <c r="Q85" s="37"/>
      <c r="R85" s="37"/>
      <c r="S85" s="37"/>
      <c r="T85" s="7"/>
      <c r="V85" s="7"/>
      <c r="W85" s="220" t="s">
        <v>113</v>
      </c>
      <c r="X85" s="337">
        <f>O85</f>
        <v>34</v>
      </c>
      <c r="Y85" s="337"/>
      <c r="Z85" s="338"/>
      <c r="AA85" s="339">
        <f>X85</f>
        <v>34</v>
      </c>
      <c r="AB85" s="339"/>
      <c r="AC85" s="339"/>
      <c r="AD85" s="216"/>
    </row>
    <row r="86" spans="1:35" s="200" customFormat="1" ht="12.95" customHeight="1">
      <c r="A86" s="215"/>
      <c r="F86" s="84"/>
      <c r="G86" s="379" t="s">
        <v>125</v>
      </c>
      <c r="H86" s="421"/>
      <c r="I86" s="421"/>
      <c r="J86" s="91"/>
      <c r="L86" s="235"/>
      <c r="N86" s="67"/>
      <c r="O86" s="258"/>
      <c r="P86" s="212"/>
      <c r="Q86" s="380" t="s">
        <v>11</v>
      </c>
      <c r="R86" s="380"/>
      <c r="S86" s="380"/>
      <c r="T86" s="380"/>
      <c r="V86" s="7"/>
      <c r="W86" s="220"/>
      <c r="X86" s="220"/>
      <c r="Y86" s="197"/>
      <c r="Z86" s="198"/>
      <c r="AA86" s="235"/>
      <c r="AB86" s="235"/>
      <c r="AC86" s="235"/>
      <c r="AD86" s="59" t="s">
        <v>10</v>
      </c>
    </row>
    <row r="87" spans="1:35" s="200" customFormat="1" ht="12.95" customHeight="1">
      <c r="A87" s="215"/>
      <c r="F87" s="84"/>
      <c r="G87" s="35"/>
      <c r="H87" s="229" t="s">
        <v>4</v>
      </c>
      <c r="I87" s="443">
        <f>I83*M83</f>
        <v>251.60000000000002</v>
      </c>
      <c r="J87" s="443"/>
      <c r="K87" s="200" t="s">
        <v>2</v>
      </c>
      <c r="L87" s="352"/>
      <c r="M87" s="352"/>
      <c r="N87" s="89" t="s">
        <v>3</v>
      </c>
      <c r="O87" s="89" t="s">
        <v>117</v>
      </c>
      <c r="P87" s="373">
        <v>9.4E-2</v>
      </c>
      <c r="Q87" s="373"/>
      <c r="R87" s="373"/>
      <c r="S87" s="218"/>
      <c r="T87" s="7"/>
      <c r="V87" s="7"/>
      <c r="W87" s="220" t="s">
        <v>35</v>
      </c>
      <c r="X87" s="376">
        <f>ROUND((I87+L87)*P87,3)</f>
        <v>23.65</v>
      </c>
      <c r="Y87" s="376"/>
      <c r="Z87" s="377"/>
      <c r="AA87" s="375">
        <f>X87</f>
        <v>23.65</v>
      </c>
      <c r="AB87" s="375"/>
      <c r="AC87" s="375"/>
      <c r="AD87" s="216"/>
    </row>
    <row r="88" spans="1:35" s="200" customFormat="1" ht="12.95" customHeight="1">
      <c r="A88" s="255"/>
      <c r="B88" s="256"/>
      <c r="C88" s="256"/>
      <c r="D88" s="256"/>
      <c r="E88" s="256"/>
      <c r="F88" s="101"/>
      <c r="G88" s="28"/>
      <c r="H88" s="20"/>
      <c r="I88" s="95"/>
      <c r="J88" s="95"/>
      <c r="K88" s="256"/>
      <c r="L88" s="256"/>
      <c r="M88" s="256"/>
      <c r="N88" s="96"/>
      <c r="O88" s="96"/>
      <c r="P88" s="47"/>
      <c r="Q88" s="29"/>
      <c r="R88" s="29"/>
      <c r="S88" s="29"/>
      <c r="T88" s="20"/>
      <c r="U88" s="256"/>
      <c r="V88" s="20"/>
      <c r="W88" s="227"/>
      <c r="X88" s="227"/>
      <c r="Y88" s="227"/>
      <c r="Z88" s="228"/>
      <c r="AA88" s="30"/>
      <c r="AB88" s="30"/>
      <c r="AC88" s="29"/>
      <c r="AD88" s="257"/>
    </row>
    <row r="89" spans="1:35" s="200" customFormat="1" ht="12.95" customHeight="1">
      <c r="A89" s="252"/>
      <c r="B89" s="253"/>
      <c r="C89" s="253"/>
      <c r="D89" s="253"/>
      <c r="E89" s="25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"/>
      <c r="X89" s="10"/>
      <c r="Z89" s="216"/>
      <c r="AD89" s="216"/>
    </row>
    <row r="90" spans="1:35" s="200" customFormat="1" ht="12.95" customHeight="1">
      <c r="A90" s="383" t="s">
        <v>283</v>
      </c>
      <c r="B90" s="349"/>
      <c r="C90" s="349"/>
      <c r="D90" s="349"/>
      <c r="E90" s="332"/>
      <c r="F90" s="7"/>
      <c r="G90" s="224" t="s">
        <v>158</v>
      </c>
      <c r="H90" s="222"/>
      <c r="I90" s="222"/>
      <c r="N90" s="7"/>
      <c r="O90" s="7"/>
      <c r="P90" s="7"/>
      <c r="Q90" s="7"/>
      <c r="R90" s="7"/>
      <c r="S90" s="7"/>
      <c r="T90" s="7"/>
      <c r="U90" s="7"/>
      <c r="V90" s="7"/>
      <c r="W90" s="10"/>
      <c r="X90" s="10"/>
      <c r="Z90" s="216"/>
      <c r="AA90" s="10"/>
      <c r="AB90" s="10"/>
      <c r="AC90" s="376" t="s">
        <v>107</v>
      </c>
      <c r="AD90" s="377"/>
    </row>
    <row r="91" spans="1:35" s="200" customFormat="1" ht="12.95" customHeight="1">
      <c r="A91" s="330"/>
      <c r="B91" s="349"/>
      <c r="C91" s="349"/>
      <c r="D91" s="349"/>
      <c r="E91" s="332"/>
      <c r="F91" s="7"/>
      <c r="G91" s="7"/>
      <c r="H91" s="7"/>
      <c r="I91" s="7"/>
      <c r="J91" s="7"/>
      <c r="K91" s="7"/>
      <c r="L91" s="7" t="s">
        <v>15</v>
      </c>
      <c r="M91" s="36">
        <v>8</v>
      </c>
      <c r="N91" s="380" t="s">
        <v>107</v>
      </c>
      <c r="O91" s="380"/>
      <c r="P91" s="7"/>
      <c r="Q91" s="7"/>
      <c r="R91" s="7"/>
      <c r="S91" s="7"/>
      <c r="T91" s="7"/>
      <c r="U91" s="7"/>
      <c r="V91" s="7"/>
      <c r="W91" s="10"/>
      <c r="X91" s="10"/>
      <c r="Z91" s="216"/>
      <c r="AA91" s="339">
        <f>M91</f>
        <v>8</v>
      </c>
      <c r="AB91" s="339"/>
      <c r="AC91" s="339"/>
      <c r="AD91" s="221"/>
    </row>
    <row r="92" spans="1:35" s="200" customFormat="1" ht="12.95" customHeight="1">
      <c r="A92" s="211"/>
      <c r="B92" s="212"/>
      <c r="C92" s="212"/>
      <c r="D92" s="212"/>
      <c r="E92" s="213"/>
      <c r="F92" s="7"/>
      <c r="G92" s="35"/>
      <c r="H92" s="246"/>
      <c r="I92" s="246"/>
      <c r="J92" s="220"/>
      <c r="K92" s="367" t="s">
        <v>39</v>
      </c>
      <c r="L92" s="367"/>
      <c r="M92" s="367"/>
      <c r="N92" s="367"/>
      <c r="O92" s="367"/>
      <c r="P92" s="367"/>
      <c r="Q92" s="367"/>
      <c r="R92" s="367"/>
      <c r="S92" s="208"/>
      <c r="T92" s="7"/>
      <c r="V92" s="40"/>
      <c r="X92" s="220"/>
      <c r="Y92" s="220" t="s">
        <v>40</v>
      </c>
      <c r="Z92" s="221"/>
      <c r="AA92" s="199"/>
      <c r="AB92" s="199"/>
      <c r="AC92" s="199"/>
      <c r="AD92" s="221"/>
    </row>
    <row r="93" spans="1:35" s="200" customFormat="1" ht="12.95" customHeight="1">
      <c r="A93" s="211"/>
      <c r="B93" s="212"/>
      <c r="C93" s="212"/>
      <c r="D93" s="212"/>
      <c r="E93" s="213"/>
      <c r="G93" s="341" t="s">
        <v>41</v>
      </c>
      <c r="H93" s="341"/>
      <c r="I93" s="341"/>
      <c r="J93" s="341"/>
      <c r="K93" s="342" t="s">
        <v>42</v>
      </c>
      <c r="L93" s="343"/>
      <c r="M93" s="343"/>
      <c r="N93" s="343"/>
      <c r="O93" s="344"/>
      <c r="P93" s="340" t="s">
        <v>43</v>
      </c>
      <c r="Q93" s="340"/>
      <c r="R93" s="340" t="s">
        <v>45</v>
      </c>
      <c r="S93" s="340"/>
      <c r="T93" s="340"/>
      <c r="U93" s="340"/>
      <c r="V93" s="340" t="s">
        <v>20</v>
      </c>
      <c r="W93" s="340"/>
      <c r="X93" s="340"/>
      <c r="Y93" s="340"/>
      <c r="Z93" s="216"/>
      <c r="AA93" s="199"/>
      <c r="AB93" s="199"/>
      <c r="AC93" s="199"/>
      <c r="AD93" s="221"/>
    </row>
    <row r="94" spans="1:35" s="200" customFormat="1" ht="12.95" customHeight="1">
      <c r="A94" s="211"/>
      <c r="B94" s="212"/>
      <c r="C94" s="212"/>
      <c r="D94" s="212"/>
      <c r="E94" s="213"/>
      <c r="G94" s="341" t="s">
        <v>79</v>
      </c>
      <c r="H94" s="341"/>
      <c r="I94" s="341"/>
      <c r="J94" s="341"/>
      <c r="K94" s="342" t="s">
        <v>159</v>
      </c>
      <c r="L94" s="343"/>
      <c r="M94" s="343"/>
      <c r="N94" s="343"/>
      <c r="O94" s="344"/>
      <c r="P94" s="340" t="s">
        <v>25</v>
      </c>
      <c r="Q94" s="340"/>
      <c r="R94" s="348">
        <v>2</v>
      </c>
      <c r="S94" s="348"/>
      <c r="T94" s="348"/>
      <c r="U94" s="348"/>
      <c r="V94" s="382">
        <f>0.3*0.3*0.014*7.85</f>
        <v>9.8910000000000005E-3</v>
      </c>
      <c r="W94" s="382"/>
      <c r="X94" s="382"/>
      <c r="Y94" s="382"/>
      <c r="Z94" s="216"/>
      <c r="AA94" s="199"/>
      <c r="AB94" s="199"/>
      <c r="AC94" s="199"/>
      <c r="AD94" s="221"/>
      <c r="AG94" s="352">
        <f>V94*AA91</f>
        <v>7.9128000000000004E-2</v>
      </c>
      <c r="AH94" s="352"/>
      <c r="AI94" s="352"/>
    </row>
    <row r="95" spans="1:35" s="200" customFormat="1" ht="12.95" customHeight="1">
      <c r="A95" s="211"/>
      <c r="B95" s="212"/>
      <c r="C95" s="212"/>
      <c r="D95" s="212"/>
      <c r="E95" s="213"/>
      <c r="G95" s="341" t="s">
        <v>157</v>
      </c>
      <c r="H95" s="341"/>
      <c r="I95" s="341"/>
      <c r="J95" s="341"/>
      <c r="K95" s="342" t="s">
        <v>318</v>
      </c>
      <c r="L95" s="343"/>
      <c r="M95" s="343"/>
      <c r="N95" s="343"/>
      <c r="O95" s="344"/>
      <c r="P95" s="358" t="s">
        <v>119</v>
      </c>
      <c r="Q95" s="360"/>
      <c r="R95" s="358">
        <f>1.43</f>
        <v>1.43</v>
      </c>
      <c r="S95" s="359"/>
      <c r="T95" s="359"/>
      <c r="U95" s="360"/>
      <c r="V95" s="340"/>
      <c r="W95" s="340"/>
      <c r="X95" s="340"/>
      <c r="Y95" s="340"/>
      <c r="Z95" s="216"/>
      <c r="AA95" s="199"/>
      <c r="AB95" s="199"/>
      <c r="AC95" s="199"/>
      <c r="AD95" s="221"/>
    </row>
    <row r="96" spans="1:35" s="200" customFormat="1" ht="12.95" customHeight="1">
      <c r="A96" s="211"/>
      <c r="B96" s="212"/>
      <c r="C96" s="212"/>
      <c r="D96" s="212"/>
      <c r="E96" s="213"/>
      <c r="G96" s="341" t="s">
        <v>52</v>
      </c>
      <c r="H96" s="341"/>
      <c r="I96" s="341"/>
      <c r="J96" s="341"/>
      <c r="K96" s="342" t="s">
        <v>53</v>
      </c>
      <c r="L96" s="343"/>
      <c r="M96" s="343"/>
      <c r="N96" s="343"/>
      <c r="O96" s="344"/>
      <c r="P96" s="340" t="s">
        <v>25</v>
      </c>
      <c r="Q96" s="340"/>
      <c r="R96" s="348">
        <v>4</v>
      </c>
      <c r="S96" s="348"/>
      <c r="T96" s="348"/>
      <c r="U96" s="348"/>
      <c r="V96" s="340"/>
      <c r="W96" s="340"/>
      <c r="X96" s="340"/>
      <c r="Y96" s="340"/>
      <c r="Z96" s="216"/>
      <c r="AA96" s="199"/>
      <c r="AB96" s="199"/>
      <c r="AC96" s="199"/>
      <c r="AD96" s="221"/>
    </row>
    <row r="97" spans="1:35" s="200" customFormat="1" ht="12.95" customHeight="1">
      <c r="A97" s="211"/>
      <c r="B97" s="212"/>
      <c r="C97" s="212"/>
      <c r="D97" s="212"/>
      <c r="E97" s="213"/>
      <c r="G97" s="447" t="s">
        <v>48</v>
      </c>
      <c r="H97" s="447"/>
      <c r="I97" s="447"/>
      <c r="J97" s="447"/>
      <c r="K97" s="342" t="s">
        <v>73</v>
      </c>
      <c r="L97" s="343"/>
      <c r="M97" s="343"/>
      <c r="N97" s="343"/>
      <c r="O97" s="344"/>
      <c r="P97" s="340" t="s">
        <v>25</v>
      </c>
      <c r="Q97" s="340"/>
      <c r="R97" s="348">
        <v>4</v>
      </c>
      <c r="S97" s="348"/>
      <c r="T97" s="348"/>
      <c r="U97" s="348"/>
      <c r="V97" s="340"/>
      <c r="W97" s="340"/>
      <c r="X97" s="340"/>
      <c r="Y97" s="340"/>
      <c r="Z97" s="216"/>
      <c r="AA97" s="199"/>
      <c r="AB97" s="199"/>
      <c r="AC97" s="199"/>
      <c r="AD97" s="221"/>
    </row>
    <row r="98" spans="1:35" s="200" customFormat="1" ht="12.95" customHeight="1">
      <c r="A98" s="211"/>
      <c r="B98" s="212"/>
      <c r="C98" s="212"/>
      <c r="D98" s="212"/>
      <c r="E98" s="213"/>
      <c r="G98" s="447"/>
      <c r="H98" s="447"/>
      <c r="I98" s="447"/>
      <c r="J98" s="447"/>
      <c r="K98" s="342" t="s">
        <v>62</v>
      </c>
      <c r="L98" s="343"/>
      <c r="M98" s="343"/>
      <c r="N98" s="343"/>
      <c r="O98" s="344"/>
      <c r="P98" s="340" t="s">
        <v>25</v>
      </c>
      <c r="Q98" s="340"/>
      <c r="R98" s="355">
        <v>4</v>
      </c>
      <c r="S98" s="356"/>
      <c r="T98" s="356"/>
      <c r="U98" s="357"/>
      <c r="V98" s="340"/>
      <c r="W98" s="340"/>
      <c r="X98" s="340"/>
      <c r="Y98" s="340"/>
      <c r="Z98" s="216"/>
      <c r="AA98" s="199"/>
      <c r="AB98" s="199"/>
      <c r="AC98" s="199"/>
      <c r="AD98" s="221"/>
    </row>
    <row r="99" spans="1:35" s="200" customFormat="1" ht="12.95" customHeight="1">
      <c r="A99" s="211"/>
      <c r="B99" s="212"/>
      <c r="C99" s="212"/>
      <c r="D99" s="212"/>
      <c r="E99" s="259"/>
      <c r="F99" s="260"/>
      <c r="G99" s="341" t="s">
        <v>50</v>
      </c>
      <c r="H99" s="341"/>
      <c r="I99" s="341"/>
      <c r="J99" s="341"/>
      <c r="K99" s="342" t="s">
        <v>75</v>
      </c>
      <c r="L99" s="343"/>
      <c r="M99" s="343"/>
      <c r="N99" s="343"/>
      <c r="O99" s="344"/>
      <c r="P99" s="358" t="s">
        <v>14</v>
      </c>
      <c r="Q99" s="360"/>
      <c r="R99" s="340">
        <v>3.36</v>
      </c>
      <c r="S99" s="340"/>
      <c r="T99" s="340"/>
      <c r="U99" s="340"/>
      <c r="V99" s="340"/>
      <c r="W99" s="340"/>
      <c r="X99" s="340"/>
      <c r="Y99" s="340"/>
      <c r="Z99" s="216"/>
      <c r="AA99" s="199"/>
      <c r="AB99" s="199"/>
      <c r="AC99" s="199"/>
      <c r="AD99" s="221"/>
    </row>
    <row r="100" spans="1:35" s="200" customFormat="1" ht="12.95" customHeight="1">
      <c r="A100" s="255"/>
      <c r="B100" s="256"/>
      <c r="C100" s="256"/>
      <c r="D100" s="256"/>
      <c r="E100" s="256"/>
      <c r="F100" s="10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30"/>
      <c r="X100" s="30"/>
      <c r="Y100" s="256"/>
      <c r="Z100" s="257"/>
      <c r="AA100" s="256"/>
      <c r="AB100" s="256"/>
      <c r="AC100" s="256"/>
      <c r="AD100" s="257"/>
    </row>
    <row r="101" spans="1:35" s="200" customFormat="1" ht="12.95" customHeight="1">
      <c r="A101" s="252"/>
      <c r="B101" s="253"/>
      <c r="C101" s="253"/>
      <c r="D101" s="253"/>
      <c r="E101" s="25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0"/>
      <c r="X101" s="10"/>
      <c r="Z101" s="216"/>
      <c r="AD101" s="216"/>
    </row>
    <row r="102" spans="1:35" s="200" customFormat="1" ht="12.95" customHeight="1">
      <c r="A102" s="383" t="s">
        <v>284</v>
      </c>
      <c r="B102" s="349"/>
      <c r="C102" s="349"/>
      <c r="D102" s="349"/>
      <c r="E102" s="332"/>
      <c r="F102" s="7"/>
      <c r="G102" s="224" t="s">
        <v>184</v>
      </c>
      <c r="H102" s="222"/>
      <c r="I102" s="222"/>
      <c r="N102" s="7"/>
      <c r="O102" s="7"/>
      <c r="P102" s="7"/>
      <c r="Q102" s="7"/>
      <c r="R102" s="7"/>
      <c r="S102" s="7"/>
      <c r="T102" s="7"/>
      <c r="U102" s="7"/>
      <c r="V102" s="7"/>
      <c r="W102" s="10"/>
      <c r="X102" s="10"/>
      <c r="Z102" s="216"/>
      <c r="AA102" s="10"/>
      <c r="AB102" s="10"/>
      <c r="AC102" s="376" t="s">
        <v>107</v>
      </c>
      <c r="AD102" s="377"/>
    </row>
    <row r="103" spans="1:35" s="200" customFormat="1" ht="12.95" customHeight="1">
      <c r="A103" s="330"/>
      <c r="B103" s="349"/>
      <c r="C103" s="349"/>
      <c r="D103" s="349"/>
      <c r="E103" s="332"/>
      <c r="F103" s="7"/>
      <c r="G103" s="7"/>
      <c r="H103" s="7"/>
      <c r="I103" s="7"/>
      <c r="J103" s="7"/>
      <c r="K103" s="7"/>
      <c r="L103" s="7" t="s">
        <v>15</v>
      </c>
      <c r="M103" s="36">
        <v>12</v>
      </c>
      <c r="N103" s="380" t="s">
        <v>107</v>
      </c>
      <c r="O103" s="380"/>
      <c r="P103" s="7"/>
      <c r="Q103" s="7"/>
      <c r="R103" s="7"/>
      <c r="S103" s="7"/>
      <c r="T103" s="7"/>
      <c r="U103" s="7"/>
      <c r="V103" s="7"/>
      <c r="W103" s="10"/>
      <c r="X103" s="10"/>
      <c r="Z103" s="216"/>
      <c r="AA103" s="339">
        <f>M103</f>
        <v>12</v>
      </c>
      <c r="AB103" s="339"/>
      <c r="AC103" s="339"/>
      <c r="AD103" s="221"/>
    </row>
    <row r="104" spans="1:35" s="200" customFormat="1" ht="12.95" customHeight="1">
      <c r="A104" s="211"/>
      <c r="B104" s="212"/>
      <c r="C104" s="212"/>
      <c r="D104" s="212"/>
      <c r="E104" s="213"/>
      <c r="F104" s="7"/>
      <c r="G104" s="35"/>
      <c r="H104" s="246"/>
      <c r="I104" s="246"/>
      <c r="J104" s="220"/>
      <c r="K104" s="367" t="s">
        <v>39</v>
      </c>
      <c r="L104" s="367"/>
      <c r="M104" s="367"/>
      <c r="N104" s="367"/>
      <c r="O104" s="367"/>
      <c r="P104" s="367"/>
      <c r="Q104" s="367"/>
      <c r="R104" s="367"/>
      <c r="S104" s="208"/>
      <c r="T104" s="7"/>
      <c r="V104" s="40"/>
      <c r="X104" s="220"/>
      <c r="Y104" s="220" t="s">
        <v>40</v>
      </c>
      <c r="Z104" s="221"/>
      <c r="AA104" s="199"/>
      <c r="AB104" s="199"/>
      <c r="AC104" s="199"/>
      <c r="AD104" s="221"/>
    </row>
    <row r="105" spans="1:35" s="200" customFormat="1" ht="12.95" customHeight="1">
      <c r="A105" s="211"/>
      <c r="B105" s="212"/>
      <c r="C105" s="212"/>
      <c r="D105" s="212"/>
      <c r="E105" s="213"/>
      <c r="G105" s="341" t="s">
        <v>41</v>
      </c>
      <c r="H105" s="341"/>
      <c r="I105" s="341"/>
      <c r="J105" s="341"/>
      <c r="K105" s="342" t="s">
        <v>42</v>
      </c>
      <c r="L105" s="343"/>
      <c r="M105" s="343"/>
      <c r="N105" s="343"/>
      <c r="O105" s="344"/>
      <c r="P105" s="340" t="s">
        <v>43</v>
      </c>
      <c r="Q105" s="340"/>
      <c r="R105" s="340" t="s">
        <v>45</v>
      </c>
      <c r="S105" s="340"/>
      <c r="T105" s="340"/>
      <c r="U105" s="340"/>
      <c r="V105" s="340" t="s">
        <v>20</v>
      </c>
      <c r="W105" s="340"/>
      <c r="X105" s="340"/>
      <c r="Y105" s="340"/>
      <c r="Z105" s="216"/>
      <c r="AA105" s="199"/>
      <c r="AB105" s="199"/>
      <c r="AC105" s="199"/>
      <c r="AD105" s="221"/>
    </row>
    <row r="106" spans="1:35" s="200" customFormat="1" ht="12.95" customHeight="1">
      <c r="A106" s="211"/>
      <c r="B106" s="212"/>
      <c r="C106" s="212"/>
      <c r="D106" s="212"/>
      <c r="E106" s="213"/>
      <c r="G106" s="390" t="s">
        <v>79</v>
      </c>
      <c r="H106" s="391"/>
      <c r="I106" s="391"/>
      <c r="J106" s="392"/>
      <c r="K106" s="342" t="s">
        <v>271</v>
      </c>
      <c r="L106" s="343"/>
      <c r="M106" s="343"/>
      <c r="N106" s="343"/>
      <c r="O106" s="344"/>
      <c r="P106" s="340" t="s">
        <v>25</v>
      </c>
      <c r="Q106" s="340"/>
      <c r="R106" s="348">
        <v>1</v>
      </c>
      <c r="S106" s="348"/>
      <c r="T106" s="348"/>
      <c r="U106" s="348"/>
      <c r="V106" s="382">
        <f>0.5*0.2*0.014*7.85</f>
        <v>1.0990000000000002E-2</v>
      </c>
      <c r="W106" s="382"/>
      <c r="X106" s="382"/>
      <c r="Y106" s="382"/>
      <c r="Z106" s="216"/>
      <c r="AA106" s="199"/>
      <c r="AB106" s="199"/>
      <c r="AC106" s="199"/>
      <c r="AD106" s="221"/>
      <c r="AG106" s="352">
        <f>V106*AA103</f>
        <v>0.13188000000000002</v>
      </c>
      <c r="AH106" s="352"/>
      <c r="AI106" s="352"/>
    </row>
    <row r="107" spans="1:35" s="200" customFormat="1" ht="12.95" customHeight="1">
      <c r="A107" s="211"/>
      <c r="B107" s="212"/>
      <c r="C107" s="212"/>
      <c r="D107" s="212"/>
      <c r="E107" s="213"/>
      <c r="G107" s="393"/>
      <c r="H107" s="386"/>
      <c r="I107" s="386"/>
      <c r="J107" s="387"/>
      <c r="K107" s="342" t="s">
        <v>272</v>
      </c>
      <c r="L107" s="343"/>
      <c r="M107" s="343"/>
      <c r="N107" s="343"/>
      <c r="O107" s="344"/>
      <c r="P107" s="340" t="s">
        <v>25</v>
      </c>
      <c r="Q107" s="340"/>
      <c r="R107" s="348">
        <v>1</v>
      </c>
      <c r="S107" s="348"/>
      <c r="T107" s="348"/>
      <c r="U107" s="348"/>
      <c r="V107" s="382">
        <f>0.62*0.25*0.014*7.85</f>
        <v>1.7034500000000001E-2</v>
      </c>
      <c r="W107" s="382"/>
      <c r="X107" s="382"/>
      <c r="Y107" s="382"/>
      <c r="Z107" s="216"/>
      <c r="AA107" s="199"/>
      <c r="AB107" s="199"/>
      <c r="AC107" s="199"/>
      <c r="AD107" s="221"/>
      <c r="AG107" s="352">
        <f>V107*AA103</f>
        <v>0.20441400000000001</v>
      </c>
      <c r="AH107" s="352"/>
      <c r="AI107" s="352"/>
    </row>
    <row r="108" spans="1:35" s="200" customFormat="1" ht="12.95" customHeight="1">
      <c r="A108" s="211"/>
      <c r="B108" s="212"/>
      <c r="C108" s="212"/>
      <c r="D108" s="212"/>
      <c r="E108" s="213"/>
      <c r="G108" s="341" t="s">
        <v>157</v>
      </c>
      <c r="H108" s="341"/>
      <c r="I108" s="341"/>
      <c r="J108" s="341"/>
      <c r="K108" s="342"/>
      <c r="L108" s="343"/>
      <c r="M108" s="343"/>
      <c r="N108" s="343"/>
      <c r="O108" s="344"/>
      <c r="P108" s="358" t="s">
        <v>119</v>
      </c>
      <c r="Q108" s="360"/>
      <c r="R108" s="358">
        <v>1.57</v>
      </c>
      <c r="S108" s="359"/>
      <c r="T108" s="359"/>
      <c r="U108" s="360"/>
      <c r="V108" s="340"/>
      <c r="W108" s="340"/>
      <c r="X108" s="340"/>
      <c r="Y108" s="340"/>
      <c r="Z108" s="216"/>
      <c r="AA108" s="199"/>
      <c r="AB108" s="199"/>
      <c r="AC108" s="199"/>
      <c r="AD108" s="221"/>
    </row>
    <row r="109" spans="1:35" s="200" customFormat="1" ht="12.95" customHeight="1">
      <c r="A109" s="211"/>
      <c r="B109" s="212"/>
      <c r="C109" s="212"/>
      <c r="D109" s="212"/>
      <c r="E109" s="213"/>
      <c r="G109" s="341" t="s">
        <v>50</v>
      </c>
      <c r="H109" s="341"/>
      <c r="I109" s="341"/>
      <c r="J109" s="341"/>
      <c r="K109" s="342" t="s">
        <v>75</v>
      </c>
      <c r="L109" s="343"/>
      <c r="M109" s="343"/>
      <c r="N109" s="343"/>
      <c r="O109" s="344"/>
      <c r="P109" s="358" t="s">
        <v>14</v>
      </c>
      <c r="Q109" s="360"/>
      <c r="R109" s="340">
        <v>3.14</v>
      </c>
      <c r="S109" s="340"/>
      <c r="T109" s="340"/>
      <c r="U109" s="340"/>
      <c r="V109" s="340"/>
      <c r="W109" s="340"/>
      <c r="X109" s="340"/>
      <c r="Y109" s="340"/>
      <c r="Z109" s="216"/>
      <c r="AA109" s="199"/>
      <c r="AB109" s="199"/>
      <c r="AC109" s="199"/>
      <c r="AD109" s="221"/>
    </row>
    <row r="110" spans="1:35" s="200" customFormat="1" ht="12.95" customHeight="1">
      <c r="A110" s="255"/>
      <c r="B110" s="256"/>
      <c r="C110" s="256"/>
      <c r="D110" s="256"/>
      <c r="E110" s="256"/>
      <c r="F110" s="10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30"/>
      <c r="X110" s="30"/>
      <c r="Y110" s="256"/>
      <c r="Z110" s="257"/>
      <c r="AA110" s="256"/>
      <c r="AB110" s="256"/>
      <c r="AC110" s="256"/>
      <c r="AD110" s="257"/>
    </row>
    <row r="111" spans="1:35" s="200" customFormat="1" ht="12.95" customHeight="1">
      <c r="A111" s="215"/>
      <c r="F111" s="8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0"/>
      <c r="X111" s="10"/>
      <c r="Z111" s="216"/>
      <c r="AD111" s="216"/>
    </row>
    <row r="112" spans="1:35" ht="12.95" customHeight="1">
      <c r="A112" s="251"/>
      <c r="F112" s="84"/>
      <c r="G112" s="441" t="s">
        <v>36</v>
      </c>
      <c r="H112" s="441"/>
      <c r="I112" s="441"/>
      <c r="J112" s="441"/>
      <c r="K112" s="441"/>
      <c r="L112" s="7"/>
      <c r="M112" s="7"/>
      <c r="N112" s="7"/>
      <c r="O112" s="37"/>
      <c r="P112" s="10"/>
      <c r="Q112" s="37"/>
      <c r="R112" s="37"/>
      <c r="S112" s="37"/>
      <c r="T112" s="7"/>
      <c r="U112" s="200"/>
      <c r="V112" s="7"/>
      <c r="Z112" s="221"/>
      <c r="AA112" s="10"/>
      <c r="AB112" s="10"/>
      <c r="AC112" s="37"/>
      <c r="AD112" s="216"/>
    </row>
    <row r="113" spans="1:37" ht="12.95" customHeight="1">
      <c r="A113" s="383" t="s">
        <v>285</v>
      </c>
      <c r="B113" s="385"/>
      <c r="C113" s="385"/>
      <c r="D113" s="385"/>
      <c r="E113" s="385"/>
      <c r="F113" s="84"/>
      <c r="G113" s="35"/>
      <c r="Z113" s="221"/>
      <c r="AA113" s="200"/>
      <c r="AB113" s="200"/>
      <c r="AC113" s="200"/>
      <c r="AD113" s="216"/>
      <c r="AI113" s="354"/>
      <c r="AJ113" s="354"/>
      <c r="AK113" s="354"/>
    </row>
    <row r="114" spans="1:37" ht="12.95" customHeight="1">
      <c r="A114" s="383"/>
      <c r="B114" s="385"/>
      <c r="C114" s="385"/>
      <c r="D114" s="385"/>
      <c r="E114" s="385"/>
      <c r="F114" s="84"/>
      <c r="G114" s="35"/>
      <c r="H114" s="444">
        <v>0.63600000000000001</v>
      </c>
      <c r="I114" s="444"/>
      <c r="J114" s="444"/>
      <c r="K114" s="246" t="s">
        <v>8</v>
      </c>
      <c r="L114" s="445">
        <v>68</v>
      </c>
      <c r="M114" s="445"/>
      <c r="N114" s="246" t="s">
        <v>25</v>
      </c>
      <c r="T114" s="246"/>
      <c r="U114" s="246"/>
      <c r="V114" s="246"/>
      <c r="W114" s="220" t="s">
        <v>35</v>
      </c>
      <c r="X114" s="376">
        <f>ROUND(H114*L114,3)</f>
        <v>43.247999999999998</v>
      </c>
      <c r="Y114" s="376"/>
      <c r="Z114" s="377"/>
      <c r="AA114" s="10"/>
      <c r="AB114" s="10"/>
      <c r="AC114" s="37"/>
      <c r="AD114" s="216"/>
      <c r="AI114" s="246"/>
      <c r="AJ114" s="246"/>
      <c r="AK114" s="43"/>
    </row>
    <row r="115" spans="1:37" ht="12.95" customHeight="1">
      <c r="A115" s="351" t="s">
        <v>37</v>
      </c>
      <c r="B115" s="352"/>
      <c r="C115" s="352"/>
      <c r="D115" s="352"/>
      <c r="E115" s="352"/>
      <c r="F115" s="84"/>
      <c r="G115" s="35"/>
      <c r="H115" s="246"/>
      <c r="I115" s="246"/>
      <c r="J115" s="246"/>
      <c r="K115" s="246"/>
      <c r="L115" s="247"/>
      <c r="M115" s="247"/>
      <c r="N115" s="246"/>
      <c r="T115" s="246"/>
      <c r="U115" s="246"/>
      <c r="V115" s="246"/>
      <c r="Z115" s="221"/>
      <c r="AA115" s="10"/>
      <c r="AB115" s="10"/>
      <c r="AC115" s="37"/>
      <c r="AD115" s="216"/>
      <c r="AI115" s="246"/>
      <c r="AJ115" s="246"/>
      <c r="AK115" s="43"/>
    </row>
    <row r="116" spans="1:37" ht="12.95" customHeight="1">
      <c r="A116" s="251"/>
      <c r="F116" s="84"/>
      <c r="G116" s="35"/>
      <c r="H116" s="444">
        <v>0.45</v>
      </c>
      <c r="I116" s="444"/>
      <c r="J116" s="444"/>
      <c r="K116" s="246" t="s">
        <v>8</v>
      </c>
      <c r="L116" s="446">
        <f>L114*2</f>
        <v>136</v>
      </c>
      <c r="M116" s="446"/>
      <c r="N116" s="246" t="s">
        <v>25</v>
      </c>
      <c r="T116" s="246"/>
      <c r="U116" s="246"/>
      <c r="V116" s="207"/>
      <c r="W116" s="227" t="s">
        <v>35</v>
      </c>
      <c r="X116" s="386">
        <f>ROUND(H116*L116,3)</f>
        <v>61.2</v>
      </c>
      <c r="Y116" s="386"/>
      <c r="Z116" s="387"/>
      <c r="AA116" s="10"/>
      <c r="AB116" s="10"/>
      <c r="AC116" s="388" t="s">
        <v>25</v>
      </c>
      <c r="AD116" s="389"/>
      <c r="AI116" s="354"/>
      <c r="AJ116" s="354"/>
      <c r="AK116" s="354"/>
    </row>
    <row r="117" spans="1:37" ht="12.95" customHeight="1">
      <c r="A117" s="215"/>
      <c r="B117" s="200"/>
      <c r="C117" s="200"/>
      <c r="D117" s="200"/>
      <c r="E117" s="200"/>
      <c r="F117" s="84"/>
      <c r="G117" s="35"/>
      <c r="H117" s="7"/>
      <c r="I117" s="7"/>
      <c r="J117" s="200"/>
      <c r="K117" s="37"/>
      <c r="L117" s="7"/>
      <c r="M117" s="7"/>
      <c r="N117" s="7"/>
      <c r="O117" s="37"/>
      <c r="P117" s="10"/>
      <c r="Q117" s="37"/>
      <c r="R117" s="37"/>
      <c r="S117" s="37"/>
      <c r="T117" s="7"/>
      <c r="U117" s="200"/>
      <c r="V117" s="40" t="s">
        <v>38</v>
      </c>
      <c r="X117" s="376">
        <f>SUM(X114:Z116)</f>
        <v>104.44800000000001</v>
      </c>
      <c r="Y117" s="376"/>
      <c r="Z117" s="377"/>
      <c r="AA117" s="339">
        <f>L114</f>
        <v>68</v>
      </c>
      <c r="AB117" s="339"/>
      <c r="AC117" s="339"/>
      <c r="AD117" s="221"/>
    </row>
    <row r="118" spans="1:37" ht="12.95" customHeight="1">
      <c r="A118" s="215"/>
      <c r="B118" s="200"/>
      <c r="C118" s="200"/>
      <c r="D118" s="200"/>
      <c r="E118" s="200"/>
      <c r="F118" s="84"/>
      <c r="G118" s="35"/>
      <c r="H118" s="7"/>
      <c r="I118" s="7"/>
      <c r="J118" s="200"/>
      <c r="K118" s="37"/>
      <c r="L118" s="7"/>
      <c r="M118" s="379" t="s">
        <v>11</v>
      </c>
      <c r="N118" s="379"/>
      <c r="O118" s="379"/>
      <c r="P118" s="10"/>
      <c r="V118" s="40"/>
      <c r="Z118" s="221"/>
      <c r="AA118" s="10"/>
      <c r="AB118" s="10"/>
      <c r="AC118" s="388" t="s">
        <v>10</v>
      </c>
      <c r="AD118" s="389"/>
    </row>
    <row r="119" spans="1:37" ht="12.95" customHeight="1">
      <c r="A119" s="215"/>
      <c r="B119" s="200"/>
      <c r="C119" s="200"/>
      <c r="D119" s="200"/>
      <c r="E119" s="200"/>
      <c r="F119" s="84"/>
      <c r="G119" s="35"/>
      <c r="H119" s="444">
        <f>X117</f>
        <v>104.44800000000001</v>
      </c>
      <c r="I119" s="444"/>
      <c r="J119" s="444"/>
      <c r="K119" s="246" t="s">
        <v>8</v>
      </c>
      <c r="L119" s="373">
        <v>1.3299999999999999E-2</v>
      </c>
      <c r="M119" s="373"/>
      <c r="N119" s="373"/>
      <c r="O119" s="37"/>
      <c r="P119" s="10"/>
      <c r="Q119" s="37"/>
      <c r="R119" s="37"/>
      <c r="S119" s="37"/>
      <c r="T119" s="7"/>
      <c r="U119" s="200"/>
      <c r="V119" s="40"/>
      <c r="W119" s="220" t="s">
        <v>35</v>
      </c>
      <c r="X119" s="376">
        <f>ROUND(H119*L119,3)</f>
        <v>1.389</v>
      </c>
      <c r="Y119" s="376"/>
      <c r="Z119" s="377"/>
      <c r="AA119" s="375">
        <f>X119</f>
        <v>1.389</v>
      </c>
      <c r="AB119" s="375"/>
      <c r="AC119" s="375"/>
      <c r="AD119" s="221"/>
    </row>
    <row r="120" spans="1:37" s="200" customFormat="1" ht="12.95" customHeight="1">
      <c r="A120" s="215"/>
      <c r="B120" s="212"/>
      <c r="C120" s="212"/>
      <c r="D120" s="212"/>
      <c r="E120" s="212"/>
      <c r="F120" s="84"/>
      <c r="G120" s="35"/>
      <c r="H120" s="246"/>
      <c r="I120" s="246"/>
      <c r="J120" s="220"/>
      <c r="K120" s="367" t="s">
        <v>39</v>
      </c>
      <c r="L120" s="367"/>
      <c r="M120" s="367"/>
      <c r="N120" s="367"/>
      <c r="O120" s="367"/>
      <c r="P120" s="367"/>
      <c r="Q120" s="367"/>
      <c r="R120" s="367"/>
      <c r="S120" s="208"/>
      <c r="T120" s="7"/>
      <c r="V120" s="40"/>
      <c r="W120" s="220" t="s">
        <v>40</v>
      </c>
      <c r="X120" s="220"/>
      <c r="Y120" s="220"/>
      <c r="Z120" s="221"/>
      <c r="AC120" s="37"/>
      <c r="AD120" s="216"/>
    </row>
    <row r="121" spans="1:37" s="200" customFormat="1" ht="12.95" customHeight="1">
      <c r="A121" s="215"/>
      <c r="B121" s="212"/>
      <c r="C121" s="212"/>
      <c r="D121" s="212"/>
      <c r="E121" s="212"/>
      <c r="F121" s="341" t="s">
        <v>41</v>
      </c>
      <c r="G121" s="341"/>
      <c r="H121" s="341"/>
      <c r="I121" s="342" t="s">
        <v>42</v>
      </c>
      <c r="J121" s="343"/>
      <c r="K121" s="343"/>
      <c r="L121" s="343"/>
      <c r="M121" s="344"/>
      <c r="N121" s="340" t="s">
        <v>43</v>
      </c>
      <c r="O121" s="340"/>
      <c r="P121" s="342" t="s">
        <v>44</v>
      </c>
      <c r="Q121" s="343"/>
      <c r="R121" s="343"/>
      <c r="S121" s="344"/>
      <c r="T121" s="340" t="s">
        <v>45</v>
      </c>
      <c r="U121" s="340"/>
      <c r="V121" s="340"/>
      <c r="W121" s="340"/>
      <c r="X121" s="340" t="s">
        <v>20</v>
      </c>
      <c r="Y121" s="340"/>
      <c r="Z121" s="340"/>
      <c r="AD121" s="216"/>
    </row>
    <row r="122" spans="1:37" s="200" customFormat="1" ht="12.95" customHeight="1">
      <c r="A122" s="215"/>
      <c r="B122" s="212"/>
      <c r="C122" s="212"/>
      <c r="D122" s="212"/>
      <c r="E122" s="212"/>
      <c r="F122" s="390" t="s">
        <v>46</v>
      </c>
      <c r="G122" s="391"/>
      <c r="H122" s="392"/>
      <c r="I122" s="448" t="s">
        <v>47</v>
      </c>
      <c r="J122" s="449"/>
      <c r="K122" s="449"/>
      <c r="L122" s="449"/>
      <c r="M122" s="450"/>
      <c r="N122" s="340" t="s">
        <v>25</v>
      </c>
      <c r="O122" s="340"/>
      <c r="P122" s="345">
        <v>0.63600000000000001</v>
      </c>
      <c r="Q122" s="346"/>
      <c r="R122" s="346"/>
      <c r="S122" s="347"/>
      <c r="T122" s="348">
        <v>1</v>
      </c>
      <c r="U122" s="348"/>
      <c r="V122" s="348"/>
      <c r="W122" s="348"/>
      <c r="X122" s="340"/>
      <c r="Y122" s="340"/>
      <c r="Z122" s="340"/>
      <c r="AD122" s="216"/>
    </row>
    <row r="123" spans="1:37" s="200" customFormat="1" ht="12.95" customHeight="1">
      <c r="A123" s="215"/>
      <c r="B123" s="212"/>
      <c r="C123" s="212"/>
      <c r="D123" s="212"/>
      <c r="E123" s="212"/>
      <c r="F123" s="393"/>
      <c r="G123" s="386"/>
      <c r="H123" s="387"/>
      <c r="I123" s="451"/>
      <c r="J123" s="452"/>
      <c r="K123" s="452"/>
      <c r="L123" s="452"/>
      <c r="M123" s="453"/>
      <c r="N123" s="340" t="s">
        <v>25</v>
      </c>
      <c r="O123" s="340"/>
      <c r="P123" s="345">
        <v>0.45</v>
      </c>
      <c r="Q123" s="346"/>
      <c r="R123" s="346"/>
      <c r="S123" s="347"/>
      <c r="T123" s="348">
        <v>2</v>
      </c>
      <c r="U123" s="348"/>
      <c r="V123" s="348"/>
      <c r="W123" s="348"/>
      <c r="X123" s="340"/>
      <c r="Y123" s="340"/>
      <c r="Z123" s="340"/>
      <c r="AD123" s="216"/>
    </row>
    <row r="124" spans="1:37" s="200" customFormat="1" ht="12.95" customHeight="1">
      <c r="A124" s="215"/>
      <c r="B124" s="212"/>
      <c r="C124" s="212"/>
      <c r="D124" s="212"/>
      <c r="E124" s="212"/>
      <c r="F124" s="345" t="s">
        <v>52</v>
      </c>
      <c r="G124" s="346"/>
      <c r="H124" s="347"/>
      <c r="I124" s="342" t="s">
        <v>53</v>
      </c>
      <c r="J124" s="343"/>
      <c r="K124" s="343"/>
      <c r="L124" s="343"/>
      <c r="M124" s="344"/>
      <c r="N124" s="340" t="s">
        <v>25</v>
      </c>
      <c r="O124" s="340"/>
      <c r="P124" s="345"/>
      <c r="Q124" s="346"/>
      <c r="R124" s="346"/>
      <c r="S124" s="347"/>
      <c r="T124" s="355">
        <v>3</v>
      </c>
      <c r="U124" s="356"/>
      <c r="V124" s="356"/>
      <c r="W124" s="357"/>
      <c r="X124" s="358"/>
      <c r="Y124" s="359"/>
      <c r="Z124" s="360"/>
      <c r="AD124" s="216"/>
    </row>
    <row r="125" spans="1:37" s="200" customFormat="1" ht="12.95" customHeight="1">
      <c r="A125" s="215"/>
      <c r="B125" s="212"/>
      <c r="C125" s="212"/>
      <c r="D125" s="212"/>
      <c r="E125" s="212"/>
      <c r="F125" s="447" t="s">
        <v>48</v>
      </c>
      <c r="G125" s="447"/>
      <c r="H125" s="447"/>
      <c r="I125" s="342" t="s">
        <v>49</v>
      </c>
      <c r="J125" s="343"/>
      <c r="K125" s="343"/>
      <c r="L125" s="343"/>
      <c r="M125" s="344"/>
      <c r="N125" s="340" t="s">
        <v>25</v>
      </c>
      <c r="O125" s="340"/>
      <c r="P125" s="342"/>
      <c r="Q125" s="343"/>
      <c r="R125" s="343"/>
      <c r="S125" s="344"/>
      <c r="T125" s="348">
        <v>6</v>
      </c>
      <c r="U125" s="348"/>
      <c r="V125" s="348"/>
      <c r="W125" s="348"/>
      <c r="X125" s="340"/>
      <c r="Y125" s="340"/>
      <c r="Z125" s="340"/>
      <c r="AD125" s="216"/>
    </row>
    <row r="126" spans="1:37" s="200" customFormat="1" ht="12.95" customHeight="1">
      <c r="A126" s="215"/>
      <c r="B126" s="212"/>
      <c r="C126" s="212"/>
      <c r="D126" s="212"/>
      <c r="E126" s="212"/>
      <c r="F126" s="205"/>
      <c r="G126" s="206"/>
      <c r="H126" s="206"/>
      <c r="I126" s="248"/>
      <c r="J126" s="248"/>
      <c r="K126" s="248"/>
      <c r="L126" s="248"/>
      <c r="M126" s="248"/>
      <c r="N126" s="253"/>
      <c r="O126" s="253"/>
      <c r="P126" s="248"/>
      <c r="Q126" s="248"/>
      <c r="R126" s="248"/>
      <c r="S126" s="248"/>
      <c r="T126" s="253"/>
      <c r="U126" s="253"/>
      <c r="V126" s="253"/>
      <c r="W126" s="253"/>
      <c r="X126" s="253"/>
      <c r="Y126" s="253"/>
      <c r="Z126" s="254"/>
      <c r="AD126" s="216"/>
    </row>
    <row r="127" spans="1:37" s="200" customFormat="1" ht="12.95" customHeight="1">
      <c r="A127" s="255"/>
      <c r="B127" s="256"/>
      <c r="C127" s="256"/>
      <c r="D127" s="256"/>
      <c r="E127" s="256"/>
      <c r="F127" s="10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30"/>
      <c r="X127" s="30"/>
      <c r="Y127" s="256"/>
      <c r="Z127" s="257"/>
      <c r="AA127" s="256"/>
      <c r="AB127" s="256"/>
      <c r="AC127" s="256"/>
      <c r="AD127" s="257"/>
    </row>
    <row r="128" spans="1:37" s="200" customFormat="1" ht="12.95" customHeight="1">
      <c r="A128" s="215"/>
      <c r="F128" s="8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0"/>
      <c r="X128" s="10"/>
      <c r="Z128" s="216"/>
      <c r="AD128" s="216"/>
    </row>
    <row r="129" spans="1:35" s="200" customFormat="1" ht="12.95" customHeight="1">
      <c r="A129" s="418" t="s">
        <v>286</v>
      </c>
      <c r="B129" s="456"/>
      <c r="C129" s="456"/>
      <c r="D129" s="456"/>
      <c r="E129" s="457"/>
      <c r="F129" s="79"/>
      <c r="G129" s="441" t="s">
        <v>63</v>
      </c>
      <c r="H129" s="441"/>
      <c r="I129" s="441"/>
      <c r="J129" s="441"/>
      <c r="K129" s="441"/>
      <c r="L129" s="441"/>
      <c r="M129" s="441"/>
      <c r="Z129" s="216"/>
      <c r="AC129" s="37"/>
      <c r="AD129" s="216"/>
    </row>
    <row r="130" spans="1:35" s="200" customFormat="1" ht="12.95" customHeight="1">
      <c r="A130" s="369" t="s">
        <v>287</v>
      </c>
      <c r="B130" s="370"/>
      <c r="C130" s="370"/>
      <c r="D130" s="370"/>
      <c r="E130" s="371"/>
      <c r="F130" s="79"/>
      <c r="G130" s="246"/>
      <c r="H130" s="246"/>
      <c r="I130" s="208"/>
      <c r="J130" s="208"/>
      <c r="K130" s="208"/>
      <c r="L130" s="208"/>
      <c r="M130" s="208"/>
      <c r="N130" s="454">
        <f>4*2</f>
        <v>8</v>
      </c>
      <c r="O130" s="454"/>
      <c r="P130" s="200" t="s">
        <v>9</v>
      </c>
      <c r="Z130" s="216"/>
      <c r="AC130" s="37"/>
      <c r="AD130" s="216" t="s">
        <v>9</v>
      </c>
    </row>
    <row r="131" spans="1:35" s="200" customFormat="1" ht="12.95" customHeight="1">
      <c r="A131" s="455" t="s">
        <v>273</v>
      </c>
      <c r="B131" s="438"/>
      <c r="C131" s="438"/>
      <c r="D131" s="438"/>
      <c r="E131" s="438"/>
      <c r="F131" s="84"/>
      <c r="G131" s="35"/>
      <c r="H131" s="246"/>
      <c r="I131" s="246"/>
      <c r="J131" s="220"/>
      <c r="K131" s="367" t="s">
        <v>39</v>
      </c>
      <c r="L131" s="367"/>
      <c r="M131" s="367"/>
      <c r="N131" s="367"/>
      <c r="O131" s="367"/>
      <c r="P131" s="367"/>
      <c r="Q131" s="367"/>
      <c r="R131" s="367"/>
      <c r="S131" s="208"/>
      <c r="T131" s="7"/>
      <c r="V131" s="40"/>
      <c r="X131" s="220"/>
      <c r="Y131" s="220" t="s">
        <v>40</v>
      </c>
      <c r="Z131" s="221"/>
      <c r="AA131" s="339">
        <f>N130</f>
        <v>8</v>
      </c>
      <c r="AB131" s="339"/>
      <c r="AC131" s="339"/>
      <c r="AD131" s="216"/>
    </row>
    <row r="132" spans="1:35" s="200" customFormat="1" ht="12.95" customHeight="1">
      <c r="A132" s="215"/>
      <c r="F132" s="341" t="s">
        <v>41</v>
      </c>
      <c r="G132" s="341"/>
      <c r="H132" s="341"/>
      <c r="I132" s="342" t="s">
        <v>42</v>
      </c>
      <c r="J132" s="343"/>
      <c r="K132" s="343"/>
      <c r="L132" s="343"/>
      <c r="M132" s="344"/>
      <c r="N132" s="340" t="s">
        <v>43</v>
      </c>
      <c r="O132" s="340"/>
      <c r="P132" s="458" t="s">
        <v>44</v>
      </c>
      <c r="Q132" s="458"/>
      <c r="R132" s="458"/>
      <c r="S132" s="250"/>
      <c r="T132" s="340" t="s">
        <v>64</v>
      </c>
      <c r="U132" s="340"/>
      <c r="V132" s="340"/>
      <c r="W132" s="340"/>
      <c r="X132" s="340" t="s">
        <v>65</v>
      </c>
      <c r="Y132" s="340"/>
      <c r="Z132" s="340"/>
      <c r="AC132" s="37"/>
      <c r="AD132" s="216"/>
    </row>
    <row r="133" spans="1:35" s="200" customFormat="1" ht="12.95" customHeight="1">
      <c r="A133" s="215"/>
      <c r="B133" s="212"/>
      <c r="C133" s="212"/>
      <c r="D133" s="212"/>
      <c r="E133" s="212"/>
      <c r="F133" s="341" t="s">
        <v>66</v>
      </c>
      <c r="G133" s="341"/>
      <c r="H133" s="341"/>
      <c r="I133" s="342" t="s">
        <v>67</v>
      </c>
      <c r="J133" s="343"/>
      <c r="K133" s="343"/>
      <c r="L133" s="343"/>
      <c r="M133" s="344"/>
      <c r="N133" s="340" t="s">
        <v>25</v>
      </c>
      <c r="O133" s="340"/>
      <c r="P133" s="461">
        <v>4.4000000000000004</v>
      </c>
      <c r="Q133" s="461"/>
      <c r="R133" s="461"/>
      <c r="S133" s="201"/>
      <c r="T133" s="348">
        <v>1</v>
      </c>
      <c r="U133" s="348"/>
      <c r="V133" s="348"/>
      <c r="W133" s="348"/>
      <c r="X133" s="358">
        <f>(P133*T133*0.094)</f>
        <v>0.41360000000000002</v>
      </c>
      <c r="Y133" s="359"/>
      <c r="Z133" s="360"/>
      <c r="AC133" s="37"/>
      <c r="AD133" s="216"/>
    </row>
    <row r="134" spans="1:35" s="200" customFormat="1" ht="12.95" customHeight="1">
      <c r="A134" s="215"/>
      <c r="B134" s="212"/>
      <c r="C134" s="212"/>
      <c r="D134" s="212"/>
      <c r="E134" s="212"/>
      <c r="F134" s="459" t="s">
        <v>68</v>
      </c>
      <c r="G134" s="391"/>
      <c r="H134" s="392"/>
      <c r="I134" s="342" t="s">
        <v>69</v>
      </c>
      <c r="J134" s="343"/>
      <c r="K134" s="343"/>
      <c r="L134" s="343"/>
      <c r="M134" s="344"/>
      <c r="N134" s="358" t="s">
        <v>25</v>
      </c>
      <c r="O134" s="360"/>
      <c r="P134" s="345"/>
      <c r="Q134" s="346"/>
      <c r="R134" s="347"/>
      <c r="S134" s="210"/>
      <c r="T134" s="355">
        <v>1</v>
      </c>
      <c r="U134" s="356"/>
      <c r="V134" s="356"/>
      <c r="W134" s="357"/>
      <c r="X134" s="462">
        <f>((0.424*0.3*0.014)*T134+(0.3*0.3*0.014)*T135+(0.245*0.145*0.014)*T136)*7.85</f>
        <v>3.9487069999999992E-2</v>
      </c>
      <c r="Y134" s="463"/>
      <c r="Z134" s="464"/>
      <c r="AC134" s="37"/>
      <c r="AD134" s="216"/>
      <c r="AG134" s="352">
        <f>X134*AA131</f>
        <v>0.31589655999999994</v>
      </c>
      <c r="AH134" s="352"/>
      <c r="AI134" s="352"/>
    </row>
    <row r="135" spans="1:35" s="200" customFormat="1" ht="12.95" customHeight="1">
      <c r="A135" s="215"/>
      <c r="B135" s="212"/>
      <c r="C135" s="212"/>
      <c r="D135" s="212"/>
      <c r="E135" s="212"/>
      <c r="F135" s="460"/>
      <c r="G135" s="376"/>
      <c r="H135" s="377"/>
      <c r="I135" s="342" t="s">
        <v>70</v>
      </c>
      <c r="J135" s="343"/>
      <c r="K135" s="343"/>
      <c r="L135" s="343"/>
      <c r="M135" s="344"/>
      <c r="N135" s="358" t="s">
        <v>25</v>
      </c>
      <c r="O135" s="360"/>
      <c r="P135" s="345"/>
      <c r="Q135" s="346"/>
      <c r="R135" s="347"/>
      <c r="S135" s="210"/>
      <c r="T135" s="355">
        <v>1</v>
      </c>
      <c r="U135" s="356"/>
      <c r="V135" s="356"/>
      <c r="W135" s="357"/>
      <c r="X135" s="351"/>
      <c r="Y135" s="352"/>
      <c r="Z135" s="334"/>
      <c r="AC135" s="37"/>
      <c r="AD135" s="216"/>
    </row>
    <row r="136" spans="1:35" s="200" customFormat="1" ht="12.95" customHeight="1">
      <c r="A136" s="215"/>
      <c r="B136" s="212"/>
      <c r="C136" s="212"/>
      <c r="D136" s="212"/>
      <c r="E136" s="212"/>
      <c r="F136" s="393"/>
      <c r="G136" s="386"/>
      <c r="H136" s="387"/>
      <c r="I136" s="342" t="s">
        <v>160</v>
      </c>
      <c r="J136" s="343"/>
      <c r="K136" s="343"/>
      <c r="L136" s="343"/>
      <c r="M136" s="344"/>
      <c r="N136" s="358" t="s">
        <v>25</v>
      </c>
      <c r="O136" s="360"/>
      <c r="P136" s="345"/>
      <c r="Q136" s="346"/>
      <c r="R136" s="347"/>
      <c r="S136" s="210"/>
      <c r="T136" s="355">
        <v>4</v>
      </c>
      <c r="U136" s="356"/>
      <c r="V136" s="356"/>
      <c r="W136" s="357"/>
      <c r="X136" s="465"/>
      <c r="Y136" s="466"/>
      <c r="Z136" s="467"/>
      <c r="AC136" s="37"/>
      <c r="AD136" s="216"/>
    </row>
    <row r="137" spans="1:35" s="200" customFormat="1" ht="12.95" customHeight="1">
      <c r="A137" s="215"/>
      <c r="B137" s="212"/>
      <c r="C137" s="212"/>
      <c r="D137" s="212"/>
      <c r="E137" s="212"/>
      <c r="F137" s="341" t="s">
        <v>52</v>
      </c>
      <c r="G137" s="341"/>
      <c r="H137" s="341"/>
      <c r="I137" s="342" t="s">
        <v>53</v>
      </c>
      <c r="J137" s="343"/>
      <c r="K137" s="343"/>
      <c r="L137" s="343"/>
      <c r="M137" s="344"/>
      <c r="N137" s="340" t="s">
        <v>25</v>
      </c>
      <c r="O137" s="340"/>
      <c r="P137" s="358"/>
      <c r="Q137" s="359"/>
      <c r="R137" s="360"/>
      <c r="S137" s="204"/>
      <c r="T137" s="348">
        <v>12</v>
      </c>
      <c r="U137" s="348"/>
      <c r="V137" s="348"/>
      <c r="W137" s="348"/>
      <c r="X137" s="340"/>
      <c r="Y137" s="340"/>
      <c r="Z137" s="340"/>
      <c r="AC137" s="37"/>
      <c r="AD137" s="216"/>
    </row>
    <row r="138" spans="1:35" s="200" customFormat="1" ht="12.95" customHeight="1">
      <c r="A138" s="215"/>
      <c r="B138" s="212"/>
      <c r="C138" s="212"/>
      <c r="D138" s="212"/>
      <c r="E138" s="212"/>
      <c r="F138" s="345" t="s">
        <v>71</v>
      </c>
      <c r="G138" s="346"/>
      <c r="H138" s="347"/>
      <c r="I138" s="342" t="s">
        <v>72</v>
      </c>
      <c r="J138" s="343"/>
      <c r="K138" s="343"/>
      <c r="L138" s="343"/>
      <c r="M138" s="344"/>
      <c r="N138" s="358" t="s">
        <v>14</v>
      </c>
      <c r="O138" s="360"/>
      <c r="P138" s="358">
        <f>ROUND(((0.424+0.3)*2*T134+(0.3+0.3)*2*T135+(0.2+0.145)*2*T136),3)</f>
        <v>5.4080000000000004</v>
      </c>
      <c r="Q138" s="359"/>
      <c r="R138" s="360"/>
      <c r="S138" s="203"/>
      <c r="T138" s="355"/>
      <c r="U138" s="356"/>
      <c r="V138" s="356"/>
      <c r="W138" s="357"/>
      <c r="X138" s="358"/>
      <c r="Y138" s="359"/>
      <c r="Z138" s="360"/>
      <c r="AC138" s="37"/>
      <c r="AD138" s="216"/>
    </row>
    <row r="139" spans="1:35" s="200" customFormat="1" ht="12.95" customHeight="1">
      <c r="A139" s="215"/>
      <c r="B139" s="212"/>
      <c r="C139" s="212"/>
      <c r="D139" s="212"/>
      <c r="E139" s="212"/>
      <c r="F139" s="361" t="s">
        <v>48</v>
      </c>
      <c r="G139" s="362"/>
      <c r="H139" s="363"/>
      <c r="I139" s="342" t="s">
        <v>62</v>
      </c>
      <c r="J139" s="343"/>
      <c r="K139" s="343"/>
      <c r="L139" s="343"/>
      <c r="M139" s="344"/>
      <c r="N139" s="340" t="s">
        <v>25</v>
      </c>
      <c r="O139" s="340"/>
      <c r="P139" s="358"/>
      <c r="Q139" s="359"/>
      <c r="R139" s="360"/>
      <c r="S139" s="204"/>
      <c r="T139" s="348">
        <v>12</v>
      </c>
      <c r="U139" s="348"/>
      <c r="V139" s="348"/>
      <c r="W139" s="348"/>
      <c r="X139" s="340"/>
      <c r="Y139" s="340"/>
      <c r="Z139" s="340"/>
      <c r="AC139" s="37"/>
      <c r="AD139" s="216"/>
    </row>
    <row r="140" spans="1:35" s="200" customFormat="1" ht="12.95" customHeight="1">
      <c r="A140" s="215"/>
      <c r="B140" s="212"/>
      <c r="C140" s="212"/>
      <c r="D140" s="212"/>
      <c r="E140" s="212"/>
      <c r="F140" s="364"/>
      <c r="G140" s="365"/>
      <c r="H140" s="366"/>
      <c r="I140" s="342" t="s">
        <v>73</v>
      </c>
      <c r="J140" s="343"/>
      <c r="K140" s="343"/>
      <c r="L140" s="343"/>
      <c r="M140" s="344"/>
      <c r="N140" s="340" t="s">
        <v>25</v>
      </c>
      <c r="O140" s="340"/>
      <c r="P140" s="358"/>
      <c r="Q140" s="359"/>
      <c r="R140" s="360"/>
      <c r="S140" s="203"/>
      <c r="T140" s="355">
        <v>4</v>
      </c>
      <c r="U140" s="356"/>
      <c r="V140" s="356"/>
      <c r="W140" s="357"/>
      <c r="X140" s="340"/>
      <c r="Y140" s="340"/>
      <c r="Z140" s="340"/>
      <c r="AC140" s="37"/>
      <c r="AD140" s="216"/>
    </row>
    <row r="141" spans="1:35" s="200" customFormat="1" ht="12.95" customHeight="1">
      <c r="A141" s="215"/>
      <c r="B141" s="212"/>
      <c r="C141" s="212"/>
      <c r="D141" s="212"/>
      <c r="E141" s="212"/>
      <c r="F141" s="345" t="s">
        <v>74</v>
      </c>
      <c r="G141" s="346"/>
      <c r="H141" s="347"/>
      <c r="I141" s="342" t="s">
        <v>75</v>
      </c>
      <c r="J141" s="343"/>
      <c r="K141" s="343"/>
      <c r="L141" s="343"/>
      <c r="M141" s="344"/>
      <c r="N141" s="358" t="s">
        <v>14</v>
      </c>
      <c r="O141" s="360"/>
      <c r="P141" s="358">
        <f>ROUND(((0.424+0.3)*2*T134+(0.3+0.3)*2*T135+(0.2+0.145)*T136),3)</f>
        <v>4.0279999999999996</v>
      </c>
      <c r="Q141" s="359"/>
      <c r="R141" s="360"/>
      <c r="S141" s="203"/>
      <c r="T141" s="355"/>
      <c r="U141" s="356"/>
      <c r="V141" s="356"/>
      <c r="W141" s="357"/>
      <c r="X141" s="358"/>
      <c r="Y141" s="359"/>
      <c r="Z141" s="360"/>
      <c r="AC141" s="37"/>
      <c r="AD141" s="216"/>
    </row>
    <row r="142" spans="1:35" s="200" customFormat="1" ht="12.95" customHeight="1">
      <c r="A142" s="255"/>
      <c r="B142" s="256"/>
      <c r="C142" s="256"/>
      <c r="D142" s="256"/>
      <c r="E142" s="256"/>
      <c r="F142" s="10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30"/>
      <c r="X142" s="30"/>
      <c r="Y142" s="256"/>
      <c r="Z142" s="257"/>
      <c r="AA142" s="256"/>
      <c r="AB142" s="256"/>
      <c r="AC142" s="256"/>
      <c r="AD142" s="257"/>
    </row>
    <row r="143" spans="1:35" s="200" customFormat="1" ht="12.95" customHeight="1">
      <c r="A143" s="215"/>
      <c r="F143" s="8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  <c r="X143" s="10"/>
      <c r="Z143" s="216"/>
      <c r="AD143" s="216"/>
    </row>
    <row r="144" spans="1:35" s="200" customFormat="1" ht="12.95" customHeight="1">
      <c r="A144" s="100" t="s">
        <v>288</v>
      </c>
      <c r="B144" s="349" t="s">
        <v>143</v>
      </c>
      <c r="C144" s="349"/>
      <c r="D144" s="349"/>
      <c r="E144" s="349"/>
      <c r="F144" s="84"/>
      <c r="G144" s="35"/>
      <c r="H144" s="7"/>
      <c r="I144" s="91"/>
      <c r="J144" s="91"/>
      <c r="N144" s="67"/>
      <c r="O144" s="67"/>
      <c r="P144" s="212"/>
      <c r="Q144" s="37"/>
      <c r="R144" s="37"/>
      <c r="S144" s="37"/>
      <c r="T144" s="7"/>
      <c r="V144" s="7"/>
      <c r="W144" s="220"/>
      <c r="X144" s="220"/>
      <c r="Y144" s="220"/>
      <c r="Z144" s="221"/>
      <c r="AA144" s="10"/>
      <c r="AB144" s="10"/>
      <c r="AC144" s="37"/>
      <c r="AD144" s="216"/>
    </row>
    <row r="145" spans="1:35" s="200" customFormat="1" ht="12.95" customHeight="1">
      <c r="A145" s="215"/>
      <c r="B145" s="352" t="s">
        <v>144</v>
      </c>
      <c r="C145" s="352"/>
      <c r="D145" s="352"/>
      <c r="E145" s="352"/>
      <c r="F145" s="84"/>
      <c r="G145" s="224" t="s">
        <v>146</v>
      </c>
      <c r="H145" s="222"/>
      <c r="I145" s="222"/>
      <c r="J145" s="7" t="s">
        <v>15</v>
      </c>
      <c r="K145" s="36">
        <f>4*2</f>
        <v>8</v>
      </c>
      <c r="L145" s="380" t="s">
        <v>107</v>
      </c>
      <c r="M145" s="380"/>
      <c r="N145" s="7"/>
      <c r="O145" s="7"/>
      <c r="P145" s="7"/>
      <c r="Q145" s="7"/>
      <c r="R145" s="7"/>
      <c r="S145" s="7"/>
      <c r="T145" s="7"/>
      <c r="U145" s="7"/>
      <c r="V145" s="7"/>
      <c r="W145" s="10"/>
      <c r="X145" s="10"/>
      <c r="Z145" s="216"/>
      <c r="AA145" s="10"/>
      <c r="AB145" s="10"/>
      <c r="AC145" s="435" t="s">
        <v>107</v>
      </c>
      <c r="AD145" s="436"/>
    </row>
    <row r="146" spans="1:35" s="200" customFormat="1" ht="12.95" customHeight="1">
      <c r="A146" s="215"/>
      <c r="B146" s="352" t="s">
        <v>145</v>
      </c>
      <c r="C146" s="352"/>
      <c r="D146" s="352"/>
      <c r="E146" s="352"/>
      <c r="F146" s="84"/>
      <c r="G146" s="224"/>
      <c r="H146" s="222"/>
      <c r="I146" s="222"/>
      <c r="J146" s="7"/>
      <c r="K146" s="36"/>
      <c r="L146" s="224"/>
      <c r="M146" s="224"/>
      <c r="N146" s="7"/>
      <c r="O146" s="7"/>
      <c r="P146" s="7"/>
      <c r="Q146" s="7"/>
      <c r="R146" s="7"/>
      <c r="S146" s="7"/>
      <c r="T146" s="7"/>
      <c r="U146" s="7"/>
      <c r="V146" s="7"/>
      <c r="W146" s="10"/>
      <c r="X146" s="10"/>
      <c r="Z146" s="216"/>
      <c r="AA146" s="339">
        <f>K145</f>
        <v>8</v>
      </c>
      <c r="AB146" s="339"/>
      <c r="AC146" s="339"/>
      <c r="AD146" s="221"/>
    </row>
    <row r="147" spans="1:35" s="200" customFormat="1" ht="12.95" customHeight="1">
      <c r="A147" s="215"/>
      <c r="F147" s="84"/>
      <c r="G147" s="35"/>
      <c r="H147" s="246"/>
      <c r="I147" s="246"/>
      <c r="J147" s="220"/>
      <c r="K147" s="367" t="s">
        <v>39</v>
      </c>
      <c r="L147" s="367"/>
      <c r="M147" s="367"/>
      <c r="N147" s="367"/>
      <c r="O147" s="367"/>
      <c r="P147" s="367"/>
      <c r="Q147" s="367"/>
      <c r="R147" s="367"/>
      <c r="S147" s="208"/>
      <c r="T147" s="7"/>
      <c r="V147" s="40"/>
      <c r="X147" s="220"/>
      <c r="Y147" s="220" t="s">
        <v>40</v>
      </c>
      <c r="Z147" s="221"/>
      <c r="AA147" s="10"/>
      <c r="AB147" s="10"/>
      <c r="AC147" s="220"/>
      <c r="AD147" s="221"/>
    </row>
    <row r="148" spans="1:35" s="200" customFormat="1" ht="12.95" customHeight="1">
      <c r="A148" s="215"/>
      <c r="F148" s="341" t="s">
        <v>41</v>
      </c>
      <c r="G148" s="341"/>
      <c r="H148" s="341"/>
      <c r="I148" s="342" t="s">
        <v>42</v>
      </c>
      <c r="J148" s="343"/>
      <c r="K148" s="343"/>
      <c r="L148" s="343"/>
      <c r="M148" s="344"/>
      <c r="N148" s="340" t="s">
        <v>43</v>
      </c>
      <c r="O148" s="340"/>
      <c r="P148" s="458" t="s">
        <v>44</v>
      </c>
      <c r="Q148" s="458"/>
      <c r="R148" s="458"/>
      <c r="S148" s="250"/>
      <c r="T148" s="340" t="s">
        <v>64</v>
      </c>
      <c r="U148" s="340"/>
      <c r="V148" s="340"/>
      <c r="W148" s="340"/>
      <c r="X148" s="340" t="s">
        <v>65</v>
      </c>
      <c r="Y148" s="340"/>
      <c r="Z148" s="340"/>
      <c r="AA148" s="10"/>
      <c r="AB148" s="10"/>
      <c r="AC148" s="220"/>
      <c r="AD148" s="221"/>
    </row>
    <row r="149" spans="1:35" s="200" customFormat="1" ht="12.95" customHeight="1">
      <c r="A149" s="215"/>
      <c r="F149" s="459" t="s">
        <v>68</v>
      </c>
      <c r="G149" s="468"/>
      <c r="H149" s="469"/>
      <c r="I149" s="342" t="s">
        <v>161</v>
      </c>
      <c r="J149" s="343"/>
      <c r="K149" s="343"/>
      <c r="L149" s="343"/>
      <c r="M149" s="344"/>
      <c r="N149" s="358" t="s">
        <v>25</v>
      </c>
      <c r="O149" s="360"/>
      <c r="P149" s="345"/>
      <c r="Q149" s="346"/>
      <c r="R149" s="347"/>
      <c r="S149" s="210"/>
      <c r="T149" s="355">
        <v>1</v>
      </c>
      <c r="U149" s="356"/>
      <c r="V149" s="356"/>
      <c r="W149" s="357"/>
      <c r="X149" s="462">
        <f>((0.535*0.272*0.014)*T149+(0.77*0.6*0.014)*T150+(0.78*0.3*0.014)*T151+(0.3*0.3*0.014)*T152)*7.85</f>
        <v>0.153147848</v>
      </c>
      <c r="Y149" s="463"/>
      <c r="Z149" s="464"/>
      <c r="AA149" s="10"/>
      <c r="AB149" s="10"/>
      <c r="AC149" s="220"/>
      <c r="AD149" s="221"/>
      <c r="AG149" s="352">
        <f>X149*AA146</f>
        <v>1.225182784</v>
      </c>
      <c r="AH149" s="352"/>
      <c r="AI149" s="352"/>
    </row>
    <row r="150" spans="1:35" s="200" customFormat="1" ht="12.95" customHeight="1">
      <c r="A150" s="215"/>
      <c r="F150" s="470"/>
      <c r="G150" s="471"/>
      <c r="H150" s="472"/>
      <c r="I150" s="342" t="s">
        <v>162</v>
      </c>
      <c r="J150" s="343"/>
      <c r="K150" s="343"/>
      <c r="L150" s="343"/>
      <c r="M150" s="344"/>
      <c r="N150" s="358" t="s">
        <v>25</v>
      </c>
      <c r="O150" s="360"/>
      <c r="P150" s="345"/>
      <c r="Q150" s="346"/>
      <c r="R150" s="347"/>
      <c r="S150" s="210"/>
      <c r="T150" s="355">
        <v>2</v>
      </c>
      <c r="U150" s="356"/>
      <c r="V150" s="356"/>
      <c r="W150" s="357"/>
      <c r="X150" s="351"/>
      <c r="Y150" s="352"/>
      <c r="Z150" s="334"/>
      <c r="AA150" s="10"/>
      <c r="AB150" s="10"/>
      <c r="AC150" s="220"/>
      <c r="AD150" s="221"/>
    </row>
    <row r="151" spans="1:35" s="200" customFormat="1" ht="12.95" customHeight="1">
      <c r="A151" s="215"/>
      <c r="F151" s="470"/>
      <c r="G151" s="471"/>
      <c r="H151" s="472"/>
      <c r="I151" s="342" t="s">
        <v>163</v>
      </c>
      <c r="J151" s="343"/>
      <c r="K151" s="343"/>
      <c r="L151" s="343"/>
      <c r="M151" s="344"/>
      <c r="N151" s="358" t="s">
        <v>25</v>
      </c>
      <c r="O151" s="360"/>
      <c r="P151" s="345"/>
      <c r="Q151" s="346"/>
      <c r="R151" s="347"/>
      <c r="S151" s="210"/>
      <c r="T151" s="355">
        <v>1</v>
      </c>
      <c r="U151" s="356"/>
      <c r="V151" s="356"/>
      <c r="W151" s="357"/>
      <c r="X151" s="351"/>
      <c r="Y151" s="352"/>
      <c r="Z151" s="334"/>
      <c r="AA151" s="10"/>
      <c r="AB151" s="10"/>
      <c r="AC151" s="220"/>
      <c r="AD151" s="221"/>
    </row>
    <row r="152" spans="1:35" s="200" customFormat="1" ht="12.95" customHeight="1">
      <c r="A152" s="215"/>
      <c r="F152" s="473"/>
      <c r="G152" s="474"/>
      <c r="H152" s="475"/>
      <c r="I152" s="342" t="s">
        <v>126</v>
      </c>
      <c r="J152" s="343"/>
      <c r="K152" s="343"/>
      <c r="L152" s="343"/>
      <c r="M152" s="344"/>
      <c r="N152" s="358" t="s">
        <v>25</v>
      </c>
      <c r="O152" s="360"/>
      <c r="P152" s="345"/>
      <c r="Q152" s="346"/>
      <c r="R152" s="347"/>
      <c r="S152" s="210"/>
      <c r="T152" s="355">
        <v>1</v>
      </c>
      <c r="U152" s="356"/>
      <c r="V152" s="356"/>
      <c r="W152" s="357"/>
      <c r="X152" s="465"/>
      <c r="Y152" s="466"/>
      <c r="Z152" s="467"/>
      <c r="AA152" s="10"/>
      <c r="AB152" s="10"/>
      <c r="AC152" s="220"/>
      <c r="AD152" s="221"/>
    </row>
    <row r="153" spans="1:35" s="200" customFormat="1" ht="12.95" customHeight="1">
      <c r="A153" s="215"/>
      <c r="F153" s="341" t="s">
        <v>52</v>
      </c>
      <c r="G153" s="341"/>
      <c r="H153" s="341"/>
      <c r="I153" s="342" t="s">
        <v>53</v>
      </c>
      <c r="J153" s="343"/>
      <c r="K153" s="343"/>
      <c r="L153" s="343"/>
      <c r="M153" s="344"/>
      <c r="N153" s="340" t="s">
        <v>25</v>
      </c>
      <c r="O153" s="340"/>
      <c r="P153" s="358"/>
      <c r="Q153" s="359"/>
      <c r="R153" s="360"/>
      <c r="S153" s="204"/>
      <c r="T153" s="348">
        <v>16</v>
      </c>
      <c r="U153" s="348"/>
      <c r="V153" s="348"/>
      <c r="W153" s="348"/>
      <c r="X153" s="340"/>
      <c r="Y153" s="340"/>
      <c r="Z153" s="340"/>
      <c r="AA153" s="10"/>
      <c r="AB153" s="10"/>
      <c r="AC153" s="220"/>
      <c r="AD153" s="221"/>
    </row>
    <row r="154" spans="1:35" s="200" customFormat="1" ht="12.95" customHeight="1">
      <c r="A154" s="215"/>
      <c r="F154" s="345" t="s">
        <v>71</v>
      </c>
      <c r="G154" s="346"/>
      <c r="H154" s="347"/>
      <c r="I154" s="342" t="s">
        <v>72</v>
      </c>
      <c r="J154" s="343"/>
      <c r="K154" s="343"/>
      <c r="L154" s="343"/>
      <c r="M154" s="344"/>
      <c r="N154" s="358" t="s">
        <v>14</v>
      </c>
      <c r="O154" s="360"/>
      <c r="P154" s="358">
        <f>ROUND(((0.535+0.272)*2*T149+(0.77+0.6)*2*T150+(0.78+0.3)*2*T151+(0.3+0.3)*2*T152),3)</f>
        <v>10.454000000000001</v>
      </c>
      <c r="Q154" s="359"/>
      <c r="R154" s="360"/>
      <c r="S154" s="203"/>
      <c r="T154" s="355"/>
      <c r="U154" s="356"/>
      <c r="V154" s="356"/>
      <c r="W154" s="357"/>
      <c r="X154" s="358"/>
      <c r="Y154" s="359"/>
      <c r="Z154" s="360"/>
      <c r="AA154" s="10"/>
      <c r="AB154" s="10"/>
      <c r="AC154" s="220"/>
      <c r="AD154" s="221"/>
    </row>
    <row r="155" spans="1:35" s="200" customFormat="1" ht="12.95" customHeight="1">
      <c r="A155" s="215"/>
      <c r="F155" s="361" t="s">
        <v>48</v>
      </c>
      <c r="G155" s="362"/>
      <c r="H155" s="363"/>
      <c r="I155" s="342" t="s">
        <v>62</v>
      </c>
      <c r="J155" s="343"/>
      <c r="K155" s="343"/>
      <c r="L155" s="343"/>
      <c r="M155" s="344"/>
      <c r="N155" s="340" t="s">
        <v>25</v>
      </c>
      <c r="O155" s="340"/>
      <c r="P155" s="358"/>
      <c r="Q155" s="359"/>
      <c r="R155" s="360"/>
      <c r="S155" s="204"/>
      <c r="T155" s="348">
        <v>12</v>
      </c>
      <c r="U155" s="348"/>
      <c r="V155" s="348"/>
      <c r="W155" s="348"/>
      <c r="X155" s="340"/>
      <c r="Y155" s="340"/>
      <c r="Z155" s="340"/>
      <c r="AA155" s="10"/>
      <c r="AB155" s="10"/>
      <c r="AC155" s="220"/>
      <c r="AD155" s="221"/>
    </row>
    <row r="156" spans="1:35" s="200" customFormat="1" ht="12.95" customHeight="1">
      <c r="A156" s="215"/>
      <c r="F156" s="364"/>
      <c r="G156" s="365"/>
      <c r="H156" s="366"/>
      <c r="I156" s="342" t="s">
        <v>73</v>
      </c>
      <c r="J156" s="343"/>
      <c r="K156" s="343"/>
      <c r="L156" s="343"/>
      <c r="M156" s="344"/>
      <c r="N156" s="340" t="s">
        <v>25</v>
      </c>
      <c r="O156" s="340"/>
      <c r="P156" s="358"/>
      <c r="Q156" s="359"/>
      <c r="R156" s="360"/>
      <c r="S156" s="203"/>
      <c r="T156" s="355">
        <v>4</v>
      </c>
      <c r="U156" s="356"/>
      <c r="V156" s="356"/>
      <c r="W156" s="357"/>
      <c r="X156" s="340"/>
      <c r="Y156" s="340"/>
      <c r="Z156" s="340"/>
      <c r="AA156" s="10"/>
      <c r="AB156" s="10"/>
      <c r="AC156" s="220"/>
      <c r="AD156" s="221"/>
    </row>
    <row r="157" spans="1:35" s="200" customFormat="1" ht="12.95" customHeight="1">
      <c r="A157" s="215"/>
      <c r="F157" s="345" t="s">
        <v>74</v>
      </c>
      <c r="G157" s="346"/>
      <c r="H157" s="347"/>
      <c r="I157" s="342" t="s">
        <v>75</v>
      </c>
      <c r="J157" s="343"/>
      <c r="K157" s="343"/>
      <c r="L157" s="343"/>
      <c r="M157" s="344"/>
      <c r="N157" s="358" t="s">
        <v>14</v>
      </c>
      <c r="O157" s="360"/>
      <c r="P157" s="358">
        <f>ROUND((0.535+0.272)*2*T149+(0.77+0.6)*2*T150+(0.78+0.3)*T151+(0.3+0.3)*2*T152,3)</f>
        <v>9.3740000000000006</v>
      </c>
      <c r="Q157" s="359"/>
      <c r="R157" s="360"/>
      <c r="S157" s="203"/>
      <c r="T157" s="355"/>
      <c r="U157" s="356"/>
      <c r="V157" s="356"/>
      <c r="W157" s="357"/>
      <c r="X157" s="358"/>
      <c r="Y157" s="359"/>
      <c r="Z157" s="360"/>
      <c r="AA157" s="10"/>
      <c r="AB157" s="10"/>
      <c r="AC157" s="220"/>
      <c r="AD157" s="221"/>
    </row>
    <row r="158" spans="1:35" s="200" customFormat="1" ht="12.95" customHeight="1">
      <c r="A158" s="255"/>
      <c r="B158" s="256"/>
      <c r="C158" s="256"/>
      <c r="D158" s="256"/>
      <c r="E158" s="256"/>
      <c r="F158" s="10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30"/>
      <c r="X158" s="30"/>
      <c r="Y158" s="256"/>
      <c r="Z158" s="257"/>
      <c r="AA158" s="256"/>
      <c r="AB158" s="256"/>
      <c r="AC158" s="256"/>
      <c r="AD158" s="257"/>
    </row>
    <row r="159" spans="1:35" s="200" customFormat="1" ht="12.95" customHeight="1">
      <c r="A159" s="215"/>
      <c r="F159" s="8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0"/>
      <c r="X159" s="10"/>
      <c r="Z159" s="216"/>
      <c r="AD159" s="216"/>
    </row>
    <row r="160" spans="1:35" s="200" customFormat="1" ht="12.95" customHeight="1">
      <c r="A160" s="383" t="s">
        <v>289</v>
      </c>
      <c r="B160" s="385"/>
      <c r="C160" s="385"/>
      <c r="D160" s="385"/>
      <c r="E160" s="385"/>
      <c r="F160" s="8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10"/>
      <c r="X160" s="10"/>
      <c r="Z160" s="216"/>
      <c r="AD160" s="216"/>
    </row>
    <row r="161" spans="1:35" s="200" customFormat="1" ht="12.95" customHeight="1">
      <c r="A161" s="383"/>
      <c r="B161" s="385"/>
      <c r="C161" s="385"/>
      <c r="D161" s="385"/>
      <c r="E161" s="385"/>
      <c r="F161" s="84"/>
      <c r="G161" s="7"/>
      <c r="H161" s="7"/>
      <c r="I161" s="7"/>
      <c r="J161" s="381">
        <v>42</v>
      </c>
      <c r="K161" s="381"/>
      <c r="L161" s="379" t="s">
        <v>132</v>
      </c>
      <c r="M161" s="379"/>
      <c r="N161" s="7"/>
      <c r="O161" s="7"/>
      <c r="P161" s="7"/>
      <c r="Q161" s="7"/>
      <c r="R161" s="7"/>
      <c r="S161" s="7"/>
      <c r="T161" s="7"/>
      <c r="U161" s="7"/>
      <c r="V161" s="7"/>
      <c r="W161" s="10"/>
      <c r="X161" s="10"/>
      <c r="Z161" s="216"/>
      <c r="AC161" s="352" t="s">
        <v>132</v>
      </c>
      <c r="AD161" s="334"/>
    </row>
    <row r="162" spans="1:35" s="200" customFormat="1" ht="12.95" customHeight="1">
      <c r="A162" s="351" t="s">
        <v>135</v>
      </c>
      <c r="B162" s="352"/>
      <c r="C162" s="352"/>
      <c r="D162" s="352"/>
      <c r="E162" s="352"/>
      <c r="F162" s="8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0"/>
      <c r="X162" s="10"/>
      <c r="Z162" s="216"/>
      <c r="AB162" s="339">
        <f>J161</f>
        <v>42</v>
      </c>
      <c r="AC162" s="339"/>
      <c r="AD162" s="216"/>
    </row>
    <row r="163" spans="1:35" s="200" customFormat="1" ht="12.95" customHeight="1">
      <c r="A163" s="255"/>
      <c r="B163" s="256"/>
      <c r="C163" s="256"/>
      <c r="D163" s="256"/>
      <c r="E163" s="256"/>
      <c r="F163" s="10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30"/>
      <c r="X163" s="30"/>
      <c r="Y163" s="256"/>
      <c r="Z163" s="257"/>
      <c r="AA163" s="256"/>
      <c r="AB163" s="256"/>
      <c r="AC163" s="256"/>
      <c r="AD163" s="257"/>
    </row>
    <row r="164" spans="1:35" s="200" customFormat="1" ht="12.95" customHeight="1">
      <c r="A164" s="215"/>
      <c r="F164" s="8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0"/>
      <c r="X164" s="10"/>
      <c r="Z164" s="216"/>
      <c r="AD164" s="216"/>
    </row>
    <row r="165" spans="1:35" s="200" customFormat="1" ht="12.6" customHeight="1">
      <c r="A165" s="383" t="s">
        <v>290</v>
      </c>
      <c r="B165" s="385"/>
      <c r="C165" s="385"/>
      <c r="D165" s="385"/>
      <c r="E165" s="385"/>
      <c r="F165" s="79"/>
      <c r="G165" s="441" t="s">
        <v>63</v>
      </c>
      <c r="H165" s="441"/>
      <c r="I165" s="441"/>
      <c r="J165" s="441"/>
      <c r="K165" s="441"/>
      <c r="L165" s="441"/>
      <c r="M165" s="441"/>
      <c r="N165" s="454">
        <v>8</v>
      </c>
      <c r="O165" s="454"/>
      <c r="P165" s="200" t="s">
        <v>9</v>
      </c>
      <c r="Z165" s="216"/>
      <c r="AC165" s="37"/>
      <c r="AD165" s="216"/>
    </row>
    <row r="166" spans="1:35" s="200" customFormat="1" ht="12.6" customHeight="1">
      <c r="A166" s="383"/>
      <c r="B166" s="385"/>
      <c r="C166" s="385"/>
      <c r="D166" s="385"/>
      <c r="E166" s="385"/>
      <c r="F166" s="84"/>
      <c r="G166" s="35"/>
      <c r="H166" s="246"/>
      <c r="I166" s="246"/>
      <c r="J166" s="220"/>
      <c r="K166" s="367" t="s">
        <v>39</v>
      </c>
      <c r="L166" s="367"/>
      <c r="M166" s="367"/>
      <c r="N166" s="367"/>
      <c r="O166" s="367"/>
      <c r="P166" s="367"/>
      <c r="Q166" s="367"/>
      <c r="R166" s="367"/>
      <c r="S166" s="208"/>
      <c r="T166" s="7"/>
      <c r="V166" s="40"/>
      <c r="X166" s="220"/>
      <c r="Y166" s="220" t="s">
        <v>40</v>
      </c>
      <c r="Z166" s="221"/>
      <c r="AD166" s="216" t="s">
        <v>9</v>
      </c>
    </row>
    <row r="167" spans="1:35" s="200" customFormat="1" ht="12.6" customHeight="1">
      <c r="A167" s="351" t="s">
        <v>275</v>
      </c>
      <c r="B167" s="352"/>
      <c r="C167" s="352"/>
      <c r="D167" s="352"/>
      <c r="E167" s="352"/>
      <c r="F167" s="341" t="s">
        <v>41</v>
      </c>
      <c r="G167" s="341"/>
      <c r="H167" s="341"/>
      <c r="I167" s="342" t="s">
        <v>42</v>
      </c>
      <c r="J167" s="343"/>
      <c r="K167" s="343"/>
      <c r="L167" s="343"/>
      <c r="M167" s="344"/>
      <c r="N167" s="340" t="s">
        <v>43</v>
      </c>
      <c r="O167" s="340"/>
      <c r="P167" s="458" t="s">
        <v>44</v>
      </c>
      <c r="Q167" s="458"/>
      <c r="R167" s="458"/>
      <c r="S167" s="250"/>
      <c r="T167" s="340" t="s">
        <v>64</v>
      </c>
      <c r="U167" s="340"/>
      <c r="V167" s="340"/>
      <c r="W167" s="340"/>
      <c r="X167" s="340" t="s">
        <v>65</v>
      </c>
      <c r="Y167" s="340"/>
      <c r="Z167" s="340"/>
      <c r="AA167" s="339">
        <f>N165</f>
        <v>8</v>
      </c>
      <c r="AB167" s="339"/>
      <c r="AC167" s="339"/>
      <c r="AD167" s="216"/>
    </row>
    <row r="168" spans="1:35" s="200" customFormat="1" ht="12.6" customHeight="1">
      <c r="A168" s="215"/>
      <c r="B168" s="212"/>
      <c r="C168" s="212"/>
      <c r="D168" s="212"/>
      <c r="E168" s="212"/>
      <c r="F168" s="341" t="s">
        <v>66</v>
      </c>
      <c r="G168" s="341"/>
      <c r="H168" s="341"/>
      <c r="I168" s="342" t="s">
        <v>67</v>
      </c>
      <c r="J168" s="343"/>
      <c r="K168" s="343"/>
      <c r="L168" s="343"/>
      <c r="M168" s="344"/>
      <c r="N168" s="340" t="s">
        <v>25</v>
      </c>
      <c r="O168" s="340"/>
      <c r="P168" s="461">
        <v>1.8</v>
      </c>
      <c r="Q168" s="461"/>
      <c r="R168" s="461"/>
      <c r="S168" s="201"/>
      <c r="T168" s="348">
        <v>1</v>
      </c>
      <c r="U168" s="348"/>
      <c r="V168" s="348"/>
      <c r="W168" s="348"/>
      <c r="X168" s="340">
        <f>P168*T168*0.094</f>
        <v>0.16920000000000002</v>
      </c>
      <c r="Y168" s="340"/>
      <c r="Z168" s="340"/>
      <c r="AC168" s="37"/>
      <c r="AD168" s="216"/>
    </row>
    <row r="169" spans="1:35" s="200" customFormat="1" ht="12.6" customHeight="1">
      <c r="A169" s="215"/>
      <c r="B169" s="212"/>
      <c r="C169" s="212"/>
      <c r="D169" s="212"/>
      <c r="E169" s="212"/>
      <c r="F169" s="390" t="s">
        <v>76</v>
      </c>
      <c r="G169" s="391"/>
      <c r="H169" s="392"/>
      <c r="I169" s="342" t="s">
        <v>69</v>
      </c>
      <c r="J169" s="343"/>
      <c r="K169" s="343"/>
      <c r="L169" s="343"/>
      <c r="M169" s="344"/>
      <c r="N169" s="358" t="s">
        <v>25</v>
      </c>
      <c r="O169" s="360"/>
      <c r="P169" s="345"/>
      <c r="Q169" s="346"/>
      <c r="R169" s="347"/>
      <c r="S169" s="210"/>
      <c r="T169" s="355">
        <v>2</v>
      </c>
      <c r="U169" s="356"/>
      <c r="V169" s="356"/>
      <c r="W169" s="357"/>
      <c r="X169" s="462">
        <f>((0.424*0.3*0.014*T169)+(0.2*0.145*0.014*T170))*7.85</f>
        <v>4.0706959999999993E-2</v>
      </c>
      <c r="Y169" s="463"/>
      <c r="Z169" s="464"/>
      <c r="AC169" s="37"/>
      <c r="AD169" s="216"/>
      <c r="AG169" s="352">
        <f>X169*AA167</f>
        <v>0.32565567999999995</v>
      </c>
      <c r="AH169" s="352"/>
      <c r="AI169" s="352"/>
    </row>
    <row r="170" spans="1:35" s="200" customFormat="1" ht="12.6" customHeight="1">
      <c r="A170" s="215"/>
      <c r="B170" s="212"/>
      <c r="C170" s="212"/>
      <c r="D170" s="212"/>
      <c r="E170" s="212"/>
      <c r="F170" s="460"/>
      <c r="G170" s="376"/>
      <c r="H170" s="377"/>
      <c r="I170" s="342" t="s">
        <v>160</v>
      </c>
      <c r="J170" s="343"/>
      <c r="K170" s="343"/>
      <c r="L170" s="343"/>
      <c r="M170" s="344"/>
      <c r="N170" s="358" t="s">
        <v>25</v>
      </c>
      <c r="O170" s="360"/>
      <c r="P170" s="345"/>
      <c r="Q170" s="346"/>
      <c r="R170" s="347"/>
      <c r="S170" s="210"/>
      <c r="T170" s="355">
        <v>4</v>
      </c>
      <c r="U170" s="356"/>
      <c r="V170" s="356"/>
      <c r="W170" s="357"/>
      <c r="X170" s="351"/>
      <c r="Y170" s="352"/>
      <c r="Z170" s="334"/>
      <c r="AC170" s="37"/>
      <c r="AD170" s="216"/>
    </row>
    <row r="171" spans="1:35" s="200" customFormat="1" ht="12.6" customHeight="1">
      <c r="A171" s="215"/>
      <c r="B171" s="212"/>
      <c r="C171" s="212"/>
      <c r="D171" s="212"/>
      <c r="E171" s="212"/>
      <c r="F171" s="341" t="s">
        <v>52</v>
      </c>
      <c r="G171" s="341"/>
      <c r="H171" s="341"/>
      <c r="I171" s="342" t="s">
        <v>53</v>
      </c>
      <c r="J171" s="343"/>
      <c r="K171" s="343"/>
      <c r="L171" s="343"/>
      <c r="M171" s="344"/>
      <c r="N171" s="340" t="s">
        <v>25</v>
      </c>
      <c r="O171" s="340"/>
      <c r="P171" s="358"/>
      <c r="Q171" s="359"/>
      <c r="R171" s="360"/>
      <c r="S171" s="204"/>
      <c r="T171" s="348">
        <v>16</v>
      </c>
      <c r="U171" s="348"/>
      <c r="V171" s="348"/>
      <c r="W171" s="348"/>
      <c r="X171" s="465"/>
      <c r="Y171" s="466"/>
      <c r="Z171" s="467"/>
      <c r="AC171" s="37"/>
      <c r="AD171" s="216"/>
    </row>
    <row r="172" spans="1:35" s="200" customFormat="1" ht="12.6" customHeight="1">
      <c r="A172" s="215"/>
      <c r="B172" s="212"/>
      <c r="C172" s="212"/>
      <c r="D172" s="212"/>
      <c r="E172" s="212"/>
      <c r="F172" s="345" t="s">
        <v>71</v>
      </c>
      <c r="G172" s="346"/>
      <c r="H172" s="347"/>
      <c r="I172" s="342" t="s">
        <v>72</v>
      </c>
      <c r="J172" s="343"/>
      <c r="K172" s="343"/>
      <c r="L172" s="343"/>
      <c r="M172" s="344"/>
      <c r="N172" s="358" t="s">
        <v>14</v>
      </c>
      <c r="O172" s="360"/>
      <c r="P172" s="358">
        <f>ROUND(((0.424+0.3)*2*T169+ (0.2+0.145)*T170),3)</f>
        <v>4.2759999999999998</v>
      </c>
      <c r="Q172" s="359"/>
      <c r="R172" s="360"/>
      <c r="S172" s="203"/>
      <c r="T172" s="355"/>
      <c r="U172" s="356"/>
      <c r="V172" s="356"/>
      <c r="W172" s="357"/>
      <c r="X172" s="358"/>
      <c r="Y172" s="359"/>
      <c r="Z172" s="360"/>
      <c r="AC172" s="37"/>
      <c r="AD172" s="216"/>
    </row>
    <row r="173" spans="1:35" s="200" customFormat="1" ht="12.6" customHeight="1">
      <c r="A173" s="215"/>
      <c r="B173" s="212"/>
      <c r="C173" s="212"/>
      <c r="D173" s="212"/>
      <c r="E173" s="212"/>
      <c r="F173" s="361" t="s">
        <v>48</v>
      </c>
      <c r="G173" s="362"/>
      <c r="H173" s="363"/>
      <c r="I173" s="342" t="s">
        <v>62</v>
      </c>
      <c r="J173" s="343"/>
      <c r="K173" s="343"/>
      <c r="L173" s="343"/>
      <c r="M173" s="344"/>
      <c r="N173" s="340" t="s">
        <v>25</v>
      </c>
      <c r="O173" s="340"/>
      <c r="P173" s="358"/>
      <c r="Q173" s="359"/>
      <c r="R173" s="360"/>
      <c r="S173" s="204"/>
      <c r="T173" s="348">
        <v>16</v>
      </c>
      <c r="U173" s="348"/>
      <c r="V173" s="348"/>
      <c r="W173" s="348"/>
      <c r="X173" s="340"/>
      <c r="Y173" s="340"/>
      <c r="Z173" s="340"/>
      <c r="AC173" s="37"/>
      <c r="AD173" s="216"/>
    </row>
    <row r="174" spans="1:35" s="200" customFormat="1" ht="12.6" customHeight="1">
      <c r="A174" s="215"/>
      <c r="B174" s="212"/>
      <c r="C174" s="212"/>
      <c r="D174" s="212"/>
      <c r="E174" s="212"/>
      <c r="F174" s="364"/>
      <c r="G174" s="365"/>
      <c r="H174" s="366"/>
      <c r="I174" s="342" t="s">
        <v>73</v>
      </c>
      <c r="J174" s="343"/>
      <c r="K174" s="343"/>
      <c r="L174" s="343"/>
      <c r="M174" s="344"/>
      <c r="N174" s="340" t="s">
        <v>25</v>
      </c>
      <c r="O174" s="340"/>
      <c r="P174" s="358"/>
      <c r="Q174" s="359"/>
      <c r="R174" s="360"/>
      <c r="S174" s="203"/>
      <c r="T174" s="355">
        <v>16</v>
      </c>
      <c r="U174" s="356"/>
      <c r="V174" s="356"/>
      <c r="W174" s="357"/>
      <c r="X174" s="340"/>
      <c r="Y174" s="340"/>
      <c r="Z174" s="340"/>
      <c r="AC174" s="37"/>
      <c r="AD174" s="216"/>
    </row>
    <row r="175" spans="1:35" s="200" customFormat="1" ht="12.6" customHeight="1">
      <c r="A175" s="215"/>
      <c r="B175" s="212"/>
      <c r="C175" s="212"/>
      <c r="D175" s="212"/>
      <c r="E175" s="212"/>
      <c r="F175" s="345" t="s">
        <v>74</v>
      </c>
      <c r="G175" s="346"/>
      <c r="H175" s="347"/>
      <c r="I175" s="342" t="s">
        <v>75</v>
      </c>
      <c r="J175" s="343"/>
      <c r="K175" s="343"/>
      <c r="L175" s="343"/>
      <c r="M175" s="344"/>
      <c r="N175" s="358" t="s">
        <v>25</v>
      </c>
      <c r="O175" s="360"/>
      <c r="P175" s="358">
        <f>ROUND((0.424+0.3)*2*T169+(0.2+0.145)*2*T170,3)</f>
        <v>5.6559999999999997</v>
      </c>
      <c r="Q175" s="359"/>
      <c r="R175" s="360"/>
      <c r="S175" s="203"/>
      <c r="T175" s="355"/>
      <c r="U175" s="356"/>
      <c r="V175" s="356"/>
      <c r="W175" s="357"/>
      <c r="X175" s="358"/>
      <c r="Y175" s="359"/>
      <c r="Z175" s="360"/>
      <c r="AC175" s="37"/>
      <c r="AD175" s="216"/>
    </row>
    <row r="176" spans="1:35" s="200" customFormat="1" ht="12.95" customHeight="1">
      <c r="A176" s="255"/>
      <c r="B176" s="256"/>
      <c r="C176" s="256"/>
      <c r="D176" s="256"/>
      <c r="E176" s="256"/>
      <c r="F176" s="10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30"/>
      <c r="X176" s="30"/>
      <c r="Y176" s="256"/>
      <c r="Z176" s="257"/>
      <c r="AA176" s="256"/>
      <c r="AB176" s="256"/>
      <c r="AC176" s="256"/>
      <c r="AD176" s="257"/>
    </row>
    <row r="177" spans="1:30" s="200" customFormat="1" ht="12.95" hidden="1" customHeight="1">
      <c r="A177" s="215"/>
      <c r="F177" s="8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0"/>
      <c r="X177" s="10"/>
      <c r="Z177" s="216"/>
      <c r="AD177" s="216"/>
    </row>
    <row r="178" spans="1:30" s="200" customFormat="1" ht="12.95" hidden="1" customHeight="1">
      <c r="A178" s="215"/>
      <c r="F178" s="8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0"/>
      <c r="X178" s="10"/>
      <c r="Z178" s="216"/>
      <c r="AD178" s="216"/>
    </row>
    <row r="179" spans="1:30" s="200" customFormat="1" ht="12.95" hidden="1" customHeight="1">
      <c r="A179" s="383" t="s">
        <v>151</v>
      </c>
      <c r="B179" s="385"/>
      <c r="C179" s="385"/>
      <c r="D179" s="385"/>
      <c r="E179" s="385"/>
      <c r="F179" s="84"/>
      <c r="G179" s="200" t="s">
        <v>122</v>
      </c>
      <c r="H179" s="384">
        <v>0</v>
      </c>
      <c r="I179" s="384"/>
      <c r="J179" s="384"/>
      <c r="K179" s="7" t="s">
        <v>119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0"/>
      <c r="X179" s="10"/>
      <c r="Z179" s="216"/>
      <c r="AD179" s="216"/>
    </row>
    <row r="180" spans="1:30" s="200" customFormat="1" ht="12.95" hidden="1" customHeight="1">
      <c r="A180" s="383"/>
      <c r="B180" s="385"/>
      <c r="C180" s="385"/>
      <c r="D180" s="385"/>
      <c r="E180" s="385"/>
      <c r="F180" s="8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0"/>
      <c r="X180" s="10"/>
      <c r="Z180" s="216"/>
      <c r="AD180" s="216" t="s">
        <v>119</v>
      </c>
    </row>
    <row r="181" spans="1:30" s="200" customFormat="1" ht="12.95" hidden="1" customHeight="1">
      <c r="A181" s="351" t="s">
        <v>131</v>
      </c>
      <c r="B181" s="352"/>
      <c r="C181" s="352"/>
      <c r="D181" s="352"/>
      <c r="E181" s="352"/>
      <c r="F181" s="84"/>
      <c r="G181" s="7"/>
      <c r="H181" s="378">
        <f>H179</f>
        <v>0</v>
      </c>
      <c r="I181" s="379"/>
      <c r="J181" s="379"/>
      <c r="K181" s="200" t="s">
        <v>117</v>
      </c>
      <c r="L181" s="223">
        <v>8</v>
      </c>
      <c r="M181" s="380" t="s">
        <v>132</v>
      </c>
      <c r="N181" s="380"/>
      <c r="O181" s="7"/>
      <c r="P181" s="7"/>
      <c r="Q181" s="7"/>
      <c r="R181" s="7"/>
      <c r="S181" s="7"/>
      <c r="T181" s="7"/>
      <c r="U181" s="7"/>
      <c r="V181" s="7"/>
      <c r="W181" s="200" t="s">
        <v>113</v>
      </c>
      <c r="X181" s="352">
        <f>H181*L181</f>
        <v>0</v>
      </c>
      <c r="Y181" s="352"/>
      <c r="Z181" s="334"/>
      <c r="AB181" s="352">
        <f>X181</f>
        <v>0</v>
      </c>
      <c r="AC181" s="352"/>
      <c r="AD181" s="334"/>
    </row>
    <row r="182" spans="1:30" s="200" customFormat="1" ht="12.95" hidden="1" customHeight="1">
      <c r="A182" s="215"/>
      <c r="F182" s="8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10"/>
      <c r="X182" s="10"/>
      <c r="Z182" s="216"/>
      <c r="AD182" s="216"/>
    </row>
    <row r="183" spans="1:30" s="200" customFormat="1" ht="12.95" hidden="1" customHeight="1">
      <c r="A183" s="215"/>
      <c r="F183" s="84"/>
      <c r="G183" s="7"/>
      <c r="H183" s="7"/>
      <c r="I183" s="378">
        <f>H181</f>
        <v>0</v>
      </c>
      <c r="J183" s="379"/>
      <c r="K183" s="200" t="s">
        <v>117</v>
      </c>
      <c r="L183" s="223">
        <f>L181</f>
        <v>8</v>
      </c>
      <c r="M183" s="380" t="s">
        <v>132</v>
      </c>
      <c r="N183" s="380"/>
      <c r="O183" s="223" t="s">
        <v>117</v>
      </c>
      <c r="P183" s="381">
        <v>14.9</v>
      </c>
      <c r="Q183" s="381"/>
      <c r="R183" s="379" t="s">
        <v>133</v>
      </c>
      <c r="S183" s="379"/>
      <c r="T183" s="7"/>
      <c r="U183" s="7"/>
      <c r="V183" s="7"/>
      <c r="W183" s="200" t="s">
        <v>113</v>
      </c>
      <c r="X183" s="352">
        <f>ROUND(I183*L183*P183/1000,3)</f>
        <v>0</v>
      </c>
      <c r="Y183" s="352"/>
      <c r="Z183" s="334"/>
      <c r="AC183" s="352" t="s">
        <v>134</v>
      </c>
      <c r="AD183" s="334"/>
    </row>
    <row r="184" spans="1:30" s="200" customFormat="1" ht="12.95" hidden="1" customHeight="1">
      <c r="A184" s="215"/>
      <c r="F184" s="8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10"/>
      <c r="X184" s="10"/>
      <c r="Z184" s="216"/>
      <c r="AB184" s="352">
        <f>X183</f>
        <v>0</v>
      </c>
      <c r="AC184" s="352"/>
      <c r="AD184" s="334"/>
    </row>
    <row r="185" spans="1:30" s="200" customFormat="1" ht="12.95" hidden="1" customHeight="1">
      <c r="A185" s="215"/>
      <c r="F185" s="8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10"/>
      <c r="X185" s="10"/>
      <c r="Z185" s="216"/>
      <c r="AD185" s="216"/>
    </row>
    <row r="186" spans="1:30" s="200" customFormat="1" ht="12.95" hidden="1" customHeight="1">
      <c r="A186" s="215"/>
      <c r="F186" s="8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0"/>
      <c r="X186" s="10"/>
      <c r="Z186" s="216"/>
      <c r="AD186" s="216"/>
    </row>
    <row r="187" spans="1:30" s="200" customFormat="1" ht="12.75" hidden="1" customHeight="1">
      <c r="A187" s="215"/>
      <c r="F187" s="8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10"/>
      <c r="X187" s="10"/>
      <c r="Z187" s="216"/>
      <c r="AD187" s="216"/>
    </row>
    <row r="188" spans="1:30" s="200" customFormat="1" ht="12.95" hidden="1" customHeight="1">
      <c r="A188" s="215"/>
      <c r="F188" s="8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10"/>
      <c r="X188" s="10"/>
      <c r="Z188" s="216"/>
      <c r="AD188" s="216"/>
    </row>
    <row r="189" spans="1:30" s="200" customFormat="1" ht="12.95" hidden="1" customHeight="1">
      <c r="A189" s="255"/>
      <c r="B189" s="256"/>
      <c r="C189" s="256"/>
      <c r="D189" s="256"/>
      <c r="E189" s="256"/>
      <c r="F189" s="10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30"/>
      <c r="X189" s="30"/>
      <c r="Y189" s="256"/>
      <c r="Z189" s="257"/>
      <c r="AA189" s="256"/>
      <c r="AB189" s="256"/>
      <c r="AC189" s="256"/>
      <c r="AD189" s="257"/>
    </row>
    <row r="190" spans="1:30" ht="12.95" customHeight="1">
      <c r="A190" s="251"/>
      <c r="E190" s="230"/>
      <c r="F190" s="251"/>
      <c r="W190" s="230"/>
      <c r="X190" s="230"/>
      <c r="Y190" s="230"/>
      <c r="Z190" s="231"/>
      <c r="AD190" s="221"/>
    </row>
    <row r="191" spans="1:30" s="200" customFormat="1" ht="12.6" customHeight="1">
      <c r="A191" s="476" t="s">
        <v>152</v>
      </c>
      <c r="B191" s="477"/>
      <c r="C191" s="477"/>
      <c r="D191" s="477"/>
      <c r="E191" s="477"/>
      <c r="F191" s="215"/>
      <c r="W191" s="200" t="s">
        <v>12</v>
      </c>
      <c r="X191" s="478">
        <v>336</v>
      </c>
      <c r="Y191" s="478"/>
      <c r="Z191" s="479"/>
      <c r="AD191" s="216"/>
    </row>
    <row r="192" spans="1:30" s="200" customFormat="1" ht="12.6" customHeight="1">
      <c r="A192" s="476"/>
      <c r="B192" s="477"/>
      <c r="C192" s="477"/>
      <c r="D192" s="477"/>
      <c r="E192" s="477"/>
      <c r="F192" s="84"/>
      <c r="G192" s="35"/>
      <c r="H192" s="246"/>
      <c r="I192" s="246"/>
      <c r="J192" s="220"/>
      <c r="K192" s="452" t="s">
        <v>39</v>
      </c>
      <c r="L192" s="452"/>
      <c r="M192" s="452"/>
      <c r="N192" s="452"/>
      <c r="O192" s="452"/>
      <c r="P192" s="452"/>
      <c r="Q192" s="452"/>
      <c r="R192" s="452"/>
      <c r="S192" s="452"/>
      <c r="T192" s="452"/>
      <c r="V192" s="40"/>
      <c r="W192" s="386" t="s">
        <v>40</v>
      </c>
      <c r="X192" s="386"/>
      <c r="Y192" s="386"/>
      <c r="Z192" s="387"/>
      <c r="AC192" s="37"/>
      <c r="AD192" s="216" t="s">
        <v>25</v>
      </c>
    </row>
    <row r="193" spans="1:35" s="200" customFormat="1" ht="12.6" customHeight="1">
      <c r="A193" s="480" t="s">
        <v>77</v>
      </c>
      <c r="B193" s="481"/>
      <c r="C193" s="481"/>
      <c r="D193" s="481"/>
      <c r="E193" s="481"/>
      <c r="F193" s="341" t="s">
        <v>41</v>
      </c>
      <c r="G193" s="341"/>
      <c r="H193" s="341"/>
      <c r="I193" s="342" t="s">
        <v>42</v>
      </c>
      <c r="J193" s="343"/>
      <c r="K193" s="343"/>
      <c r="L193" s="343"/>
      <c r="M193" s="344"/>
      <c r="N193" s="340" t="s">
        <v>43</v>
      </c>
      <c r="O193" s="340"/>
      <c r="P193" s="458" t="s">
        <v>44</v>
      </c>
      <c r="Q193" s="458"/>
      <c r="R193" s="458"/>
      <c r="S193" s="202"/>
      <c r="T193" s="358" t="s">
        <v>78</v>
      </c>
      <c r="U193" s="359"/>
      <c r="V193" s="360"/>
      <c r="W193" s="358" t="s">
        <v>267</v>
      </c>
      <c r="X193" s="359"/>
      <c r="Y193" s="359"/>
      <c r="Z193" s="360"/>
      <c r="AA193" s="339">
        <f>X191</f>
        <v>336</v>
      </c>
      <c r="AB193" s="339"/>
      <c r="AC193" s="339"/>
      <c r="AD193" s="216"/>
    </row>
    <row r="194" spans="1:35" s="200" customFormat="1" ht="12.6" customHeight="1">
      <c r="A194" s="215"/>
      <c r="B194" s="212"/>
      <c r="C194" s="212"/>
      <c r="D194" s="212"/>
      <c r="E194" s="212"/>
      <c r="F194" s="390" t="s">
        <v>79</v>
      </c>
      <c r="G194" s="391"/>
      <c r="H194" s="392"/>
      <c r="I194" s="448" t="s">
        <v>80</v>
      </c>
      <c r="J194" s="449"/>
      <c r="K194" s="449"/>
      <c r="L194" s="449"/>
      <c r="M194" s="450"/>
      <c r="N194" s="340" t="s">
        <v>25</v>
      </c>
      <c r="O194" s="340"/>
      <c r="P194" s="341"/>
      <c r="Q194" s="341"/>
      <c r="R194" s="341"/>
      <c r="S194" s="209"/>
      <c r="T194" s="355">
        <v>1</v>
      </c>
      <c r="U194" s="356"/>
      <c r="V194" s="357"/>
      <c r="W194" s="358">
        <f>0.27*0.145*0.014*T194*7.85</f>
        <v>4.3025849999999994E-3</v>
      </c>
      <c r="X194" s="359"/>
      <c r="Y194" s="359"/>
      <c r="Z194" s="360"/>
      <c r="AD194" s="216"/>
      <c r="AG194" s="352">
        <f>W194*AA193</f>
        <v>1.4456685599999999</v>
      </c>
      <c r="AH194" s="352"/>
      <c r="AI194" s="352"/>
    </row>
    <row r="195" spans="1:35" s="200" customFormat="1" ht="12.6" customHeight="1">
      <c r="A195" s="215"/>
      <c r="B195" s="212"/>
      <c r="C195" s="212"/>
      <c r="D195" s="212"/>
      <c r="E195" s="212"/>
      <c r="F195" s="447" t="s">
        <v>81</v>
      </c>
      <c r="G195" s="447"/>
      <c r="H195" s="447"/>
      <c r="I195" s="342" t="s">
        <v>72</v>
      </c>
      <c r="J195" s="343"/>
      <c r="K195" s="343"/>
      <c r="L195" s="343"/>
      <c r="M195" s="344"/>
      <c r="N195" s="340" t="s">
        <v>14</v>
      </c>
      <c r="O195" s="340"/>
      <c r="P195" s="458">
        <f>(0.27*2+0.145*2)*T194</f>
        <v>0.83000000000000007</v>
      </c>
      <c r="Q195" s="458"/>
      <c r="R195" s="458"/>
      <c r="S195" s="202"/>
      <c r="T195" s="355"/>
      <c r="U195" s="356"/>
      <c r="V195" s="357"/>
      <c r="W195" s="355"/>
      <c r="X195" s="356"/>
      <c r="Y195" s="356"/>
      <c r="Z195" s="357"/>
      <c r="AD195" s="216"/>
    </row>
    <row r="196" spans="1:35" s="200" customFormat="1" ht="12.6" customHeight="1">
      <c r="A196" s="215"/>
      <c r="B196" s="212"/>
      <c r="C196" s="212"/>
      <c r="D196" s="212"/>
      <c r="E196" s="212"/>
      <c r="F196" s="447" t="s">
        <v>50</v>
      </c>
      <c r="G196" s="447"/>
      <c r="H196" s="447"/>
      <c r="I196" s="342" t="s">
        <v>51</v>
      </c>
      <c r="J196" s="343"/>
      <c r="K196" s="343"/>
      <c r="L196" s="343"/>
      <c r="M196" s="344"/>
      <c r="N196" s="340" t="s">
        <v>14</v>
      </c>
      <c r="O196" s="340"/>
      <c r="P196" s="458">
        <f>0.27+0.145*2</f>
        <v>0.56000000000000005</v>
      </c>
      <c r="Q196" s="458"/>
      <c r="R196" s="458"/>
      <c r="S196" s="202"/>
      <c r="T196" s="358"/>
      <c r="U196" s="359"/>
      <c r="V196" s="360"/>
      <c r="W196" s="358"/>
      <c r="X196" s="359"/>
      <c r="Y196" s="359"/>
      <c r="Z196" s="360"/>
      <c r="AD196" s="216"/>
    </row>
    <row r="197" spans="1:35" ht="12.95" customHeight="1">
      <c r="A197" s="232"/>
      <c r="B197" s="227"/>
      <c r="C197" s="227"/>
      <c r="D197" s="227"/>
      <c r="E197" s="227"/>
      <c r="F197" s="232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8"/>
      <c r="AA197" s="227"/>
      <c r="AB197" s="227"/>
      <c r="AC197" s="227"/>
      <c r="AD197" s="228"/>
    </row>
    <row r="198" spans="1:35" ht="12.95" customHeight="1">
      <c r="A198" s="251"/>
      <c r="F198" s="251"/>
      <c r="Z198" s="221"/>
      <c r="AD198" s="221"/>
    </row>
    <row r="199" spans="1:35" ht="12.95" customHeight="1">
      <c r="A199" s="251"/>
      <c r="F199" s="251"/>
      <c r="Z199" s="221"/>
      <c r="AD199" s="221"/>
    </row>
    <row r="200" spans="1:35" ht="12.95" customHeight="1">
      <c r="A200" s="330" t="s">
        <v>291</v>
      </c>
      <c r="B200" s="349"/>
      <c r="C200" s="349"/>
      <c r="D200" s="349"/>
      <c r="E200" s="332"/>
      <c r="F200" s="7"/>
      <c r="G200" s="350" t="s">
        <v>54</v>
      </c>
      <c r="H200" s="350"/>
      <c r="I200" s="350"/>
      <c r="J200" s="350"/>
      <c r="K200" s="350"/>
      <c r="L200" s="350"/>
      <c r="M200" s="350"/>
      <c r="N200" s="7"/>
      <c r="O200" s="7"/>
      <c r="P200" s="10"/>
      <c r="Q200" s="37"/>
      <c r="R200" s="37"/>
      <c r="S200" s="37"/>
      <c r="T200" s="7"/>
      <c r="U200" s="200"/>
      <c r="V200" s="7"/>
      <c r="Z200" s="221"/>
      <c r="AA200" s="10"/>
      <c r="AB200" s="10"/>
      <c r="AC200" s="200"/>
      <c r="AD200" s="216"/>
    </row>
    <row r="201" spans="1:35" ht="12.95" customHeight="1">
      <c r="A201" s="351" t="s">
        <v>55</v>
      </c>
      <c r="B201" s="352"/>
      <c r="C201" s="352"/>
      <c r="D201" s="352"/>
      <c r="E201" s="334"/>
      <c r="F201" s="7"/>
      <c r="G201" s="7"/>
      <c r="H201" s="7"/>
      <c r="I201" s="7" t="s">
        <v>56</v>
      </c>
      <c r="J201" s="353">
        <v>0.3</v>
      </c>
      <c r="K201" s="353"/>
      <c r="L201" s="7" t="s">
        <v>14</v>
      </c>
      <c r="M201" s="7"/>
      <c r="N201" s="7"/>
      <c r="O201" s="7"/>
      <c r="P201" s="10"/>
      <c r="Q201" s="37"/>
      <c r="R201" s="37"/>
      <c r="S201" s="37"/>
      <c r="T201" s="7"/>
      <c r="U201" s="200"/>
      <c r="V201" s="7"/>
      <c r="Z201" s="221"/>
      <c r="AA201" s="10"/>
      <c r="AB201" s="200"/>
      <c r="AC201" s="200"/>
      <c r="AD201" s="87" t="s">
        <v>25</v>
      </c>
    </row>
    <row r="202" spans="1:35" s="200" customFormat="1" ht="12.95" customHeight="1">
      <c r="A202" s="369" t="s">
        <v>57</v>
      </c>
      <c r="B202" s="352"/>
      <c r="C202" s="352"/>
      <c r="D202" s="352"/>
      <c r="E202" s="33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10"/>
      <c r="Q202" s="37"/>
      <c r="R202" s="37"/>
      <c r="S202" s="37"/>
      <c r="T202" s="7"/>
      <c r="V202" s="7"/>
      <c r="W202" s="220"/>
      <c r="X202" s="220"/>
      <c r="Y202" s="220"/>
      <c r="Z202" s="221"/>
      <c r="AA202" s="482">
        <f>P203</f>
        <v>32</v>
      </c>
      <c r="AB202" s="482"/>
      <c r="AC202" s="482"/>
      <c r="AD202" s="216"/>
    </row>
    <row r="203" spans="1:35" s="200" customFormat="1" ht="12.95" customHeight="1">
      <c r="A203" s="351"/>
      <c r="B203" s="352"/>
      <c r="C203" s="352"/>
      <c r="D203" s="352"/>
      <c r="E203" s="334"/>
      <c r="F203" s="7"/>
      <c r="G203" s="7"/>
      <c r="H203" s="372">
        <f>J201</f>
        <v>0.3</v>
      </c>
      <c r="I203" s="372"/>
      <c r="J203" s="372"/>
      <c r="K203" s="246" t="s">
        <v>8</v>
      </c>
      <c r="L203" s="373">
        <v>5.45E-2</v>
      </c>
      <c r="M203" s="373"/>
      <c r="N203" s="373"/>
      <c r="O203" s="246" t="s">
        <v>8</v>
      </c>
      <c r="P203" s="445">
        <f>4*4*2</f>
        <v>32</v>
      </c>
      <c r="Q203" s="445"/>
      <c r="R203" s="246" t="s">
        <v>25</v>
      </c>
      <c r="S203" s="246"/>
      <c r="T203" s="246"/>
      <c r="U203" s="246"/>
      <c r="V203" s="246"/>
      <c r="W203" s="220" t="s">
        <v>35</v>
      </c>
      <c r="X203" s="376">
        <f>ROUND(H203*L203*P203,3)</f>
        <v>0.52300000000000002</v>
      </c>
      <c r="Y203" s="376"/>
      <c r="Z203" s="377"/>
      <c r="AD203" s="59" t="s">
        <v>58</v>
      </c>
    </row>
    <row r="204" spans="1:35" s="200" customFormat="1" ht="12.95" customHeight="1">
      <c r="A204" s="215"/>
      <c r="E204" s="216"/>
      <c r="F204" s="7"/>
      <c r="G204" s="7"/>
      <c r="H204" s="217"/>
      <c r="I204" s="217"/>
      <c r="J204" s="217"/>
      <c r="K204" s="246"/>
      <c r="L204" s="218"/>
      <c r="M204" s="218"/>
      <c r="N204" s="218"/>
      <c r="O204" s="246"/>
      <c r="P204" s="247"/>
      <c r="Q204" s="246"/>
      <c r="R204" s="43"/>
      <c r="S204" s="43"/>
      <c r="T204" s="246"/>
      <c r="U204" s="246"/>
      <c r="V204" s="246"/>
      <c r="W204" s="220"/>
      <c r="X204" s="220"/>
      <c r="Y204" s="220"/>
      <c r="Z204" s="221"/>
      <c r="AA204" s="375">
        <f>X203</f>
        <v>0.52300000000000002</v>
      </c>
      <c r="AB204" s="375"/>
      <c r="AC204" s="375"/>
      <c r="AD204" s="216"/>
    </row>
    <row r="205" spans="1:35" s="200" customFormat="1" ht="12.95" customHeight="1">
      <c r="A205" s="215"/>
      <c r="B205" s="212"/>
      <c r="C205" s="212"/>
      <c r="D205" s="212"/>
      <c r="E205" s="213"/>
      <c r="F205" s="7"/>
      <c r="G205" s="35"/>
      <c r="H205" s="246"/>
      <c r="I205" s="246"/>
      <c r="J205" s="220"/>
      <c r="K205" s="367" t="s">
        <v>39</v>
      </c>
      <c r="L205" s="367"/>
      <c r="M205" s="367"/>
      <c r="N205" s="367"/>
      <c r="O205" s="367"/>
      <c r="P205" s="367"/>
      <c r="Q205" s="367"/>
      <c r="R205" s="367"/>
      <c r="S205" s="208"/>
      <c r="T205" s="7"/>
      <c r="V205" s="40"/>
      <c r="X205" s="220"/>
      <c r="Y205" s="220" t="s">
        <v>40</v>
      </c>
      <c r="Z205" s="221"/>
      <c r="AC205" s="37"/>
      <c r="AD205" s="216"/>
    </row>
    <row r="206" spans="1:35" s="200" customFormat="1" ht="12.95" customHeight="1">
      <c r="A206" s="215"/>
      <c r="B206" s="212"/>
      <c r="C206" s="212"/>
      <c r="D206" s="212"/>
      <c r="E206" s="213"/>
      <c r="F206" s="341" t="s">
        <v>41</v>
      </c>
      <c r="G206" s="341"/>
      <c r="H206" s="341"/>
      <c r="I206" s="342" t="s">
        <v>42</v>
      </c>
      <c r="J206" s="343"/>
      <c r="K206" s="343"/>
      <c r="L206" s="343"/>
      <c r="M206" s="344"/>
      <c r="N206" s="340" t="s">
        <v>43</v>
      </c>
      <c r="O206" s="340"/>
      <c r="P206" s="458" t="s">
        <v>44</v>
      </c>
      <c r="Q206" s="458"/>
      <c r="R206" s="458"/>
      <c r="S206" s="250"/>
      <c r="T206" s="340" t="s">
        <v>45</v>
      </c>
      <c r="U206" s="340"/>
      <c r="V206" s="340"/>
      <c r="W206" s="340"/>
      <c r="X206" s="340" t="s">
        <v>20</v>
      </c>
      <c r="Y206" s="340"/>
      <c r="Z206" s="340"/>
      <c r="AD206" s="216"/>
    </row>
    <row r="207" spans="1:35" s="200" customFormat="1" ht="12.95" customHeight="1">
      <c r="A207" s="215"/>
      <c r="B207" s="212"/>
      <c r="C207" s="212"/>
      <c r="D207" s="212"/>
      <c r="E207" s="213"/>
      <c r="F207" s="341" t="s">
        <v>59</v>
      </c>
      <c r="G207" s="341"/>
      <c r="H207" s="341"/>
      <c r="I207" s="342" t="s">
        <v>60</v>
      </c>
      <c r="J207" s="343"/>
      <c r="K207" s="343"/>
      <c r="L207" s="343"/>
      <c r="M207" s="344"/>
      <c r="N207" s="340" t="s">
        <v>25</v>
      </c>
      <c r="O207" s="340"/>
      <c r="P207" s="341" t="s">
        <v>164</v>
      </c>
      <c r="Q207" s="341"/>
      <c r="R207" s="341"/>
      <c r="S207" s="201"/>
      <c r="T207" s="348">
        <v>1</v>
      </c>
      <c r="U207" s="348"/>
      <c r="V207" s="348"/>
      <c r="W207" s="348"/>
      <c r="X207" s="340"/>
      <c r="Y207" s="340"/>
      <c r="Z207" s="340"/>
      <c r="AD207" s="216"/>
    </row>
    <row r="208" spans="1:35" s="200" customFormat="1" ht="12.95" customHeight="1">
      <c r="A208" s="215"/>
      <c r="B208" s="212"/>
      <c r="C208" s="212"/>
      <c r="D208" s="212"/>
      <c r="E208" s="213"/>
      <c r="F208" s="341" t="s">
        <v>52</v>
      </c>
      <c r="G208" s="341"/>
      <c r="H208" s="341"/>
      <c r="I208" s="342" t="s">
        <v>53</v>
      </c>
      <c r="J208" s="343"/>
      <c r="K208" s="343"/>
      <c r="L208" s="343"/>
      <c r="M208" s="344"/>
      <c r="N208" s="340" t="s">
        <v>25</v>
      </c>
      <c r="O208" s="340"/>
      <c r="P208" s="358"/>
      <c r="Q208" s="359"/>
      <c r="R208" s="360"/>
      <c r="S208" s="204"/>
      <c r="T208" s="348">
        <v>6</v>
      </c>
      <c r="U208" s="348"/>
      <c r="V208" s="348"/>
      <c r="W208" s="348"/>
      <c r="X208" s="340"/>
      <c r="Y208" s="340"/>
      <c r="Z208" s="340"/>
      <c r="AC208" s="37"/>
      <c r="AD208" s="216"/>
    </row>
    <row r="209" spans="1:30" s="200" customFormat="1" ht="12.95" customHeight="1">
      <c r="A209" s="215"/>
      <c r="B209" s="212"/>
      <c r="C209" s="212"/>
      <c r="D209" s="212"/>
      <c r="E209" s="213"/>
      <c r="F209" s="361" t="s">
        <v>48</v>
      </c>
      <c r="G209" s="362"/>
      <c r="H209" s="363"/>
      <c r="I209" s="342" t="s">
        <v>61</v>
      </c>
      <c r="J209" s="343"/>
      <c r="K209" s="343"/>
      <c r="L209" s="343"/>
      <c r="M209" s="344"/>
      <c r="N209" s="340" t="s">
        <v>25</v>
      </c>
      <c r="O209" s="340"/>
      <c r="P209" s="358"/>
      <c r="Q209" s="359"/>
      <c r="R209" s="360"/>
      <c r="S209" s="204"/>
      <c r="T209" s="348">
        <v>6</v>
      </c>
      <c r="U209" s="348"/>
      <c r="V209" s="348"/>
      <c r="W209" s="348"/>
      <c r="X209" s="340"/>
      <c r="Y209" s="340"/>
      <c r="Z209" s="340"/>
      <c r="AC209" s="37"/>
      <c r="AD209" s="216"/>
    </row>
    <row r="210" spans="1:30" s="200" customFormat="1" ht="12.95" customHeight="1">
      <c r="A210" s="215"/>
      <c r="B210" s="212"/>
      <c r="C210" s="212"/>
      <c r="D210" s="212"/>
      <c r="E210" s="213"/>
      <c r="F210" s="364"/>
      <c r="G210" s="365"/>
      <c r="H210" s="366"/>
      <c r="I210" s="342" t="s">
        <v>62</v>
      </c>
      <c r="J210" s="343"/>
      <c r="K210" s="343"/>
      <c r="L210" s="343"/>
      <c r="M210" s="344"/>
      <c r="N210" s="340" t="s">
        <v>25</v>
      </c>
      <c r="O210" s="340"/>
      <c r="P210" s="358"/>
      <c r="Q210" s="359"/>
      <c r="R210" s="360"/>
      <c r="S210" s="203"/>
      <c r="T210" s="355">
        <v>6</v>
      </c>
      <c r="U210" s="356"/>
      <c r="V210" s="356"/>
      <c r="W210" s="357"/>
      <c r="X210" s="340"/>
      <c r="Y210" s="340"/>
      <c r="Z210" s="340"/>
      <c r="AC210" s="37"/>
      <c r="AD210" s="216"/>
    </row>
    <row r="211" spans="1:30" s="200" customFormat="1" ht="12.95" customHeight="1">
      <c r="A211" s="255"/>
      <c r="B211" s="256"/>
      <c r="C211" s="256"/>
      <c r="D211" s="256"/>
      <c r="E211" s="257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30"/>
      <c r="X211" s="30"/>
      <c r="Y211" s="256"/>
      <c r="Z211" s="257"/>
      <c r="AA211" s="256"/>
      <c r="AB211" s="256"/>
      <c r="AC211" s="256"/>
      <c r="AD211" s="257"/>
    </row>
    <row r="212" spans="1:30" ht="12.95" customHeight="1">
      <c r="A212" s="252"/>
      <c r="B212" s="253"/>
      <c r="C212" s="253"/>
      <c r="D212" s="253"/>
      <c r="E212" s="253"/>
      <c r="F212" s="179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1"/>
      <c r="X212" s="181"/>
      <c r="Y212" s="253"/>
      <c r="Z212" s="254"/>
      <c r="AA212" s="252"/>
      <c r="AB212" s="253"/>
      <c r="AC212" s="253"/>
      <c r="AD212" s="254"/>
    </row>
    <row r="213" spans="1:30" ht="12.95" customHeight="1">
      <c r="A213" s="383" t="s">
        <v>292</v>
      </c>
      <c r="B213" s="349"/>
      <c r="C213" s="349"/>
      <c r="D213" s="349"/>
      <c r="E213" s="332"/>
      <c r="F213" s="84"/>
      <c r="G213" s="200" t="s">
        <v>122</v>
      </c>
      <c r="H213" s="384">
        <v>2.7</v>
      </c>
      <c r="I213" s="384"/>
      <c r="J213" s="384"/>
      <c r="K213" s="7" t="s">
        <v>119</v>
      </c>
      <c r="L213" s="7"/>
      <c r="M213" s="7"/>
      <c r="N213" s="7"/>
      <c r="O213" s="7"/>
      <c r="P213" s="7"/>
      <c r="Q213" s="7" t="s">
        <v>130</v>
      </c>
      <c r="R213" s="7"/>
      <c r="S213" s="7"/>
      <c r="T213" s="200"/>
      <c r="U213" s="200"/>
      <c r="V213" s="200"/>
      <c r="W213" s="10"/>
      <c r="X213" s="10"/>
      <c r="Y213" s="200"/>
      <c r="Z213" s="216"/>
      <c r="AA213" s="215"/>
      <c r="AB213" s="200"/>
      <c r="AC213" s="200"/>
      <c r="AD213" s="216"/>
    </row>
    <row r="214" spans="1:30" ht="12.95" customHeight="1">
      <c r="A214" s="330"/>
      <c r="B214" s="349"/>
      <c r="C214" s="349"/>
      <c r="D214" s="349"/>
      <c r="E214" s="332"/>
      <c r="F214" s="8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10"/>
      <c r="X214" s="10"/>
      <c r="Y214" s="200"/>
      <c r="Z214" s="216"/>
      <c r="AA214" s="215"/>
      <c r="AB214" s="200"/>
      <c r="AC214" s="200"/>
      <c r="AD214" s="216" t="s">
        <v>119</v>
      </c>
    </row>
    <row r="215" spans="1:30" ht="12.95" customHeight="1">
      <c r="A215" s="369" t="s">
        <v>281</v>
      </c>
      <c r="B215" s="352"/>
      <c r="C215" s="352"/>
      <c r="D215" s="352"/>
      <c r="E215" s="334"/>
      <c r="F215" s="84"/>
      <c r="G215" s="7"/>
      <c r="H215" s="378">
        <f>H213</f>
        <v>2.7</v>
      </c>
      <c r="I215" s="379"/>
      <c r="J215" s="379"/>
      <c r="K215" s="200" t="s">
        <v>117</v>
      </c>
      <c r="L215" s="182">
        <v>34</v>
      </c>
      <c r="M215" s="380" t="s">
        <v>132</v>
      </c>
      <c r="N215" s="380"/>
      <c r="O215" s="7"/>
      <c r="P215" s="7"/>
      <c r="Q215" s="7"/>
      <c r="R215" s="7"/>
      <c r="S215" s="7"/>
      <c r="T215" s="7"/>
      <c r="U215" s="7"/>
      <c r="V215" s="7"/>
      <c r="W215" s="200" t="s">
        <v>113</v>
      </c>
      <c r="X215" s="352">
        <f>H215*L215</f>
        <v>91.800000000000011</v>
      </c>
      <c r="Y215" s="352"/>
      <c r="Z215" s="334"/>
      <c r="AA215" s="335">
        <f>ROUNDUP(X215,0)</f>
        <v>92</v>
      </c>
      <c r="AB215" s="375"/>
      <c r="AC215" s="375"/>
      <c r="AD215" s="216"/>
    </row>
    <row r="216" spans="1:30" ht="12.95" customHeight="1">
      <c r="A216" s="215"/>
      <c r="B216" s="200"/>
      <c r="C216" s="200"/>
      <c r="D216" s="200"/>
      <c r="E216" s="200"/>
      <c r="F216" s="84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15"/>
      <c r="AB216" s="200"/>
      <c r="AC216" s="352" t="s">
        <v>134</v>
      </c>
      <c r="AD216" s="334"/>
    </row>
    <row r="217" spans="1:30" ht="12.95" customHeight="1">
      <c r="A217" s="215"/>
      <c r="B217" s="200"/>
      <c r="C217" s="200"/>
      <c r="D217" s="200"/>
      <c r="E217" s="200"/>
      <c r="F217" s="84"/>
      <c r="G217" s="7"/>
      <c r="H217" s="7"/>
      <c r="I217" s="378">
        <f>H215</f>
        <v>2.7</v>
      </c>
      <c r="J217" s="379"/>
      <c r="K217" s="200" t="s">
        <v>117</v>
      </c>
      <c r="L217" s="223">
        <f>L215</f>
        <v>34</v>
      </c>
      <c r="M217" s="380" t="s">
        <v>132</v>
      </c>
      <c r="N217" s="380"/>
      <c r="O217" s="223" t="s">
        <v>117</v>
      </c>
      <c r="P217" s="381">
        <v>17.899999999999999</v>
      </c>
      <c r="Q217" s="381"/>
      <c r="R217" s="379" t="s">
        <v>133</v>
      </c>
      <c r="S217" s="379"/>
      <c r="T217" s="7"/>
      <c r="U217" s="7"/>
      <c r="V217" s="7"/>
      <c r="W217" s="200" t="s">
        <v>113</v>
      </c>
      <c r="X217" s="352">
        <f>ROUND(I217*L217*P217/1000,3)</f>
        <v>1.643</v>
      </c>
      <c r="Y217" s="352"/>
      <c r="Z217" s="334"/>
      <c r="AA217" s="335">
        <f>X217</f>
        <v>1.643</v>
      </c>
      <c r="AB217" s="375"/>
      <c r="AC217" s="375"/>
      <c r="AD217" s="216"/>
    </row>
    <row r="218" spans="1:30" ht="12.95" customHeight="1">
      <c r="A218" s="255"/>
      <c r="B218" s="256"/>
      <c r="C218" s="256"/>
      <c r="D218" s="256"/>
      <c r="E218" s="256"/>
      <c r="F218" s="10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30"/>
      <c r="X218" s="30"/>
      <c r="Y218" s="256"/>
      <c r="Z218" s="257"/>
      <c r="AA218" s="255"/>
      <c r="AB218" s="256"/>
      <c r="AC218" s="256"/>
      <c r="AD218" s="257"/>
    </row>
    <row r="219" spans="1:30" ht="12.95" customHeight="1">
      <c r="A219" s="251"/>
      <c r="F219" s="251"/>
      <c r="Z219" s="221"/>
      <c r="AD219" s="221"/>
    </row>
    <row r="220" spans="1:30" ht="12.95" customHeight="1">
      <c r="A220" s="330" t="s">
        <v>293</v>
      </c>
      <c r="B220" s="349"/>
      <c r="C220" s="349"/>
      <c r="D220" s="349"/>
      <c r="E220" s="332"/>
      <c r="F220" s="7"/>
      <c r="G220" s="350" t="s">
        <v>277</v>
      </c>
      <c r="H220" s="350"/>
      <c r="I220" s="350"/>
      <c r="J220" s="350"/>
      <c r="K220" s="350"/>
      <c r="L220" s="350"/>
      <c r="M220" s="350"/>
      <c r="N220" s="7"/>
      <c r="O220" s="7"/>
      <c r="P220" s="10"/>
      <c r="Q220" s="37"/>
      <c r="R220" s="37"/>
      <c r="S220" s="37"/>
      <c r="T220" s="7"/>
      <c r="U220" s="200"/>
      <c r="V220" s="7"/>
      <c r="Z220" s="221"/>
      <c r="AA220" s="200"/>
      <c r="AB220" s="200"/>
      <c r="AC220" s="200"/>
      <c r="AD220" s="216"/>
    </row>
    <row r="221" spans="1:30" ht="12.95" customHeight="1">
      <c r="A221" s="351" t="s">
        <v>55</v>
      </c>
      <c r="B221" s="352"/>
      <c r="C221" s="352"/>
      <c r="D221" s="352"/>
      <c r="E221" s="334"/>
      <c r="F221" s="7"/>
      <c r="G221" s="7"/>
      <c r="H221" s="7"/>
      <c r="I221" s="7" t="s">
        <v>56</v>
      </c>
      <c r="J221" s="353">
        <v>29.3</v>
      </c>
      <c r="K221" s="353"/>
      <c r="L221" s="7" t="s">
        <v>278</v>
      </c>
      <c r="M221" s="7"/>
      <c r="N221" s="246" t="s">
        <v>8</v>
      </c>
      <c r="O221" s="337">
        <f>P223</f>
        <v>4</v>
      </c>
      <c r="P221" s="337"/>
      <c r="Q221" s="246" t="s">
        <v>25</v>
      </c>
      <c r="R221" s="37"/>
      <c r="S221" s="37"/>
      <c r="T221" s="7"/>
      <c r="U221" s="200"/>
      <c r="V221" s="7"/>
      <c r="X221" s="185"/>
      <c r="Y221" s="185"/>
      <c r="Z221" s="186"/>
      <c r="AA221" s="368">
        <f>O221</f>
        <v>4</v>
      </c>
      <c r="AB221" s="339"/>
      <c r="AC221" s="339"/>
      <c r="AD221" s="87" t="s">
        <v>25</v>
      </c>
    </row>
    <row r="222" spans="1:30" ht="12.95" customHeight="1">
      <c r="A222" s="369" t="s">
        <v>276</v>
      </c>
      <c r="B222" s="370"/>
      <c r="C222" s="370"/>
      <c r="D222" s="370"/>
      <c r="E222" s="371"/>
      <c r="F222" s="7"/>
      <c r="G222" s="7"/>
      <c r="H222" s="7"/>
      <c r="I222" s="7"/>
      <c r="J222" s="183"/>
      <c r="K222" s="183"/>
      <c r="L222" s="7"/>
      <c r="M222" s="7"/>
      <c r="N222" s="246"/>
      <c r="O222" s="184"/>
      <c r="P222" s="184"/>
      <c r="Q222" s="246"/>
      <c r="R222" s="37"/>
      <c r="S222" s="37"/>
      <c r="T222" s="7"/>
      <c r="U222" s="200"/>
      <c r="V222" s="7"/>
      <c r="X222" s="185"/>
      <c r="Y222" s="185"/>
      <c r="Z222" s="186"/>
      <c r="AA222" s="187"/>
      <c r="AB222" s="188"/>
      <c r="AC222" s="188"/>
      <c r="AD222" s="87"/>
    </row>
    <row r="223" spans="1:30" ht="12.95" customHeight="1">
      <c r="A223" s="369"/>
      <c r="B223" s="370"/>
      <c r="C223" s="370"/>
      <c r="D223" s="370"/>
      <c r="E223" s="371"/>
      <c r="F223" s="7"/>
      <c r="G223" s="7"/>
      <c r="H223" s="372">
        <f>J221</f>
        <v>29.3</v>
      </c>
      <c r="I223" s="372"/>
      <c r="J223" s="372"/>
      <c r="K223" s="246" t="s">
        <v>8</v>
      </c>
      <c r="L223" s="373">
        <v>5.45E-2</v>
      </c>
      <c r="M223" s="373"/>
      <c r="N223" s="373"/>
      <c r="O223" s="246" t="s">
        <v>8</v>
      </c>
      <c r="P223" s="374">
        <v>4</v>
      </c>
      <c r="Q223" s="374"/>
      <c r="R223" s="246" t="s">
        <v>25</v>
      </c>
      <c r="S223" s="246"/>
      <c r="T223" s="246"/>
      <c r="U223" s="246"/>
      <c r="V223" s="246"/>
      <c r="W223" s="220" t="s">
        <v>35</v>
      </c>
      <c r="X223" s="376">
        <f>ROUND(H223*L223*P223,3)</f>
        <v>6.3869999999999996</v>
      </c>
      <c r="Y223" s="376"/>
      <c r="Z223" s="377"/>
      <c r="AA223" s="375">
        <f>X223+X224</f>
        <v>6.3869999999999996</v>
      </c>
      <c r="AB223" s="375"/>
      <c r="AC223" s="375"/>
      <c r="AD223" s="59" t="s">
        <v>58</v>
      </c>
    </row>
    <row r="224" spans="1:30" ht="12.95" customHeight="1">
      <c r="A224" s="215"/>
      <c r="B224" s="200"/>
      <c r="C224" s="200"/>
      <c r="D224" s="200"/>
      <c r="E224" s="216"/>
      <c r="F224" s="7"/>
      <c r="G224" s="7"/>
      <c r="H224" s="372"/>
      <c r="I224" s="372"/>
      <c r="J224" s="372"/>
      <c r="K224" s="246"/>
      <c r="L224" s="373"/>
      <c r="M224" s="373"/>
      <c r="N224" s="373"/>
      <c r="O224" s="246"/>
      <c r="P224" s="374"/>
      <c r="Q224" s="374"/>
      <c r="R224" s="246"/>
      <c r="S224" s="246"/>
      <c r="T224" s="246"/>
      <c r="U224" s="246"/>
      <c r="V224" s="246"/>
      <c r="X224" s="376"/>
      <c r="Y224" s="376"/>
      <c r="Z224" s="377"/>
      <c r="AA224" s="200"/>
      <c r="AB224" s="200"/>
      <c r="AC224" s="200"/>
      <c r="AD224" s="59"/>
    </row>
    <row r="225" spans="1:30" ht="12.95" customHeight="1">
      <c r="A225" s="215"/>
      <c r="B225" s="212"/>
      <c r="C225" s="212"/>
      <c r="D225" s="212"/>
      <c r="E225" s="213"/>
      <c r="F225" s="7"/>
      <c r="G225" s="35"/>
      <c r="H225" s="246"/>
      <c r="I225" s="246"/>
      <c r="K225" s="367" t="s">
        <v>39</v>
      </c>
      <c r="L225" s="367"/>
      <c r="M225" s="367"/>
      <c r="N225" s="367"/>
      <c r="O225" s="367"/>
      <c r="P225" s="367"/>
      <c r="Q225" s="367"/>
      <c r="R225" s="367"/>
      <c r="S225" s="208"/>
      <c r="T225" s="7"/>
      <c r="U225" s="200"/>
      <c r="V225" s="40"/>
      <c r="W225" s="200"/>
      <c r="Y225" s="220" t="s">
        <v>40</v>
      </c>
      <c r="Z225" s="221"/>
      <c r="AA225" s="200"/>
      <c r="AB225" s="200"/>
      <c r="AC225" s="37"/>
      <c r="AD225" s="216"/>
    </row>
    <row r="226" spans="1:30" ht="12.95" customHeight="1">
      <c r="A226" s="215"/>
      <c r="B226" s="212"/>
      <c r="C226" s="212"/>
      <c r="D226" s="212"/>
      <c r="E226" s="213"/>
      <c r="F226" s="341" t="s">
        <v>41</v>
      </c>
      <c r="G226" s="341"/>
      <c r="H226" s="341"/>
      <c r="I226" s="342" t="s">
        <v>42</v>
      </c>
      <c r="J226" s="343"/>
      <c r="K226" s="343"/>
      <c r="L226" s="343"/>
      <c r="M226" s="344"/>
      <c r="N226" s="340" t="s">
        <v>43</v>
      </c>
      <c r="O226" s="340"/>
      <c r="P226" s="342" t="s">
        <v>44</v>
      </c>
      <c r="Q226" s="343"/>
      <c r="R226" s="343"/>
      <c r="S226" s="344"/>
      <c r="T226" s="340" t="s">
        <v>45</v>
      </c>
      <c r="U226" s="340"/>
      <c r="V226" s="340"/>
      <c r="W226" s="340"/>
      <c r="X226" s="340" t="s">
        <v>20</v>
      </c>
      <c r="Y226" s="340"/>
      <c r="Z226" s="340"/>
      <c r="AA226" s="200"/>
      <c r="AB226" s="200"/>
      <c r="AC226" s="200"/>
      <c r="AD226" s="216"/>
    </row>
    <row r="227" spans="1:30" ht="12.95" customHeight="1">
      <c r="A227" s="215"/>
      <c r="B227" s="212"/>
      <c r="C227" s="212"/>
      <c r="D227" s="212"/>
      <c r="E227" s="213"/>
      <c r="F227" s="341" t="s">
        <v>59</v>
      </c>
      <c r="G227" s="341"/>
      <c r="H227" s="341"/>
      <c r="I227" s="342" t="s">
        <v>279</v>
      </c>
      <c r="J227" s="343"/>
      <c r="K227" s="343"/>
      <c r="L227" s="343"/>
      <c r="M227" s="344"/>
      <c r="N227" s="340" t="s">
        <v>25</v>
      </c>
      <c r="O227" s="340"/>
      <c r="P227" s="345" t="s">
        <v>280</v>
      </c>
      <c r="Q227" s="346"/>
      <c r="R227" s="346"/>
      <c r="S227" s="347"/>
      <c r="T227" s="348">
        <v>1</v>
      </c>
      <c r="U227" s="348"/>
      <c r="V227" s="348"/>
      <c r="W227" s="348"/>
      <c r="X227" s="340"/>
      <c r="Y227" s="340"/>
      <c r="Z227" s="340"/>
      <c r="AA227" s="200"/>
      <c r="AB227" s="200"/>
      <c r="AC227" s="200"/>
      <c r="AD227" s="216"/>
    </row>
    <row r="228" spans="1:30" ht="12.95" customHeight="1">
      <c r="A228" s="215"/>
      <c r="B228" s="212"/>
      <c r="C228" s="212"/>
      <c r="D228" s="212"/>
      <c r="E228" s="213"/>
      <c r="F228" s="341" t="s">
        <v>52</v>
      </c>
      <c r="G228" s="341"/>
      <c r="H228" s="341"/>
      <c r="I228" s="342" t="s">
        <v>53</v>
      </c>
      <c r="J228" s="343"/>
      <c r="K228" s="343"/>
      <c r="L228" s="343"/>
      <c r="M228" s="344"/>
      <c r="N228" s="340" t="s">
        <v>25</v>
      </c>
      <c r="O228" s="340"/>
      <c r="P228" s="358"/>
      <c r="Q228" s="359"/>
      <c r="R228" s="359"/>
      <c r="S228" s="360"/>
      <c r="T228" s="348">
        <v>6</v>
      </c>
      <c r="U228" s="348"/>
      <c r="V228" s="348"/>
      <c r="W228" s="348"/>
      <c r="X228" s="340"/>
      <c r="Y228" s="340"/>
      <c r="Z228" s="340"/>
      <c r="AA228" s="200"/>
      <c r="AB228" s="200"/>
      <c r="AC228" s="37"/>
      <c r="AD228" s="216"/>
    </row>
    <row r="229" spans="1:30" ht="12.95" customHeight="1">
      <c r="A229" s="215"/>
      <c r="B229" s="212"/>
      <c r="C229" s="212"/>
      <c r="D229" s="212"/>
      <c r="E229" s="213"/>
      <c r="F229" s="361" t="s">
        <v>48</v>
      </c>
      <c r="G229" s="362"/>
      <c r="H229" s="363"/>
      <c r="I229" s="342" t="s">
        <v>282</v>
      </c>
      <c r="J229" s="343"/>
      <c r="K229" s="343"/>
      <c r="L229" s="343"/>
      <c r="M229" s="344"/>
      <c r="N229" s="340" t="s">
        <v>25</v>
      </c>
      <c r="O229" s="340"/>
      <c r="P229" s="358"/>
      <c r="Q229" s="359"/>
      <c r="R229" s="359"/>
      <c r="S229" s="360"/>
      <c r="T229" s="348">
        <v>6</v>
      </c>
      <c r="U229" s="348"/>
      <c r="V229" s="348"/>
      <c r="W229" s="348"/>
      <c r="X229" s="340"/>
      <c r="Y229" s="340"/>
      <c r="Z229" s="340"/>
      <c r="AA229" s="200"/>
      <c r="AB229" s="200"/>
      <c r="AC229" s="37"/>
      <c r="AD229" s="216"/>
    </row>
    <row r="230" spans="1:30" ht="12.95" customHeight="1">
      <c r="A230" s="215"/>
      <c r="B230" s="212"/>
      <c r="C230" s="212"/>
      <c r="D230" s="212"/>
      <c r="E230" s="213"/>
      <c r="F230" s="364"/>
      <c r="G230" s="365"/>
      <c r="H230" s="366"/>
      <c r="I230" s="342" t="s">
        <v>73</v>
      </c>
      <c r="J230" s="343"/>
      <c r="K230" s="343"/>
      <c r="L230" s="343"/>
      <c r="M230" s="344"/>
      <c r="N230" s="340" t="s">
        <v>25</v>
      </c>
      <c r="O230" s="340"/>
      <c r="P230" s="358"/>
      <c r="Q230" s="359"/>
      <c r="R230" s="359"/>
      <c r="S230" s="360"/>
      <c r="T230" s="355">
        <v>6</v>
      </c>
      <c r="U230" s="356"/>
      <c r="V230" s="356"/>
      <c r="W230" s="357"/>
      <c r="X230" s="340"/>
      <c r="Y230" s="340"/>
      <c r="Z230" s="340"/>
      <c r="AA230" s="200"/>
      <c r="AB230" s="200"/>
      <c r="AC230" s="37"/>
      <c r="AD230" s="216"/>
    </row>
    <row r="231" spans="1:30" ht="12.95" customHeight="1">
      <c r="A231" s="255"/>
      <c r="B231" s="256"/>
      <c r="C231" s="256"/>
      <c r="D231" s="256"/>
      <c r="E231" s="257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30"/>
      <c r="X231" s="30"/>
      <c r="Y231" s="256"/>
      <c r="Z231" s="257"/>
      <c r="AA231" s="256"/>
      <c r="AB231" s="256"/>
      <c r="AC231" s="256"/>
      <c r="AD231" s="257"/>
    </row>
    <row r="232" spans="1:30" ht="12.95" customHeight="1">
      <c r="A232" s="269"/>
      <c r="B232" s="270"/>
      <c r="C232" s="270"/>
      <c r="D232" s="270"/>
      <c r="E232" s="271"/>
      <c r="F232" s="269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1"/>
      <c r="AA232" s="269"/>
      <c r="AB232" s="270"/>
      <c r="AC232" s="270"/>
      <c r="AD232" s="271"/>
    </row>
    <row r="233" spans="1:30" ht="12.95" customHeight="1">
      <c r="A233" s="330" t="s">
        <v>332</v>
      </c>
      <c r="B233" s="331"/>
      <c r="C233" s="331"/>
      <c r="D233" s="331"/>
      <c r="E233" s="332"/>
      <c r="F233" s="273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80"/>
      <c r="X233" s="280"/>
      <c r="Y233" s="279"/>
      <c r="Z233" s="265"/>
      <c r="AA233" s="264"/>
      <c r="AB233" s="279"/>
      <c r="AC233" s="279"/>
      <c r="AD233" s="87" t="s">
        <v>25</v>
      </c>
    </row>
    <row r="234" spans="1:30" ht="12.95" customHeight="1">
      <c r="A234" s="275"/>
      <c r="B234" s="277"/>
      <c r="C234" s="277"/>
      <c r="D234" s="277"/>
      <c r="E234" s="276"/>
      <c r="F234" s="273"/>
      <c r="G234" s="281" t="s">
        <v>333</v>
      </c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9" t="s">
        <v>113</v>
      </c>
      <c r="X234" s="333">
        <v>4</v>
      </c>
      <c r="Y234" s="333"/>
      <c r="Z234" s="334"/>
      <c r="AA234" s="335">
        <f>ROUNDUP(X234,0)</f>
        <v>4</v>
      </c>
      <c r="AB234" s="336"/>
      <c r="AC234" s="336"/>
      <c r="AD234" s="265"/>
    </row>
    <row r="235" spans="1:30" ht="12.95" customHeight="1">
      <c r="A235" s="273"/>
      <c r="B235" s="278"/>
      <c r="C235" s="278"/>
      <c r="D235" s="278"/>
      <c r="E235" s="266"/>
      <c r="F235" s="273"/>
      <c r="G235" s="281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80"/>
      <c r="X235" s="280"/>
      <c r="Y235" s="279"/>
      <c r="Z235" s="265"/>
      <c r="AA235" s="264"/>
      <c r="AB235" s="279"/>
      <c r="AC235" s="279"/>
      <c r="AD235" s="87" t="s">
        <v>25</v>
      </c>
    </row>
    <row r="236" spans="1:30" ht="12.95" customHeight="1">
      <c r="A236" s="273"/>
      <c r="B236" s="278"/>
      <c r="C236" s="278"/>
      <c r="D236" s="278"/>
      <c r="E236" s="266"/>
      <c r="F236" s="273"/>
      <c r="G236" s="281" t="s">
        <v>334</v>
      </c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9" t="s">
        <v>113</v>
      </c>
      <c r="X236" s="333">
        <v>4</v>
      </c>
      <c r="Y236" s="333"/>
      <c r="Z236" s="334"/>
      <c r="AA236" s="335">
        <f>ROUNDUP(X236,0)</f>
        <v>4</v>
      </c>
      <c r="AB236" s="336"/>
      <c r="AC236" s="336"/>
      <c r="AD236" s="87"/>
    </row>
    <row r="237" spans="1:30" ht="12.95" customHeight="1">
      <c r="A237" s="273"/>
      <c r="B237" s="278"/>
      <c r="C237" s="278"/>
      <c r="D237" s="278"/>
      <c r="E237" s="266"/>
      <c r="F237" s="273"/>
      <c r="G237" s="281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80"/>
      <c r="X237" s="280"/>
      <c r="Y237" s="279"/>
      <c r="Z237" s="265"/>
      <c r="AA237" s="264"/>
      <c r="AB237" s="279"/>
      <c r="AC237" s="279"/>
      <c r="AD237" s="87" t="s">
        <v>25</v>
      </c>
    </row>
    <row r="238" spans="1:30" ht="12.95" customHeight="1">
      <c r="A238" s="273"/>
      <c r="B238" s="278"/>
      <c r="C238" s="278"/>
      <c r="D238" s="278"/>
      <c r="E238" s="266"/>
      <c r="F238" s="273"/>
      <c r="G238" s="281" t="s">
        <v>335</v>
      </c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9" t="s">
        <v>113</v>
      </c>
      <c r="X238" s="333">
        <v>14</v>
      </c>
      <c r="Y238" s="333"/>
      <c r="Z238" s="334"/>
      <c r="AA238" s="335">
        <f>ROUNDUP(X238,0)</f>
        <v>14</v>
      </c>
      <c r="AB238" s="336"/>
      <c r="AC238" s="336"/>
      <c r="AD238" s="265"/>
    </row>
    <row r="239" spans="1:30" ht="12.95" customHeight="1">
      <c r="A239" s="272"/>
      <c r="B239" s="267"/>
      <c r="C239" s="267"/>
      <c r="D239" s="267"/>
      <c r="E239" s="268"/>
      <c r="F239" s="272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8"/>
      <c r="AA239" s="272"/>
      <c r="AB239" s="267"/>
      <c r="AC239" s="267"/>
      <c r="AD239" s="268"/>
    </row>
  </sheetData>
  <mergeCells count="602">
    <mergeCell ref="A5:E6"/>
    <mergeCell ref="F6:J6"/>
    <mergeCell ref="K6:M6"/>
    <mergeCell ref="G8:L8"/>
    <mergeCell ref="H10:J10"/>
    <mergeCell ref="L10:M10"/>
    <mergeCell ref="AA16:AC16"/>
    <mergeCell ref="A1:C1"/>
    <mergeCell ref="AA1:AD1"/>
    <mergeCell ref="A2:E2"/>
    <mergeCell ref="F2:Z2"/>
    <mergeCell ref="AA2:AD2"/>
    <mergeCell ref="M3:Q4"/>
    <mergeCell ref="O10:P10"/>
    <mergeCell ref="H11:J11"/>
    <mergeCell ref="L11:M11"/>
    <mergeCell ref="O11:P11"/>
    <mergeCell ref="A19:E19"/>
    <mergeCell ref="K19:N19"/>
    <mergeCell ref="AC19:AD19"/>
    <mergeCell ref="A20:E20"/>
    <mergeCell ref="G20:L20"/>
    <mergeCell ref="AA20:AC20"/>
    <mergeCell ref="X12:Y12"/>
    <mergeCell ref="AA13:AC13"/>
    <mergeCell ref="G14:L14"/>
    <mergeCell ref="Y15:Z15"/>
    <mergeCell ref="AC15:AD15"/>
    <mergeCell ref="H16:J16"/>
    <mergeCell ref="L16:M16"/>
    <mergeCell ref="P16:Q16"/>
    <mergeCell ref="R16:T16"/>
    <mergeCell ref="X16:Z16"/>
    <mergeCell ref="K12:L12"/>
    <mergeCell ref="R12:T12"/>
    <mergeCell ref="Q25:T25"/>
    <mergeCell ref="AC25:AD25"/>
    <mergeCell ref="G26:H26"/>
    <mergeCell ref="J26:L26"/>
    <mergeCell ref="Q26:T26"/>
    <mergeCell ref="X26:Z26"/>
    <mergeCell ref="AA26:AC26"/>
    <mergeCell ref="G21:L21"/>
    <mergeCell ref="M21:O21"/>
    <mergeCell ref="G22:J22"/>
    <mergeCell ref="G23:L23"/>
    <mergeCell ref="G24:L24"/>
    <mergeCell ref="M24:O24"/>
    <mergeCell ref="AC37:AD37"/>
    <mergeCell ref="H38:X38"/>
    <mergeCell ref="AA38:AC38"/>
    <mergeCell ref="H39:L39"/>
    <mergeCell ref="M39:O39"/>
    <mergeCell ref="P39:T39"/>
    <mergeCell ref="U39:X39"/>
    <mergeCell ref="A30:E30"/>
    <mergeCell ref="H30:J30"/>
    <mergeCell ref="L30:M30"/>
    <mergeCell ref="A31:E31"/>
    <mergeCell ref="AB32:AC32"/>
    <mergeCell ref="A35:E36"/>
    <mergeCell ref="H35:J35"/>
    <mergeCell ref="H40:L40"/>
    <mergeCell ref="M40:O40"/>
    <mergeCell ref="P40:S40"/>
    <mergeCell ref="U40:X40"/>
    <mergeCell ref="H41:L41"/>
    <mergeCell ref="M41:O41"/>
    <mergeCell ref="P41:S41"/>
    <mergeCell ref="U41:X41"/>
    <mergeCell ref="H37:L37"/>
    <mergeCell ref="O37:P37"/>
    <mergeCell ref="A46:E46"/>
    <mergeCell ref="H47:J47"/>
    <mergeCell ref="H48:J48"/>
    <mergeCell ref="L48:M48"/>
    <mergeCell ref="P48:Q48"/>
    <mergeCell ref="X48:Z48"/>
    <mergeCell ref="H42:L42"/>
    <mergeCell ref="M42:O42"/>
    <mergeCell ref="P42:R42"/>
    <mergeCell ref="U42:X42"/>
    <mergeCell ref="A45:E45"/>
    <mergeCell ref="G45:K45"/>
    <mergeCell ref="AA58:AC58"/>
    <mergeCell ref="H53:J53"/>
    <mergeCell ref="H54:J54"/>
    <mergeCell ref="L54:M54"/>
    <mergeCell ref="P54:Q54"/>
    <mergeCell ref="X54:Z54"/>
    <mergeCell ref="AA54:AC54"/>
    <mergeCell ref="AA48:AC48"/>
    <mergeCell ref="H50:J50"/>
    <mergeCell ref="H51:J51"/>
    <mergeCell ref="L51:M51"/>
    <mergeCell ref="P51:Q51"/>
    <mergeCell ref="X51:Z51"/>
    <mergeCell ref="AA51:AC51"/>
    <mergeCell ref="A63:E63"/>
    <mergeCell ref="G63:K63"/>
    <mergeCell ref="J65:L65"/>
    <mergeCell ref="N65:P65"/>
    <mergeCell ref="R65:T65"/>
    <mergeCell ref="X65:Z65"/>
    <mergeCell ref="A57:E57"/>
    <mergeCell ref="G57:I57"/>
    <mergeCell ref="K57:L57"/>
    <mergeCell ref="X57:Z57"/>
    <mergeCell ref="A58:E58"/>
    <mergeCell ref="G72:H72"/>
    <mergeCell ref="I72:J72"/>
    <mergeCell ref="X74:Z74"/>
    <mergeCell ref="AA74:AC74"/>
    <mergeCell ref="X76:Z76"/>
    <mergeCell ref="AA76:AC76"/>
    <mergeCell ref="AA65:AC65"/>
    <mergeCell ref="A69:E70"/>
    <mergeCell ref="G69:M69"/>
    <mergeCell ref="B71:E71"/>
    <mergeCell ref="G71:H71"/>
    <mergeCell ref="I71:J71"/>
    <mergeCell ref="AA78:AC78"/>
    <mergeCell ref="A81:E82"/>
    <mergeCell ref="G81:M81"/>
    <mergeCell ref="B83:E83"/>
    <mergeCell ref="G83:H83"/>
    <mergeCell ref="I83:J83"/>
    <mergeCell ref="G77:I77"/>
    <mergeCell ref="Q77:T77"/>
    <mergeCell ref="I78:J78"/>
    <mergeCell ref="L78:M78"/>
    <mergeCell ref="P78:R78"/>
    <mergeCell ref="X78:Z78"/>
    <mergeCell ref="X85:Z85"/>
    <mergeCell ref="AA85:AC85"/>
    <mergeCell ref="G86:I86"/>
    <mergeCell ref="Q86:T86"/>
    <mergeCell ref="I87:J87"/>
    <mergeCell ref="L87:M87"/>
    <mergeCell ref="P87:R87"/>
    <mergeCell ref="X87:Z87"/>
    <mergeCell ref="AA87:AC87"/>
    <mergeCell ref="G94:J94"/>
    <mergeCell ref="K94:O94"/>
    <mergeCell ref="P94:Q94"/>
    <mergeCell ref="R94:U94"/>
    <mergeCell ref="V94:Y94"/>
    <mergeCell ref="AG94:AI94"/>
    <mergeCell ref="A90:E91"/>
    <mergeCell ref="AC90:AD90"/>
    <mergeCell ref="N91:O91"/>
    <mergeCell ref="AA91:AC91"/>
    <mergeCell ref="K92:R92"/>
    <mergeCell ref="G93:J93"/>
    <mergeCell ref="K93:O93"/>
    <mergeCell ref="P93:Q93"/>
    <mergeCell ref="R93:U93"/>
    <mergeCell ref="V93:Y93"/>
    <mergeCell ref="G95:J95"/>
    <mergeCell ref="K95:O95"/>
    <mergeCell ref="P95:Q95"/>
    <mergeCell ref="R95:U95"/>
    <mergeCell ref="V95:Y95"/>
    <mergeCell ref="G96:J96"/>
    <mergeCell ref="K96:O96"/>
    <mergeCell ref="P96:Q96"/>
    <mergeCell ref="R96:U96"/>
    <mergeCell ref="V96:Y96"/>
    <mergeCell ref="G99:J99"/>
    <mergeCell ref="K99:O99"/>
    <mergeCell ref="P99:Q99"/>
    <mergeCell ref="R99:U99"/>
    <mergeCell ref="V99:Y99"/>
    <mergeCell ref="A102:E103"/>
    <mergeCell ref="G97:J98"/>
    <mergeCell ref="K97:O97"/>
    <mergeCell ref="P97:Q97"/>
    <mergeCell ref="R97:U97"/>
    <mergeCell ref="V97:Y97"/>
    <mergeCell ref="K98:O98"/>
    <mergeCell ref="P98:Q98"/>
    <mergeCell ref="R98:U98"/>
    <mergeCell ref="V98:Y98"/>
    <mergeCell ref="AC102:AD102"/>
    <mergeCell ref="N103:O103"/>
    <mergeCell ref="AA103:AC103"/>
    <mergeCell ref="K104:R104"/>
    <mergeCell ref="G105:J105"/>
    <mergeCell ref="K105:O105"/>
    <mergeCell ref="P105:Q105"/>
    <mergeCell ref="R105:U105"/>
    <mergeCell ref="V105:Y105"/>
    <mergeCell ref="G109:J109"/>
    <mergeCell ref="K109:O109"/>
    <mergeCell ref="P109:Q109"/>
    <mergeCell ref="R109:U109"/>
    <mergeCell ref="V109:Y109"/>
    <mergeCell ref="G112:K112"/>
    <mergeCell ref="AG107:AI107"/>
    <mergeCell ref="G108:J108"/>
    <mergeCell ref="K108:O108"/>
    <mergeCell ref="P108:Q108"/>
    <mergeCell ref="R108:U108"/>
    <mergeCell ref="V108:Y108"/>
    <mergeCell ref="G106:J107"/>
    <mergeCell ref="K106:O106"/>
    <mergeCell ref="P106:Q106"/>
    <mergeCell ref="R106:U106"/>
    <mergeCell ref="V106:Y106"/>
    <mergeCell ref="AG106:AI106"/>
    <mergeCell ref="K107:O107"/>
    <mergeCell ref="P107:Q107"/>
    <mergeCell ref="R107:U107"/>
    <mergeCell ref="V107:Y107"/>
    <mergeCell ref="H116:J116"/>
    <mergeCell ref="L116:M116"/>
    <mergeCell ref="X116:Z116"/>
    <mergeCell ref="AC116:AD116"/>
    <mergeCell ref="AI116:AK116"/>
    <mergeCell ref="X117:Z117"/>
    <mergeCell ref="AA117:AC117"/>
    <mergeCell ref="A113:E114"/>
    <mergeCell ref="AI113:AK113"/>
    <mergeCell ref="H114:J114"/>
    <mergeCell ref="L114:M114"/>
    <mergeCell ref="X114:Z114"/>
    <mergeCell ref="A115:E115"/>
    <mergeCell ref="K120:R120"/>
    <mergeCell ref="F121:H121"/>
    <mergeCell ref="I121:M121"/>
    <mergeCell ref="N121:O121"/>
    <mergeCell ref="P121:S121"/>
    <mergeCell ref="T121:W121"/>
    <mergeCell ref="M118:O118"/>
    <mergeCell ref="AC118:AD118"/>
    <mergeCell ref="H119:J119"/>
    <mergeCell ref="L119:N119"/>
    <mergeCell ref="X119:Z119"/>
    <mergeCell ref="AA119:AC119"/>
    <mergeCell ref="X121:Z121"/>
    <mergeCell ref="F125:H125"/>
    <mergeCell ref="I125:M125"/>
    <mergeCell ref="N125:O125"/>
    <mergeCell ref="P125:S125"/>
    <mergeCell ref="T125:W125"/>
    <mergeCell ref="X125:Z125"/>
    <mergeCell ref="X123:Z123"/>
    <mergeCell ref="F124:H124"/>
    <mergeCell ref="I124:M124"/>
    <mergeCell ref="N124:O124"/>
    <mergeCell ref="P124:S124"/>
    <mergeCell ref="T124:W124"/>
    <mergeCell ref="X124:Z124"/>
    <mergeCell ref="F122:H123"/>
    <mergeCell ref="I122:M123"/>
    <mergeCell ref="N122:O122"/>
    <mergeCell ref="P122:S122"/>
    <mergeCell ref="T122:W122"/>
    <mergeCell ref="X122:Z122"/>
    <mergeCell ref="N123:O123"/>
    <mergeCell ref="P123:S123"/>
    <mergeCell ref="T123:W123"/>
    <mergeCell ref="AA131:AC131"/>
    <mergeCell ref="F132:H132"/>
    <mergeCell ref="I132:M132"/>
    <mergeCell ref="N132:O132"/>
    <mergeCell ref="P132:R132"/>
    <mergeCell ref="T132:W132"/>
    <mergeCell ref="X132:Z132"/>
    <mergeCell ref="A129:E129"/>
    <mergeCell ref="G129:M129"/>
    <mergeCell ref="A130:E130"/>
    <mergeCell ref="N130:O130"/>
    <mergeCell ref="A131:E131"/>
    <mergeCell ref="K131:R131"/>
    <mergeCell ref="F134:H136"/>
    <mergeCell ref="I134:M134"/>
    <mergeCell ref="N134:O134"/>
    <mergeCell ref="P134:R134"/>
    <mergeCell ref="T134:W134"/>
    <mergeCell ref="X134:Z136"/>
    <mergeCell ref="F133:H133"/>
    <mergeCell ref="I133:M133"/>
    <mergeCell ref="N133:O133"/>
    <mergeCell ref="P133:R133"/>
    <mergeCell ref="T133:W133"/>
    <mergeCell ref="X133:Z133"/>
    <mergeCell ref="AG134:AI134"/>
    <mergeCell ref="I135:M135"/>
    <mergeCell ref="N135:O135"/>
    <mergeCell ref="P135:R135"/>
    <mergeCell ref="T135:W135"/>
    <mergeCell ref="I136:M136"/>
    <mergeCell ref="N136:O136"/>
    <mergeCell ref="P136:R136"/>
    <mergeCell ref="T136:W136"/>
    <mergeCell ref="F138:H138"/>
    <mergeCell ref="I138:M138"/>
    <mergeCell ref="N138:O138"/>
    <mergeCell ref="P138:R138"/>
    <mergeCell ref="T138:W138"/>
    <mergeCell ref="X138:Z138"/>
    <mergeCell ref="F137:H137"/>
    <mergeCell ref="I137:M137"/>
    <mergeCell ref="N137:O137"/>
    <mergeCell ref="P137:R137"/>
    <mergeCell ref="T137:W137"/>
    <mergeCell ref="X137:Z137"/>
    <mergeCell ref="AC145:AD145"/>
    <mergeCell ref="B146:E146"/>
    <mergeCell ref="AA146:AC146"/>
    <mergeCell ref="X140:Z140"/>
    <mergeCell ref="F141:H141"/>
    <mergeCell ref="I141:M141"/>
    <mergeCell ref="N141:O141"/>
    <mergeCell ref="P141:R141"/>
    <mergeCell ref="T141:W141"/>
    <mergeCell ref="X141:Z141"/>
    <mergeCell ref="F139:H140"/>
    <mergeCell ref="I139:M139"/>
    <mergeCell ref="N139:O139"/>
    <mergeCell ref="P139:R139"/>
    <mergeCell ref="T139:W139"/>
    <mergeCell ref="X139:Z139"/>
    <mergeCell ref="I140:M140"/>
    <mergeCell ref="N140:O140"/>
    <mergeCell ref="P140:R140"/>
    <mergeCell ref="T140:W140"/>
    <mergeCell ref="K147:R147"/>
    <mergeCell ref="F148:H148"/>
    <mergeCell ref="I148:M148"/>
    <mergeCell ref="N148:O148"/>
    <mergeCell ref="P148:R148"/>
    <mergeCell ref="T148:W148"/>
    <mergeCell ref="B144:E144"/>
    <mergeCell ref="B145:E145"/>
    <mergeCell ref="L145:M145"/>
    <mergeCell ref="X148:Z148"/>
    <mergeCell ref="F149:H152"/>
    <mergeCell ref="I149:M149"/>
    <mergeCell ref="N149:O149"/>
    <mergeCell ref="P149:R149"/>
    <mergeCell ref="T149:W149"/>
    <mergeCell ref="X149:Z152"/>
    <mergeCell ref="I152:M152"/>
    <mergeCell ref="N152:O152"/>
    <mergeCell ref="P152:R152"/>
    <mergeCell ref="AG149:AI149"/>
    <mergeCell ref="I150:M150"/>
    <mergeCell ref="N150:O150"/>
    <mergeCell ref="P150:R150"/>
    <mergeCell ref="T150:W150"/>
    <mergeCell ref="I151:M151"/>
    <mergeCell ref="N151:O151"/>
    <mergeCell ref="P151:R151"/>
    <mergeCell ref="T151:W151"/>
    <mergeCell ref="X153:Z153"/>
    <mergeCell ref="F154:H154"/>
    <mergeCell ref="I154:M154"/>
    <mergeCell ref="N154:O154"/>
    <mergeCell ref="P154:R154"/>
    <mergeCell ref="T154:W154"/>
    <mergeCell ref="X154:Z154"/>
    <mergeCell ref="T152:W152"/>
    <mergeCell ref="F153:H153"/>
    <mergeCell ref="I153:M153"/>
    <mergeCell ref="N153:O153"/>
    <mergeCell ref="P153:R153"/>
    <mergeCell ref="T153:W153"/>
    <mergeCell ref="A160:E161"/>
    <mergeCell ref="J161:K161"/>
    <mergeCell ref="L161:M161"/>
    <mergeCell ref="AC161:AD161"/>
    <mergeCell ref="A162:E162"/>
    <mergeCell ref="AB162:AC162"/>
    <mergeCell ref="X156:Z156"/>
    <mergeCell ref="F157:H157"/>
    <mergeCell ref="I157:M157"/>
    <mergeCell ref="N157:O157"/>
    <mergeCell ref="P157:R157"/>
    <mergeCell ref="T157:W157"/>
    <mergeCell ref="X157:Z157"/>
    <mergeCell ref="F155:H156"/>
    <mergeCell ref="I155:M155"/>
    <mergeCell ref="N155:O155"/>
    <mergeCell ref="P155:R155"/>
    <mergeCell ref="T155:W155"/>
    <mergeCell ref="X155:Z155"/>
    <mergeCell ref="I156:M156"/>
    <mergeCell ref="N156:O156"/>
    <mergeCell ref="P156:R156"/>
    <mergeCell ref="T156:W156"/>
    <mergeCell ref="A165:E166"/>
    <mergeCell ref="G165:M165"/>
    <mergeCell ref="N165:O165"/>
    <mergeCell ref="K166:R166"/>
    <mergeCell ref="A167:E167"/>
    <mergeCell ref="F167:H167"/>
    <mergeCell ref="I167:M167"/>
    <mergeCell ref="N167:O167"/>
    <mergeCell ref="P167:R167"/>
    <mergeCell ref="T167:W167"/>
    <mergeCell ref="X167:Z167"/>
    <mergeCell ref="AA167:AC167"/>
    <mergeCell ref="F168:H168"/>
    <mergeCell ref="I168:M168"/>
    <mergeCell ref="N168:O168"/>
    <mergeCell ref="P168:R168"/>
    <mergeCell ref="T168:W168"/>
    <mergeCell ref="X168:Z168"/>
    <mergeCell ref="F172:H172"/>
    <mergeCell ref="I172:M172"/>
    <mergeCell ref="N172:O172"/>
    <mergeCell ref="P172:R172"/>
    <mergeCell ref="T172:W172"/>
    <mergeCell ref="X172:Z172"/>
    <mergeCell ref="AG169:AI169"/>
    <mergeCell ref="I170:M170"/>
    <mergeCell ref="N170:O170"/>
    <mergeCell ref="P170:R170"/>
    <mergeCell ref="T170:W170"/>
    <mergeCell ref="F171:H171"/>
    <mergeCell ref="I171:M171"/>
    <mergeCell ref="N171:O171"/>
    <mergeCell ref="P171:R171"/>
    <mergeCell ref="T171:W171"/>
    <mergeCell ref="F169:H170"/>
    <mergeCell ref="I169:M169"/>
    <mergeCell ref="N169:O169"/>
    <mergeCell ref="P169:R169"/>
    <mergeCell ref="T169:W169"/>
    <mergeCell ref="X169:Z171"/>
    <mergeCell ref="X174:Z174"/>
    <mergeCell ref="F175:H175"/>
    <mergeCell ref="I175:M175"/>
    <mergeCell ref="N175:O175"/>
    <mergeCell ref="P175:R175"/>
    <mergeCell ref="T175:W175"/>
    <mergeCell ref="X175:Z175"/>
    <mergeCell ref="F173:H174"/>
    <mergeCell ref="I173:M173"/>
    <mergeCell ref="N173:O173"/>
    <mergeCell ref="P173:R173"/>
    <mergeCell ref="T173:W173"/>
    <mergeCell ref="X173:Z173"/>
    <mergeCell ref="I174:M174"/>
    <mergeCell ref="N174:O174"/>
    <mergeCell ref="P174:R174"/>
    <mergeCell ref="T174:W174"/>
    <mergeCell ref="AB181:AD181"/>
    <mergeCell ref="I183:J183"/>
    <mergeCell ref="M183:N183"/>
    <mergeCell ref="P183:Q183"/>
    <mergeCell ref="R183:S183"/>
    <mergeCell ref="X183:Z183"/>
    <mergeCell ref="AC183:AD183"/>
    <mergeCell ref="A179:E180"/>
    <mergeCell ref="H179:J179"/>
    <mergeCell ref="A181:E181"/>
    <mergeCell ref="H181:J181"/>
    <mergeCell ref="M181:N181"/>
    <mergeCell ref="X181:Z181"/>
    <mergeCell ref="AB184:AD184"/>
    <mergeCell ref="A191:E192"/>
    <mergeCell ref="X191:Z191"/>
    <mergeCell ref="K192:T192"/>
    <mergeCell ref="W192:Z192"/>
    <mergeCell ref="A193:E193"/>
    <mergeCell ref="F193:H193"/>
    <mergeCell ref="I193:M193"/>
    <mergeCell ref="N193:O193"/>
    <mergeCell ref="P193:R193"/>
    <mergeCell ref="T193:V193"/>
    <mergeCell ref="W193:Z193"/>
    <mergeCell ref="AA193:AC193"/>
    <mergeCell ref="AG194:AI194"/>
    <mergeCell ref="F195:H195"/>
    <mergeCell ref="I195:M195"/>
    <mergeCell ref="N195:O195"/>
    <mergeCell ref="P195:R195"/>
    <mergeCell ref="T195:V195"/>
    <mergeCell ref="W195:Z195"/>
    <mergeCell ref="AA204:AC204"/>
    <mergeCell ref="K205:R205"/>
    <mergeCell ref="AA202:AC202"/>
    <mergeCell ref="F194:H194"/>
    <mergeCell ref="I194:M194"/>
    <mergeCell ref="N194:O194"/>
    <mergeCell ref="P194:R194"/>
    <mergeCell ref="T194:V194"/>
    <mergeCell ref="W194:Z194"/>
    <mergeCell ref="F196:H196"/>
    <mergeCell ref="I196:M196"/>
    <mergeCell ref="N196:O196"/>
    <mergeCell ref="P196:R196"/>
    <mergeCell ref="T196:V196"/>
    <mergeCell ref="W196:Z196"/>
    <mergeCell ref="F206:H206"/>
    <mergeCell ref="I206:M206"/>
    <mergeCell ref="N206:O206"/>
    <mergeCell ref="P206:R206"/>
    <mergeCell ref="T206:W206"/>
    <mergeCell ref="X206:Z206"/>
    <mergeCell ref="A200:E200"/>
    <mergeCell ref="G200:M200"/>
    <mergeCell ref="A201:E201"/>
    <mergeCell ref="J201:K201"/>
    <mergeCell ref="A202:E203"/>
    <mergeCell ref="H203:J203"/>
    <mergeCell ref="L203:N203"/>
    <mergeCell ref="P203:Q203"/>
    <mergeCell ref="X203:Z203"/>
    <mergeCell ref="F208:H208"/>
    <mergeCell ref="I208:M208"/>
    <mergeCell ref="N208:O208"/>
    <mergeCell ref="P208:R208"/>
    <mergeCell ref="T208:W208"/>
    <mergeCell ref="X208:Z208"/>
    <mergeCell ref="F207:H207"/>
    <mergeCell ref="I207:M207"/>
    <mergeCell ref="N207:O207"/>
    <mergeCell ref="P207:R207"/>
    <mergeCell ref="T207:W207"/>
    <mergeCell ref="X207:Z207"/>
    <mergeCell ref="A213:E214"/>
    <mergeCell ref="H213:J213"/>
    <mergeCell ref="A215:E215"/>
    <mergeCell ref="H215:J215"/>
    <mergeCell ref="M215:N215"/>
    <mergeCell ref="X215:Z215"/>
    <mergeCell ref="F209:H210"/>
    <mergeCell ref="I209:M209"/>
    <mergeCell ref="N209:O209"/>
    <mergeCell ref="P209:R209"/>
    <mergeCell ref="T209:W209"/>
    <mergeCell ref="X209:Z209"/>
    <mergeCell ref="I210:M210"/>
    <mergeCell ref="N210:O210"/>
    <mergeCell ref="P210:R210"/>
    <mergeCell ref="T210:W210"/>
    <mergeCell ref="AA215:AC215"/>
    <mergeCell ref="AC216:AD216"/>
    <mergeCell ref="I217:J217"/>
    <mergeCell ref="M217:N217"/>
    <mergeCell ref="P217:Q217"/>
    <mergeCell ref="R217:S217"/>
    <mergeCell ref="X217:Z217"/>
    <mergeCell ref="AA217:AC217"/>
    <mergeCell ref="X210:Z210"/>
    <mergeCell ref="A222:E223"/>
    <mergeCell ref="H223:J223"/>
    <mergeCell ref="L223:N223"/>
    <mergeCell ref="P223:Q223"/>
    <mergeCell ref="X223:Z223"/>
    <mergeCell ref="AA223:AC223"/>
    <mergeCell ref="A220:E220"/>
    <mergeCell ref="G220:M220"/>
    <mergeCell ref="A221:E221"/>
    <mergeCell ref="J221:K221"/>
    <mergeCell ref="O221:P221"/>
    <mergeCell ref="AA221:AC221"/>
    <mergeCell ref="H224:J224"/>
    <mergeCell ref="L224:N224"/>
    <mergeCell ref="P224:Q224"/>
    <mergeCell ref="X224:Z224"/>
    <mergeCell ref="K225:R225"/>
    <mergeCell ref="F226:H226"/>
    <mergeCell ref="I226:M226"/>
    <mergeCell ref="N226:O226"/>
    <mergeCell ref="P226:S226"/>
    <mergeCell ref="T226:W226"/>
    <mergeCell ref="F228:H228"/>
    <mergeCell ref="I228:M228"/>
    <mergeCell ref="N228:O228"/>
    <mergeCell ref="P228:S228"/>
    <mergeCell ref="T228:W228"/>
    <mergeCell ref="X228:Z228"/>
    <mergeCell ref="X226:Z226"/>
    <mergeCell ref="F227:H227"/>
    <mergeCell ref="I227:M227"/>
    <mergeCell ref="N227:O227"/>
    <mergeCell ref="P227:S227"/>
    <mergeCell ref="T227:W227"/>
    <mergeCell ref="X227:Z227"/>
    <mergeCell ref="A233:E233"/>
    <mergeCell ref="X234:Z234"/>
    <mergeCell ref="AA234:AC234"/>
    <mergeCell ref="X236:Z236"/>
    <mergeCell ref="AA236:AC236"/>
    <mergeCell ref="X238:Z238"/>
    <mergeCell ref="AA238:AC238"/>
    <mergeCell ref="X230:Z230"/>
    <mergeCell ref="F229:H230"/>
    <mergeCell ref="I229:M229"/>
    <mergeCell ref="N229:O229"/>
    <mergeCell ref="P229:S229"/>
    <mergeCell ref="T229:W229"/>
    <mergeCell ref="X229:Z229"/>
    <mergeCell ref="I230:M230"/>
    <mergeCell ref="N230:O230"/>
    <mergeCell ref="P230:S230"/>
    <mergeCell ref="T230:W230"/>
  </mergeCells>
  <phoneticPr fontId="12" type="noConversion"/>
  <printOptions horizontalCentered="1"/>
  <pageMargins left="0.47244094488188981" right="0.47244094488188981" top="0.59055118110236227" bottom="0.59055118110236227" header="0.51181102362204722" footer="0.51181102362204722"/>
  <pageSetup paperSize="9" scale="91" orientation="portrait" horizontalDpi="300" verticalDpi="300" r:id="rId1"/>
  <headerFooter alignWithMargins="0">
    <oddHeader xml:space="preserve">&amp;L
</oddHeader>
  </headerFooter>
  <rowBreaks count="4" manualBreakCount="4">
    <brk id="61" max="29" man="1"/>
    <brk id="110" max="29" man="1"/>
    <brk id="163" max="29" man="1"/>
    <brk id="231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간지</vt:lpstr>
      <vt:lpstr>0-1)가시설 수량 집계표</vt:lpstr>
      <vt:lpstr>0-2) 가시설 자재 집계표</vt:lpstr>
      <vt:lpstr>시점</vt:lpstr>
      <vt:lpstr>종점</vt:lpstr>
      <vt:lpstr>'0-1)가시설 수량 집계표'!Print_Area</vt:lpstr>
      <vt:lpstr>'0-2) 가시설 자재 집계표'!Print_Area</vt:lpstr>
      <vt:lpstr>시점!Print_Area</vt:lpstr>
      <vt:lpstr>종점!Print_Area</vt:lpstr>
      <vt:lpstr>'0-1)가시설 수량 집계표'!Print_Titles</vt:lpstr>
      <vt:lpstr>'0-2) 가시설 자재 집계표'!Print_Titles</vt:lpstr>
      <vt:lpstr>시점!Print_Titles</vt:lpstr>
      <vt:lpstr>종점!Print_Titles</vt:lpstr>
    </vt:vector>
  </TitlesOfParts>
  <Company>SEO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직원용</cp:lastModifiedBy>
  <cp:lastPrinted>2026-01-15T05:45:58Z</cp:lastPrinted>
  <dcterms:created xsi:type="dcterms:W3CDTF">2001-02-08T04:46:26Z</dcterms:created>
  <dcterms:modified xsi:type="dcterms:W3CDTF">2026-01-15T05:46:13Z</dcterms:modified>
</cp:coreProperties>
</file>